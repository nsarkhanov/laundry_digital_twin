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Электричество ТГМ" sheetId="1" r:id="rId4"/>
    <sheet state="hidden" name="эл. ТГМ 2023" sheetId="2" r:id="rId5"/>
    <sheet state="visible" name="Yaltskaya 2019 - by H.S. (Heati" sheetId="3" r:id="rId6"/>
    <sheet state="hidden" name="план 2025" sheetId="4" r:id="rId7"/>
    <sheet state="hidden" name="Перерасчет вода Ялтская" sheetId="5" r:id="rId8"/>
    <sheet state="visible" name="Water recalculation Masaryka" sheetId="6" r:id="rId9"/>
    <sheet state="hidden" name="Тепло  ТГМ" sheetId="7" r:id="rId10"/>
    <sheet state="visible" name="Masaryka 2019 - by H.S. (Heatin" sheetId="8" r:id="rId11"/>
    <sheet state="visible" name="P&amp;L 2026 Yaltskaya" sheetId="9" r:id="rId12"/>
    <sheet state="visible" name="P&amp;L 2026 Masaryka" sheetId="10" r:id="rId13"/>
    <sheet state="hidden" name="Перерасчет эл.Масарика" sheetId="11" r:id="rId14"/>
    <sheet state="visible" name="Sensor Analysis" sheetId="12" r:id="rId15"/>
    <sheet state="hidden" name="Электричество, Вода, Тепло -  Я" sheetId="13" r:id="rId16"/>
    <sheet state="hidden" name="Перерасчет эл.Ялтская " sheetId="14" r:id="rId17"/>
    <sheet state="hidden" name="Вода (Архив)" sheetId="15" r:id="rId18"/>
    <sheet state="hidden" name="Тепло (Архив) " sheetId="16" r:id="rId19"/>
  </sheets>
  <definedNames/>
  <calcPr/>
  <extLst>
    <ext uri="GoogleSheetsCustomDataVersion2">
      <go:sheetsCustomData xmlns:go="http://customooxmlschemas.google.com/" r:id="rId20" roundtripDataChecksum="+/NEhrm6jPvAVa83Ye95f1w+4X+W5ExRcpPPJxe1MM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99">
      <text>
        <t xml:space="preserve">======
ID#AAABzH3Awrk
tc={fb4e6e36-6826-4484-8389-57fc3e56de23}    (2026-01-27 10:45:41)
[Threaded comment]
 Your version of Excel allows you to read this threaded comment; however, any edits to it will get removed if the file is opened in a newer version of Excel. Learn more: https://go.microsoft.com/fwlink/?linkid=870924
Comment:
	@tanyavialykh@gmail.com надо добавить счетчик для отеля, который на лестнице</t>
      </text>
    </comment>
    <comment authorId="0" ref="Q728">
      <text>
        <t xml:space="preserve">======
ID#AAABzH3AwqY
tc={7b505add-f133-42ed-a11f-e4386516e7fe}    (2026-01-27 10:45:41)
[Threaded comment]
 Your version of Excel allows you to read this threaded comment; however, any edits to it will get removed if the file is opened in a newer version of Excel. Learn more: https://go.microsoft.com/fwlink/?linkid=870924
Comment:
	Чистое потребление в день в кронах
Reply:
	Схожо с потребление в ФЛ, когда были включены морозилки, сервер и ЕПС
Reply:
	В данной зоне в подвале тоже стоят морозилки, возможно ими тоже пользуются
Reply:
	сейчас морозилки в подвале выключены</t>
      </text>
    </comment>
    <comment authorId="0" ref="P712">
      <text>
        <t xml:space="preserve">======
ID#AAABzH3Awpo
tc={ba093408-4125-4aa1-a80b-3b363d904f23}    (2026-01-27 10:45:41)
[Threaded comment]
 Your version of Excel allows you to read this threaded comment; however, any edits to it will get removed if the file is opened in a newer version of Excel. Learn more: https://go.microsoft.com/fwlink/?linkid=870924
Comment:
	чистое потребление в день</t>
      </text>
    </comment>
    <comment authorId="0" ref="O712">
      <text>
        <t xml:space="preserve">======
ID#AAABzH3Awpc
tc={432b8e6f-0db8-4237-8670-df7259cf6e99}    (2026-01-27 10:45:41)
[Threaded comment]
 Your version of Excel allows you to read this threaded comment; however, any edits to it will get removed if the file is opened in a newer version of Excel. Learn more: https://go.microsoft.com/fwlink/?linkid=870924
Comment:
	За день</t>
      </text>
    </comment>
    <comment authorId="0" ref="A746">
      <text>
        <t xml:space="preserve">======
ID#AAABzHkKzn4
tc={53e728e2-1c8e-4cc7-8d03-51bd0aeaa60f}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добавила показания с счетчика в админки. Как скорректировать показания "Админка 2" в связи с этим?</t>
      </text>
    </comment>
    <comment authorId="0" ref="L728">
      <text>
        <t xml:space="preserve">======
ID#AAABzHkKzns
tc={d850c73c-4cdb-47b9-b9df-1fb1793040e5}    (2026-01-27 10:45:41)
[Threaded comment]
 Your version of Excel allows you to read this threaded comment; however, any edits to it will get removed if the file is opened in a newer version of Excel. Learn more: https://go.microsoft.com/fwlink/?linkid=870924
Comment:
	@tanyavialykh@gmail.com очень странно, если сравнивать с пересчетом на день, то за сутки с 5 по 6 мая накрутило больше
Reply:
	Поняла, в расчете учитываются еще статичные платежи, которые мы платим как абоненткую плату раз в месяц. Столбцы Е,F</t>
      </text>
    </comment>
    <comment authorId="0" ref="P728">
      <text>
        <t xml:space="preserve">======
ID#AAABzHkKznM
tc={57a19e46-9c69-4822-812f-e2b0ab56509d}    (2026-01-27 10:45:41)
[Threaded comment]
 Your version of Excel allows you to read this threaded comment; however, any edits to it will get removed if the file is opened in a newer version of Excel. Learn more: https://go.microsoft.com/fwlink/?linkid=870924
Comment:
	При чистом потреблении в подъезде снижение в 2 раза</t>
      </text>
    </comment>
    <comment authorId="0" ref="L701">
      <text>
        <t xml:space="preserve">======
ID#AAABzHhPq2c
tc={7650ec05-c5e4-42ef-a1e5-c3aae309abab}    (2026-01-27 10:45:41)
[Threaded comment]
 Your version of Excel allows you to read this threaded comment; however, any edits to it will get removed if the file is opened in a newer version of Excel. Learn more: https://go.microsoft.com/fwlink/?linkid=870924
Comment:
	@tv@revelton.com почему здесь такое потребление?
Reply:
	@baltic1014@gmail.com до середины месяца шли ремонтные работы и генеральные уборки. 
Вижу, что максимально накрутил подьезд - там свет включается на движение, возможно сюда входит и оборудование с подвала?
В админке выключено отопление и всё оборудование, наверно это накрутило за первую половину месяца, когда использовали оборудования
Reply:
	Давайте для теста еще раз завтра сделаем фото. В подъезде не включался свет? Сюда еще входит питание от лифта. Возможно там есть какое-то резервное питание. С Марианной на прошлой неделе узнали, что резервное питание для лифта достаточно значительно потребляет.
Reply:
	Хорошо</t>
      </text>
    </comment>
  </commentList>
  <extLst>
    <ext uri="GoogleSheetsCustomDataVersion2">
      <go:sheetsCustomData xmlns:go="http://customooxmlschemas.google.com/" r:id="rId1" roundtripDataSignature="AMtx7mjklJPmF8JrhFzaAmxfUjX2rmzN7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70">
      <text>
        <t xml:space="preserve">======
ID#AAABzHkKznY
tc={7b954b7d-7836-47a1-a5c7-3eef18cb5b2f}    (2026-01-27 10:45:41)
[Threaded comment]
 Your version of Excel allows you to read this threaded comment; however, any edits to it will get removed if the file is opened in a newer version of Excel. Learn more: https://go.microsoft.com/fwlink/?linkid=870924
Comment:
	совместили 4 истича в один</t>
      </text>
    </comment>
  </commentList>
  <extLst>
    <ext uri="GoogleSheetsCustomDataVersion2">
      <go:sheetsCustomData xmlns:go="http://customooxmlschemas.google.com/" r:id="rId1" roundtripDataSignature="AMtx7mh11aPKAnyD7FBNwi40qgTcSptuy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L9">
      <text>
        <t xml:space="preserve">======
ID#AAABzH3AwrU
tc={e9fcd68a-79cc-428d-9d38-fe6a59ec2a2e}    (2026-01-27 10:45:41)
[Threaded comment]
 Your version of Excel allows you to read this threaded comment; however, any edits to it will get removed if the file is opened in a newer version of Excel. Learn more: https://go.microsoft.com/fwlink/?linkid=870924
Comment:
	317 677 старый покзатель до замены</t>
      </text>
    </comment>
    <comment authorId="0" ref="CM19">
      <text>
        <t xml:space="preserve">======
ID#AAABzH3AwrI
tc={361187b8-bc86-456a-ba55-7583f9908f5f}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A1">
      <text>
        <t xml:space="preserve">======
ID#AAABzH3Awq4
tc={652dcdd4-02aa-41b7-ae50-afa32cdcae6a}    (2026-01-27 10:45:41)
[Threaded comment]
 Your version of Excel allows you to read this threaded comment; however, any edits to it will get removed if the file is opened in a newer version of Excel. Learn more: https://go.microsoft.com/fwlink/?linkid=870924
Comment:
	6 корпораты
======
ID#AAABzHhPq2o
tc={652dcdd4-02aa-41b7-ae50-afa32cdcae6a}    (2026-01-27 10:45:41)
[Threaded comment]
 Your version of Excel allows you to read this threaded comment; however, any edits to it will get removed if the file is opened in a newer version of Excel. Learn more: https://go.microsoft.com/fwlink/?linkid=870924
Comment:
	6 корпораты
======
ID#AAABzHhPq2E
tc={92c3184d-03ef-4ab5-94e0-5a59faaead6f}    (2026-01-27 10:45:41)
[Threaded comment]
 Your version of Excel allows you to read this threaded comment; however, any edits to it will get removed if the file is opened in a newer version of Excel. Learn more: https://go.microsoft.com/fwlink/?linkid=870924
Comment:
	без НДС</t>
      </text>
    </comment>
    <comment authorId="0" ref="CH19">
      <text>
        <t xml:space="preserve">======
ID#AAABzH3Awqo
tc={66b4e054-b663-4a0d-b2df-642ba739067a}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K19">
      <text>
        <t xml:space="preserve">======
ID#AAABzH3AwqU
tc={07cb7a95-ba2b-4ff4-a4d0-47a124bb9941}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J19">
      <text>
        <t xml:space="preserve">======
ID#AAABzH3AwqQ
tc={0791ecf0-8d4e-44b4-bd40-f1e26d83ae31}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G19">
      <text>
        <t xml:space="preserve">======
ID#AAABzH3AwqI
tc={fa9b96e4-0545-4987-8a56-6adfa1839779}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L24">
      <text>
        <t xml:space="preserve">======
ID#AAABzH3AwqE
tc={ae08d086-11e6-4cd8-878c-154502626b3d}    (2026-01-27 10:45:41)
[Threaded comment]
 Your version of Excel allows you to read this threaded comment; however, any edits to it will get removed if the file is opened in a newer version of Excel. Learn more: https://go.microsoft.com/fwlink/?linkid=870924
Comment:
	добавить 25 с нового счетчика
67 c прошлого</t>
      </text>
    </comment>
    <comment authorId="0" ref="CN19">
      <text>
        <t xml:space="preserve">======
ID#AAABzH3AwqA
tc={9672bc3d-e250-4894-832f-d2e564682552}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E14">
      <text>
        <t xml:space="preserve">======
ID#AAABzH3Awpg
tc={c669a56f-d725-4bd5-b2d3-0539ca758f1f}    (2026-01-27 10:45:41)
[Threaded comment]
 Your version of Excel allows you to read this threaded comment; however, any edits to it will get removed if the file is opened in a newer version of Excel. Learn more: https://go.microsoft.com/fwlink/?linkid=870924
Comment:
	нужна формула потреблния</t>
      </text>
    </comment>
    <comment authorId="0" ref="CD32">
      <text>
        <t xml:space="preserve">======
ID#AAABzH3Awow
tc={30733351-713b-4504-a7c1-1bd984117dfb}    (2026-01-27 10:45:41)
[Threaded comment]
 Your version of Excel allows you to read this threaded comment; however, any edits to it will get removed if the file is opened in a newer version of Excel. Learn more: https://go.microsoft.com/fwlink/?linkid=870924
Comment:
	списано только 35</t>
      </text>
    </comment>
    <comment authorId="0" ref="CL19">
      <text>
        <t xml:space="preserve">======
ID#AAABzH3AwoM
tc={0492381a-f2b3-4bea-986e-39059275a5fe}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I19">
      <text>
        <t xml:space="preserve">======
ID#AAABzH3AwoA
tc={c68ef043-74ab-4985-a109-b650acf2b965}    (2026-01-27 10:45:41)
[Threaded comment]
 Your version of Excel allows you to read this threaded comment; however, any edits to it will get removed if the file is opened in a newer version of Excel. Learn more: https://go.microsoft.com/fwlink/?linkid=870924
Comment:
	+3657 Kč недоплата</t>
      </text>
    </comment>
    <comment authorId="0" ref="CM9">
      <text>
        <t xml:space="preserve">======
ID#AAABzHkKzoE
tc={2f4f3b58-aa2e-489c-b44a-66af646a7053}    (2026-01-27 10:45:41)
[Threaded comment]
 Your version of Excel allows you to read this threaded comment; however, any edits to it will get removed if the file is opened in a newer version of Excel. Learn more: https://go.microsoft.com/fwlink/?linkid=870924
Comment:
	4469</t>
      </text>
    </comment>
    <comment authorId="0" ref="CL23">
      <text>
        <t xml:space="preserve">======
ID#AAABzHhPq2A
tc={51c5ebb2-70c7-4a42-84a0-08adbb65d98b}    (2026-01-27 10:45:41)
[Threaded comment]
 Your version of Excel allows you to read this threaded comment; however, any edits to it will get removed if the file is opened in a newer version of Excel. Learn more: https://go.microsoft.com/fwlink/?linkid=870924
Comment:
	Сменили счетчик 23 Октября</t>
      </text>
    </comment>
  </commentList>
  <extLst>
    <ext uri="GoogleSheetsCustomDataVersion2">
      <go:sheetsCustomData xmlns:go="http://customooxmlschemas.google.com/" r:id="rId1" roundtripDataSignature="AMtx7mi/5KBRih2hGqXxyavEJB/L2M8Xf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4">
      <text>
        <t xml:space="preserve">======
ID#AAABzH3Awqs
tc={e1df71c4-d356-4882-a944-eaedfdd63192}    (2026-01-27 10:45:41)
[Threaded comment]
 Your version of Excel allows you to read this threaded comment; however, any edits to it will get removed if the file is opened in a newer version of Excel. Learn more: https://go.microsoft.com/fwlink/?linkid=870924
Comment:
	половина февраля</t>
      </text>
    </comment>
    <comment authorId="0" ref="F15">
      <text>
        <t xml:space="preserve">======
ID#AAABzH3Awp4
tc={b8e80ce4-9934-4f4d-9fc6-06d631fcfd9c}    (2026-01-27 10:45:41)
[Threaded comment]
 Your version of Excel allows you to read this threaded comment; however, any edits to it will get removed if the file is opened in a newer version of Excel. Learn more: https://go.microsoft.com/fwlink/?linkid=870924
Comment:
	1000 - за 2 недели августа</t>
      </text>
    </comment>
    <comment authorId="0" ref="H33">
      <text>
        <t xml:space="preserve">======
ID#AAABzH3AwpY
tc={d1dab0c7-d8ab-4d5d-b768-c4d925f6c267}    (2026-01-27 10:45:41)
[Threaded comment]
 Your version of Excel allows you to read this threaded comment; however, any edits to it will get removed if the file is opened in a newer version of Excel. Learn more: https://go.microsoft.com/fwlink/?linkid=870924
Comment:
	половина февраля</t>
      </text>
    </comment>
    <comment authorId="0" ref="H31">
      <text>
        <t xml:space="preserve">======
ID#AAABzH3AwpA
tc={8c68fad7-3d1e-446a-b040-2ba998026020}    (2026-01-27 10:45:41)
[Threaded comment]
 Your version of Excel allows you to read this threaded comment; however, any edits to it will get removed if the file is opened in a newer version of Excel. Learn more: https://go.microsoft.com/fwlink/?linkid=870924
Comment:
	половина февраля</t>
      </text>
    </comment>
    <comment authorId="0" ref="H42">
      <text>
        <t xml:space="preserve">======
ID#AAABzHkKznc
tc={98b78f85-7433-40dd-9cc8-aceca5687547}    (2026-01-27 10:45:41)
[Threaded comment]
 Your version of Excel allows you to read this threaded comment; however, any edits to it will get removed if the file is opened in a newer version of Excel. Learn more: https://go.microsoft.com/fwlink/?linkid=870924
Comment:
	половина августа</t>
      </text>
    </comment>
  </commentList>
  <extLst>
    <ext uri="GoogleSheetsCustomDataVersion2">
      <go:sheetsCustomData xmlns:go="http://customooxmlschemas.google.com/" r:id="rId1" roundtripDataSignature="AMtx7mjr6XgYP1e8y4iBvbCnbNsPvPUSv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9">
      <text>
        <t xml:space="preserve">======
ID#AAABzH3Awro
tc={0e69fd67-3311-4657-a179-efeef4cb4c80}    (2026-01-27 10:45:41)
[Threaded comment]
 Your version of Excel allows you to read this threaded comment; however, any edits to it will get removed if the file is opened in a newer version of Excel. Learn more: https://go.microsoft.com/fwlink/?linkid=870924
Comment:
	Включили в отеле и в кафе 31.08 и сразу внесли
======
ID#AAABzH3Awq8
tc={90f01dca-0d93-4ca6-ba0b-11d035071afc}    (2026-01-27 10:45:41)
[Threaded comment]
 Your version of Excel allows you to read this threaded comment; however, any edits to it will get removed if the file is opened in a newer version of Excel. Learn more: https://go.microsoft.com/fwlink/?linkid=870924
Comment:
	@regina.ply0@gmail.com  включили 31.08 в отеле и в кафе
======
ID#AAABzH3Awqw
tc={0e69fd67-3311-4657-a179-efeef4cb4c80}    (2026-01-27 10:45:41)
[Threaded comment]
 Your version of Excel allows you to read this threaded comment; however, any edits to it will get removed if the file is opened in a newer version of Excel. Learn more: https://go.microsoft.com/fwlink/?linkid=870924
Comment:
	Включили в отеле и в кафе 31.08 и сразу внесли</t>
      </text>
    </comment>
    <comment authorId="0" ref="T90">
      <text>
        <t xml:space="preserve">======
ID#AAABzH3Awrc
tc={c5708812-03e4-4942-945d-0ea4643ae8ab}    (2026-01-27 10:45:41)
[Threaded comment]
 Your version of Excel allows you to read this threaded comment; however, any edits to it will get removed if the file is opened in a newer version of Excel. Learn more: https://go.microsoft.com/fwlink/?linkid=870924
Comment:
	списано в декабре 2023</t>
      </text>
    </comment>
    <comment authorId="0" ref="F15">
      <text>
        <t xml:space="preserve">======
ID#AAABzH3AwrQ
tc={32162487-a9ce-4fa0-97c6-574f3e858139}    (2026-01-27 10:45:41)
[Threaded comment]
 Your version of Excel allows you to read this threaded comment; however, any edits to it will get removed if the file is opened in a newer version of Excel. Learn more: https://go.microsoft.com/fwlink/?linkid=870924
Comment:
	@it@reveltonsuites.cz здесь точно правильные данные указаны?
Назначено пользователю it@reveltonsuites.cz</t>
      </text>
    </comment>
    <comment authorId="0" ref="E28">
      <text>
        <t xml:space="preserve">======
ID#AAABzH3Awqk
tc={18129e04-b743-469b-accf-f526ec0dfb58}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Вчера была там и включила посмотреть показатель. Показатель за март получается неверный
======
ID#AAABzH3Awp8
tc={6373ec1c-fbd5-4912-8c14-a0805196740e}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 @baltic1014@gmail.com  Таня выключила 1.04 но фото нет
Назначено пользователю baltic1014@gmail.com
Reply:
	@baltic1014@gmail.com в БЛ я не выключала. Думаю, что Клара выключила раньше
======
ID#AAABzH3Awpw
tc={18129e04-b743-469b-accf-f526ec0dfb58}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Вчера была там и включила посмотреть показатель. Показатель за март получается неверный</t>
      </text>
    </comment>
    <comment authorId="0" ref="E17">
      <text>
        <t xml:space="preserve">======
ID#AAABzH3Awqg
tc={4ee33147-e036-4437-a43e-c34795dad30d}    (2026-01-27 10:45:41)
[Threaded comment]
 Your version of Excel allows you to read this threaded comment; however, any edits to it will get removed if the file is opened in a newer version of Excel. Learn more: https://go.microsoft.com/fwlink/?linkid=870924
Comment:
	выключено</t>
      </text>
    </comment>
    <comment authorId="0" ref="S83">
      <text>
        <t xml:space="preserve">======
ID#AAABzH3Awps
tc={ec9b22d5-1ddc-4d83-b28b-1e5e241554f7}    (2026-01-27 10:45:41)
[Threaded comment]
 Your version of Excel allows you to read this threaded comment; however, any edits to it will get removed if the file is opened in a newer version of Excel. Learn more: https://go.microsoft.com/fwlink/?linkid=870924
Comment:
	списано в июне 2023</t>
      </text>
    </comment>
    <comment authorId="0" ref="T82">
      <text>
        <t xml:space="preserve">======
ID#AAABzH3AwpI
tc={bc4163b2-e5cb-405b-8d9a-9f2c1c9857ea}    (2026-01-27 10:45:41)
[Threaded comment]
 Your version of Excel allows you to read this threaded comment; however, any edits to it will get removed if the file is opened in a newer version of Excel. Learn more: https://go.microsoft.com/fwlink/?linkid=870924
Comment:
	списано в июне 2023</t>
      </text>
    </comment>
    <comment authorId="0" ref="G30">
      <text>
        <t xml:space="preserve">======
ID#AAABzH3AwpE
tc={b7064105-0db4-4027-aba6-0840f84c615f}    (2026-01-27 10:45:41)
[Threaded comment]
 Your version of Excel allows you to read this threaded comment; however, any edits to it will get removed if the file is opened in a newer version of Excel. Learn more: https://go.microsoft.com/fwlink/?linkid=870924
Comment:
	летний сезон расчет горячий воды разделять пополам между БЛ и Ревелтон</t>
      </text>
    </comment>
    <comment authorId="0" ref="N99">
      <text>
        <t xml:space="preserve">======
ID#AAABzH3Awo0
tc={26ff6ffe-00a1-4b93-bd60-a5c71e3ab5bf}    (2026-01-27 10:45:41)
[Threaded comment]
 Your version of Excel allows you to read this threaded comment; however, any edits to it will get removed if the file is opened in a newer version of Excel. Learn more: https://go.microsoft.com/fwlink/?linkid=870924
Comment:
	внесли 16 000, посмртреть что прийдет в фактуре</t>
      </text>
    </comment>
    <comment authorId="0" ref="B65">
      <text>
        <t xml:space="preserve">======
ID#AAABzH3Awoo
tc={9fa4b2d8-588c-4ce6-97aa-473c11a49ba2}    (2026-01-27 10:45:41)
[Threaded comment]
 Your version of Excel allows you to read this threaded comment; however, any edits to it will get removed if the file is opened in a newer version of Excel. Learn more: https://go.microsoft.com/fwlink/?linkid=870924
Comment:
	Новый счетчик</t>
      </text>
    </comment>
    <comment authorId="0" ref="C28">
      <text>
        <t xml:space="preserve">======
ID#AAABzH3AwoY
tc={8cfc1212-dd78-47b2-b291-50e485765e34}    (2026-01-27 10:45:41)
[Threaded comment]
 Your version of Excel allows you to read this threaded comment; however, any edits to it will get removed if the file is opened in a newer version of Excel. Learn more: https://go.microsoft.com/fwlink/?linkid=870924
Comment:
	@baltic1014@gmail.com  Таня выключила 1.04 но фото нет
Назначено пользователю baltic1014@gmail.com
Reply:
	@tv@revelton.com здесь должно совпадать с прошлым показанием?
Reply:
	ну почти, думаю было немного больше ( все таки накрутило за сутки что-то )
Reply:
	@baltic1014@gmail.com внесла данные (в пятницу заезжал гость и просил включить отопление, был такой показатель)</t>
      </text>
    </comment>
    <comment authorId="0" ref="N104">
      <text>
        <t xml:space="preserve">======
ID#AAABzHkKzoA
tc={20ce0e8c-7c27-4f24-85b0-178e3768d0e5}    (2026-01-27 10:45:41)
[Threaded comment]
 Your version of Excel allows you to read this threaded comment; however, any edits to it will get removed if the file is opened in a newer version of Excel. Learn more: https://go.microsoft.com/fwlink/?linkid=870924
Comment:
	poshitalji po fakture</t>
      </text>
    </comment>
    <comment authorId="0" ref="D36">
      <text>
        <t xml:space="preserve">======
ID#AAABzHkKznw
tc={2750e78d-8255-4ec8-a6b8-41f74b08b448}    (2026-01-27 10:45:41)
[Threaded comment]
 Your version of Excel allows you to read this threaded comment; however, any edits to it will get removed if the file is opened in a newer version of Excel. Learn more: https://go.microsoft.com/fwlink/?linkid=870924
Comment:
	@regina.ply0@gmail.com  Выключен</t>
      </text>
    </comment>
    <comment authorId="0" ref="E44">
      <text>
        <t xml:space="preserve">======
ID#AAABzHkKznk
tc={d72c8187-9c11-4cfc-b76b-0ca9aeac9b58}    (2026-01-27 10:45:41)
[Threaded comment]
 Your version of Excel allows you to read this threaded comment; however, any edits to it will get removed if the file is opened in a newer version of Excel. Learn more: https://go.microsoft.com/fwlink/?linkid=870924
Comment:
	@regina.ply0@gmail.com в этом месяце выключен- цифра с февраля</t>
      </text>
    </comment>
  </commentList>
  <extLst>
    <ext uri="GoogleSheetsCustomDataVersion2">
      <go:sheetsCustomData xmlns:go="http://customooxmlschemas.google.com/" r:id="rId1" roundtripDataSignature="AMtx7mgoJidjBa+A8TIS1iQVUhYkPm2nq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Z12">
      <text>
        <t xml:space="preserve">======
ID#AAABzH3AwrY
tc={01f4e9c5-6dcb-47f8-bbfc-4a849db80013}    (2026-01-27 10:45:41)
[Threaded comment]
 Your version of Excel allows you to read this threaded comment; however, any edits to it will get removed if the file is opened in a newer version of Excel. Learn more: https://go.microsoft.com/fwlink/?linkid=870924
Comment:
	новый показатель 260
Reply:
	=9331-9306=25 
25+260 =285 внесла в ручную в строку 19</t>
      </text>
    </comment>
    <comment authorId="0" ref="AW10">
      <text>
        <t xml:space="preserve">======
ID#AAABzH3AwrE
tc={ceaaa16c-15f3-4d70-94a8-6d6172bdab6e}    (2026-01-27 10:45:41)
[Threaded comment]
 Your version of Excel allows you to read this threaded comment; however, any edits to it will get removed if the file is opened in a newer version of Excel. Learn more: https://go.microsoft.com/fwlink/?linkid=870924
Comment:
	180494 последний показатель на момент смены счетчика 11.08</t>
      </text>
    </comment>
    <comment authorId="0" ref="A10">
      <text>
        <t xml:space="preserve">======
ID#AAABzH3Awq0
tc={7815f4ab-fc1b-4719-a9f7-f9e15d8387be}    (2026-01-27 10:45:41)
[Threaded comment]
 Your version of Excel allows you to read this threaded comment; however, any edits to it will get removed if the file is opened in a newer version of Excel. Learn more: https://go.microsoft.com/fwlink/?linkid=870924
Comment:
	EAN 859182400894220688</t>
      </text>
    </comment>
    <comment authorId="0" ref="A14">
      <text>
        <t xml:space="preserve">======
ID#AAABzH3Awqc
tc={cb729ac4-5959-4e3c-b962-bb256db629c0}    (2026-01-27 10:45:41)
[Threaded comment]
 Your version of Excel allows you to read this threaded comment; however, any edits to it will get removed if the file is opened in a newer version of Excel. Learn more: https://go.microsoft.com/fwlink/?linkid=870924
Comment:
	EAN: 859182400894695844</t>
      </text>
    </comment>
    <comment authorId="0" ref="AT27">
      <text>
        <t xml:space="preserve">======
ID#AAABzH3Awpk
tc={020a21f5-ccd5-4061-a213-a5379c3e9ec2}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13">
      <text>
        <t xml:space="preserve">======
ID#AAABzH3Awo4
tc={5c78a63b-2631-433e-905a-99b15df837c9}    (2026-01-27 10:45:41)
[Threaded comment]
 Your version of Excel allows you to read this threaded comment; however, any edits to it will get removed if the file is opened in a newer version of Excel. Learn more: https://go.microsoft.com/fwlink/?linkid=870924
Comment:
	EAN: 859182400894695844</t>
      </text>
    </comment>
    <comment authorId="0" ref="AV10">
      <text>
        <t xml:space="preserve">======
ID#AAABzH3Awos
tc={3e78e788-8740-4c83-ac18-cfd8f8d221d8}    (2026-01-27 10:45:41)
[Threaded comment]
 Your version of Excel allows you to read this threaded comment; however, any edits to it will get removed if the file is opened in a newer version of Excel. Learn more: https://go.microsoft.com/fwlink/?linkid=870924
Comment:
	180 494</t>
      </text>
    </comment>
    <comment authorId="0" ref="AY27">
      <text>
        <t xml:space="preserve">======
ID#AAABzH3Awog
tc={25d3fca4-f645-497b-9a6e-118b01994d5a}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T23">
      <text>
        <t xml:space="preserve">======
ID#AAABzH3Awoc
tc={456246e4-9033-443c-92e8-0adbe3e75166}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W27">
      <text>
        <t xml:space="preserve">======
ID#AAABzH3AwoE
tc={6f22030c-4bc6-4a40-b12d-2b8a39a09928}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8">
      <text>
        <t xml:space="preserve">======
ID#AAABzH3Awn8
tc={e230def2-e149-4f9b-b386-798e5a4841cd}    (2026-01-27 10:45:41)
[Threaded comment]
 Your version of Excel allows you to read this threaded comment; however, any edits to it will get removed if the file is opened in a newer version of Excel. Learn more: https://go.microsoft.com/fwlink/?linkid=870924
Comment:
	EAN: 859182400801081043</t>
      </text>
    </comment>
    <comment authorId="0" ref="AZ13">
      <text>
        <t xml:space="preserve">======
ID#AAABzHkKzn8
tc={c0a68e7b-52f4-4874-a56b-c07553fdfc95}    (2026-01-27 10:45:41)
[Threaded comment]
 Your version of Excel allows you to read this threaded comment; however, any edits to it will get removed if the file is opened in a newer version of Excel. Learn more: https://go.microsoft.com/fwlink/?linkid=870924
Comment:
	новый показатель 1360
Reply:
	47430-47314=116
116+1360=1476
внесла в строку 20</t>
      </text>
    </comment>
    <comment authorId="0" ref="AU27">
      <text>
        <t xml:space="preserve">======
ID#AAABzHkKzno
tc={6d583487-0beb-4865-9dfe-7d77be95039a}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Z27">
      <text>
        <t xml:space="preserve">======
ID#AAABzHkKznQ
tc={0a2deae0-3a39-427a-9d4c-27aa138d189a}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9">
      <text>
        <t xml:space="preserve">======
ID#AAABzHkKznI
tc={34ffc229-e319-48c3-82bc-b0bd46d1bcf0}    (2026-01-27 10:45:41)
[Threaded comment]
 Your version of Excel allows you to read this threaded comment; however, any edits to it will get removed if the file is opened in a newer version of Excel. Learn more: https://go.microsoft.com/fwlink/?linkid=870924
Comment:
	EAN: 859182400801080268</t>
      </text>
    </comment>
    <comment authorId="0" ref="AX27">
      <text>
        <t xml:space="preserve">======
ID#AAABzHhPq2U
tc={834c4886-7d4e-417b-84bd-16ce448ab270}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AV27">
      <text>
        <t xml:space="preserve">======
ID#AAABzHhPq2Q
tc={5827a912-3759-4d66-a917-0d1d55f61c65}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  <comment authorId="0" ref="BA27">
      <text>
        <t xml:space="preserve">======
ID#AAABzHhPq2M
tc={504bee06-6623-4427-aef6-b7a6b33ff06f}    (2026-01-27 10:45:41)
[Threaded comment]
 Your version of Excel allows you to read this threaded comment; however, any edits to it will get removed if the file is opened in a newer version of Excel. Learn more: https://go.microsoft.com/fwlink/?linkid=870924
Comment:
	РБП -2943 крон (переплата в перерасчете)</t>
      </text>
    </comment>
  </commentList>
  <extLst>
    <ext uri="GoogleSheetsCustomDataVersion2">
      <go:sheetsCustomData xmlns:go="http://customooxmlschemas.google.com/" r:id="rId1" roundtripDataSignature="AMtx7mjsXIuklsIfeKx88ervXQmOGlb72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4">
      <text>
        <t xml:space="preserve">======
ID#AAABzH3AwqM
tc={2b54335e-ca64-49f1-badc-6e51c513d52e}    (2026-01-27 10:45:41)
[Threaded comment]
 Your version of Excel allows you to read this threaded comment; however, any edits to it will get removed if the file is opened in a newer version of Excel. Learn more: https://go.microsoft.com/fwlink/?linkid=870924
Comment:
	100</t>
      </text>
    </comment>
    <comment authorId="0" ref="G24">
      <text>
        <t xml:space="preserve">======
ID#AAABzH3AwpQ
tc={c20786e1-9570-477d-9ad2-5095ac1930b4}    (2026-01-27 10:45:41)
[Threaded comment]
 Your version of Excel allows you to read this threaded comment; however, any edits to it will get removed if the file is opened in a newer version of Excel. Learn more: https://go.microsoft.com/fwlink/?linkid=870924
Comment:
	110</t>
      </text>
    </comment>
    <comment authorId="0" ref="C24">
      <text>
        <t xml:space="preserve">======
ID#AAABzH3AwoQ
tc={f9554e0f-b710-4ebf-9465-c9c6eb9a8113}    (2026-01-27 10:45:41)
[Threaded comment]
 Your version of Excel allows you to read this threaded comment; however, any edits to it will get removed if the file is opened in a newer version of Excel. Learn more: https://go.microsoft.com/fwlink/?linkid=870924
Comment:
	106 без</t>
      </text>
    </comment>
    <comment authorId="0" ref="E24">
      <text>
        <t xml:space="preserve">======
ID#AAABzHkKznU
tc={0bd3db58-ce94-41a5-a659-4d9f8a02c500}    (2026-01-27 10:45:41)
[Threaded comment]
 Your version of Excel allows you to read this threaded comment; however, any edits to it will get removed if the file is opened in a newer version of Excel. Learn more: https://go.microsoft.com/fwlink/?linkid=870924
Comment:
	116</t>
      </text>
    </comment>
    <comment authorId="0" ref="D24">
      <text>
        <t xml:space="preserve">======
ID#AAABzHhPq2Y
tc={d9257f58-7d61-4488-af56-04ea7bd6b71e}    (2026-01-27 10:45:41)
[Threaded comment]
 Your version of Excel allows you to read this threaded comment; however, any edits to it will get removed if the file is opened in a newer version of Excel. Learn more: https://go.microsoft.com/fwlink/?linkid=870924
Comment:
	115</t>
      </text>
    </comment>
  </commentList>
  <extLst>
    <ext uri="GoogleSheetsCustomDataVersion2">
      <go:sheetsCustomData xmlns:go="http://customooxmlschemas.google.com/" r:id="rId1" roundtripDataSignature="AMtx7miJ628LgBrjUsUW42IyE31mAsITkQ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4">
      <text>
        <t xml:space="preserve">======
ID#AAABzH3Awrg
tc={b8abd3d2-381a-472a-9f1c-e3dc657f62de}    (2026-01-27 10:45:41)
[Threaded comment]
 Your version of Excel allows you to read this threaded comment; however, any edits to it will get removed if the file is opened in a newer version of Excel. Learn more: https://go.microsoft.com/fwlink/?linkid=870924
Comment:
	35</t>
      </text>
    </comment>
    <comment authorId="0" ref="C54">
      <text>
        <t xml:space="preserve">======
ID#AAABzH3AwrM
tc={1d140455-c68a-45a4-90d1-763ed66d6834}    (2026-01-27 10:45:41)
[Threaded comment]
 Your version of Excel allows you to read this threaded comment; however, any edits to it will get removed if the file is opened in a newer version of Excel. Learn more: https://go.microsoft.com/fwlink/?linkid=870924
Comment:
	31</t>
      </text>
    </comment>
    <comment authorId="0" ref="G54">
      <text>
        <t xml:space="preserve">======
ID#AAABzH3AwrA
tc={7fb95622-54b9-49c9-bdb0-c030772d6ff7}    (2026-01-27 10:45:41)
[Threaded comment]
 Your version of Excel allows you to read this threaded comment; however, any edits to it will get removed if the file is opened in a newer version of Excel. Learn more: https://go.microsoft.com/fwlink/?linkid=870924
Comment:
	20</t>
      </text>
    </comment>
    <comment authorId="0" ref="F54">
      <text>
        <t xml:space="preserve">======
ID#AAABzH3AwpU
tc={d2ade9a7-739a-4ef0-8cde-eb68acd7da65}    (2026-01-27 10:45:41)
[Threaded comment]
 Your version of Excel allows you to read this threaded comment; however, any edits to it will get removed if the file is opened in a newer version of Excel. Learn more: https://go.microsoft.com/fwlink/?linkid=870924
Comment:
	17</t>
      </text>
    </comment>
    <comment authorId="0" ref="M54">
      <text>
        <t xml:space="preserve">======
ID#AAABzH3AwoI
tc={faa3a625-5b5b-49fe-be37-e9d521e79c44}    (2026-01-27 10:45:41)
[Threaded comment]
 Your version of Excel allows you to read this threaded comment; however, any edits to it will get removed if the file is opened in a newer version of Excel. Learn more: https://go.microsoft.com/fwlink/?linkid=870924
Comment:
	30</t>
      </text>
    </comment>
    <comment authorId="0" ref="E54">
      <text>
        <t xml:space="preserve">======
ID#AAABzHkKzng
tc={17cd26a3-5923-4b97-8770-5aea0c6f85ed}    (2026-01-27 10:45:41)
[Threaded comment]
 Your version of Excel allows you to read this threaded comment; however, any edits to it will get removed if the file is opened in a newer version of Excel. Learn more: https://go.microsoft.com/fwlink/?linkid=870924
Comment:
	28</t>
      </text>
    </comment>
    <comment authorId="0" ref="N54">
      <text>
        <t xml:space="preserve">======
ID#AAABzHhPq2g
tc={a55815f0-6a53-48a6-a404-8b9294353e25}    (2026-01-27 10:45:41)
[Threaded comment]
 Your version of Excel allows you to read this threaded comment; however, any edits to it will get removed if the file is opened in a newer version of Excel. Learn more: https://go.microsoft.com/fwlink/?linkid=870924
Comment:
	36</t>
      </text>
    </comment>
  </commentList>
  <extLst>
    <ext uri="GoogleSheetsCustomDataVersion2">
      <go:sheetsCustomData xmlns:go="http://customooxmlschemas.google.com/" r:id="rId1" roundtripDataSignature="AMtx7mimVZOiVS/+79IK1zQN/CjOLz0JYg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P11">
      <text>
        <t xml:space="preserve">======
ID#AAABzH3Awp0
tc={141d48e3-47d8-4189-92e4-6d07d03bab48}    (2026-01-27 10:45:41)
[Threaded comment]
 Your version of Excel allows you to read this threaded comment; however, any edits to it will get removed if the file is opened in a newer version of Excel. Learn more: https://go.microsoft.com/fwlink/?linkid=870924
Comment:
	переход на спот и снижения йистича</t>
      </text>
    </comment>
    <comment authorId="0" ref="AV22">
      <text>
        <t xml:space="preserve">======
ID#AAABzH3AwpM
tc={43d0ffcb-856d-4bb3-bd00-9e9b21aba1cb}    (2026-01-27 10:45:41)
[Threaded comment]
 Your version of Excel allows you to read this threaded comment; however, any edits to it will get removed if the file is opened in a newer version of Excel. Learn more: https://go.microsoft.com/fwlink/?linkid=870924
Comment:
	Цена с 01.01.2023 
547,- Kč/GJ</t>
      </text>
    </comment>
    <comment authorId="0" ref="AO22">
      <text>
        <t xml:space="preserve">======
ID#AAABzH3Awo8
tc={502beba5-7778-49d5-ba62-e827eb30ff4b}    (2026-01-27 10:45:41)
[Threaded comment]
 Your version of Excel allows you to read this threaded comment; however, any edits to it will get removed if the file is opened in a newer version of Excel. Learn more: https://go.microsoft.com/fwlink/?linkid=870924
Comment:
	поменяли счетчик</t>
      </text>
    </comment>
    <comment authorId="0" ref="BH25">
      <text>
        <t xml:space="preserve">======
ID#AAABzH3Awok
tc={adb56e72-f80a-4656-ae2c-6ec3486388de}    (2026-01-27 10:45:41)
[Threaded comment]
 Your version of Excel allows you to read this threaded comment; however, any edits to it will get removed if the file is opened in a newer version of Excel. Learn more: https://go.microsoft.com/fwlink/?linkid=870924
Comment:
	повышение цены с 01.2024</t>
      </text>
    </comment>
    <comment authorId="0" ref="BH11">
      <text>
        <t xml:space="preserve">======
ID#AAABzH3AwoU
tc={ffbe314d-a48d-439e-80ed-215282b76542}    (2026-01-27 10:45:41)
[Threaded comment]
 Your version of Excel allows you to read this threaded comment; however, any edits to it will get removed if the file is opened in a newer version of Excel. Learn more: https://go.microsoft.com/fwlink/?linkid=870924
Comment:
	снижение цены от 01.01.2024</t>
      </text>
    </comment>
    <comment authorId="0" ref="BC11">
      <text>
        <t xml:space="preserve">======
ID#AAABzHkKzn0
tc={45973b29-55d1-4b10-a222-262a20790710}    (2026-01-27 10:45:41)
[Threaded comment]
 Your version of Excel allows you to read this threaded comment; however, any edits to it will get removed if the file is opened in a newer version of Excel. Learn more: https://go.microsoft.com/fwlink/?linkid=870924
Comment:
	изменила сумму после выучтовани</t>
      </text>
    </comment>
    <comment authorId="0" ref="BQ25">
      <text>
        <t xml:space="preserve">======
ID#AAABzHkKznE
tc={48ce61a2-76f7-4ab4-ad19-063659387216}    (2026-01-27 10:45:41)
[Threaded comment]
 Your version of Excel allows you to read this threaded comment; however, any edits to it will get removed if the file is opened in a newer version of Excel. Learn more: https://go.microsoft.com/fwlink/?linkid=870924
Comment:
	С ноября будет 749 поменять в формуле</t>
      </text>
    </comment>
    <comment authorId="0" ref="BP25">
      <text>
        <t xml:space="preserve">======
ID#AAABzHhPq2I
tc={0f8a6c68-7373-441d-a3f3-de2d79dcb402}    (2026-01-27 10:45:41)
[Threaded comment]
 Your version of Excel allows you to read this threaded comment; however, any edits to it will get removed if the file is opened in a newer version of Excel. Learn more: https://go.microsoft.com/fwlink/?linkid=870924
Comment:
	с ноября будет 749, поменять в формуле</t>
      </text>
    </comment>
  </commentList>
  <extLst>
    <ext uri="GoogleSheetsCustomDataVersion2">
      <go:sheetsCustomData xmlns:go="http://customooxmlschemas.google.com/" r:id="rId1" roundtripDataSignature="AMtx7mjtwe9Yr1uIJGfKuUEPGaKI4ifN9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======
ID#AAABzHhPq2k
tc={98c6f7d1-b1f1-46c0-beb5-9c7083a78159}    (2026-01-27 10:45:41)
[Threaded comment]
 Your version of Excel allows you to read this threaded comment; however, any edits to it will get removed if the file is opened in a newer version of Excel. Learn more: https://go.microsoft.com/fwlink/?linkid=870924
Comment:
	@tv@reveltonsuites.cz Просьба также вносить данные с счетчиков отопления</t>
      </text>
    </comment>
  </commentList>
  <extLst>
    <ext uri="GoogleSheetsCustomDataVersion2">
      <go:sheetsCustomData xmlns:go="http://customooxmlschemas.google.com/" r:id="rId1" roundtripDataSignature="AMtx7mh179K4t/bgSpQ3WivhDe35mlpRuw=="/>
    </ext>
  </extLst>
</comments>
</file>

<file path=xl/sharedStrings.xml><?xml version="1.0" encoding="utf-8"?>
<sst xmlns="http://schemas.openxmlformats.org/spreadsheetml/2006/main" count="2895" uniqueCount="544">
  <si>
    <t xml:space="preserve">Счетчик </t>
  </si>
  <si>
    <t xml:space="preserve">Нач </t>
  </si>
  <si>
    <t xml:space="preserve">Конец  </t>
  </si>
  <si>
    <t xml:space="preserve">Итого потребл. </t>
  </si>
  <si>
    <t xml:space="preserve">Пост. Платежи </t>
  </si>
  <si>
    <t xml:space="preserve">Перемен. </t>
  </si>
  <si>
    <t xml:space="preserve">Всего </t>
  </si>
  <si>
    <t>НДС 21%</t>
  </si>
  <si>
    <t xml:space="preserve">Всего с НДС </t>
  </si>
  <si>
    <t xml:space="preserve">ЕВРО </t>
  </si>
  <si>
    <t>Июль</t>
  </si>
  <si>
    <t xml:space="preserve">Ап1 </t>
  </si>
  <si>
    <t>Ап2</t>
  </si>
  <si>
    <t>Ап3</t>
  </si>
  <si>
    <t>Ап4</t>
  </si>
  <si>
    <t>Ап5</t>
  </si>
  <si>
    <t>Ап6</t>
  </si>
  <si>
    <t>Ап7</t>
  </si>
  <si>
    <t>Ап8</t>
  </si>
  <si>
    <t>Подъезд</t>
  </si>
  <si>
    <t xml:space="preserve">Админка </t>
  </si>
  <si>
    <t>Август</t>
  </si>
  <si>
    <t>Сентябрь</t>
  </si>
  <si>
    <t xml:space="preserve">Октябрь </t>
  </si>
  <si>
    <t xml:space="preserve">Ноябрь </t>
  </si>
  <si>
    <t xml:space="preserve">Декабрь </t>
  </si>
  <si>
    <t xml:space="preserve">Январь 2017 </t>
  </si>
  <si>
    <t xml:space="preserve">Февраль 2017 </t>
  </si>
  <si>
    <t xml:space="preserve"> - Модный доктор, неучтенное!!! </t>
  </si>
  <si>
    <t xml:space="preserve">апрель 2017 </t>
  </si>
  <si>
    <t>Админка 1</t>
  </si>
  <si>
    <t>Админка 2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</si>
  <si>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</si>
  <si>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</si>
  <si>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</si>
  <si>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</si>
  <si>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</si>
  <si>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</si>
  <si>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</si>
  <si>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</si>
  <si>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</si>
  <si>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</si>
  <si>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</si>
  <si>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</si>
  <si>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</si>
  <si>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</si>
  <si>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</si>
  <si>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</si>
  <si>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</si>
  <si>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</si>
  <si>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</si>
  <si>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</t>
  </si>
  <si>
    <t xml:space="preserve">2019 год </t>
  </si>
  <si>
    <t xml:space="preserve">Январь </t>
  </si>
  <si>
    <t xml:space="preserve">Февраль </t>
  </si>
  <si>
    <t>Март</t>
  </si>
  <si>
    <t>Апрель</t>
  </si>
  <si>
    <t>Май</t>
  </si>
  <si>
    <t>Июнь</t>
  </si>
  <si>
    <t>Июль 2019</t>
  </si>
  <si>
    <t>Октябрь</t>
  </si>
  <si>
    <t>Ноябрь</t>
  </si>
  <si>
    <t xml:space="preserve">2020 год </t>
  </si>
  <si>
    <t>Январь</t>
  </si>
  <si>
    <t>Февраль</t>
  </si>
  <si>
    <t>Отель</t>
  </si>
  <si>
    <t xml:space="preserve">Потребление БЛ (Доктор) </t>
  </si>
  <si>
    <t xml:space="preserve">Итого потребление ТГ </t>
  </si>
  <si>
    <t xml:space="preserve">В счете потребление </t>
  </si>
  <si>
    <t xml:space="preserve">Июль </t>
  </si>
  <si>
    <t xml:space="preserve">Январь  2021 </t>
  </si>
  <si>
    <t xml:space="preserve">Февраль 2021 </t>
  </si>
  <si>
    <t xml:space="preserve">Март 2021 </t>
  </si>
  <si>
    <t xml:space="preserve">Апрель 2021 </t>
  </si>
  <si>
    <t xml:space="preserve">Май 2021 </t>
  </si>
  <si>
    <t xml:space="preserve">Июнь 2021 </t>
  </si>
  <si>
    <t xml:space="preserve">Сентябрь. </t>
  </si>
  <si>
    <t>Январь 2022</t>
  </si>
  <si>
    <t>Февраль 2022</t>
  </si>
  <si>
    <t>Март 2022</t>
  </si>
  <si>
    <t>Апрель 2022</t>
  </si>
  <si>
    <t xml:space="preserve">Май </t>
  </si>
  <si>
    <t xml:space="preserve">Июнь </t>
  </si>
  <si>
    <t>Итого потребл. kWh</t>
  </si>
  <si>
    <t>Сумма без НДС</t>
  </si>
  <si>
    <t>Январь 2023</t>
  </si>
  <si>
    <t>Админка 2 основной</t>
  </si>
  <si>
    <t>Админка доктор Revelton</t>
  </si>
  <si>
    <t>Оплата Bagel</t>
  </si>
  <si>
    <t>аванс</t>
  </si>
  <si>
    <t>Оплата Revelton</t>
  </si>
  <si>
    <t>Февраль  2023</t>
  </si>
  <si>
    <t>Аванс</t>
  </si>
  <si>
    <t>Долг Bagel</t>
  </si>
  <si>
    <t>Март 2023</t>
  </si>
  <si>
    <t>Апрель  2023</t>
  </si>
  <si>
    <t>Май   2023</t>
  </si>
  <si>
    <t>Подъезд, лифт, прачечное оборудование</t>
  </si>
  <si>
    <t>В ОПиУ верная сумма</t>
  </si>
  <si>
    <t>Июнь   2023</t>
  </si>
  <si>
    <t>Июль   2023</t>
  </si>
  <si>
    <t>Август   2023</t>
  </si>
  <si>
    <t>Сентябрь    2023</t>
  </si>
  <si>
    <t>Октябрь    2023</t>
  </si>
  <si>
    <t>Ноябрь    2023</t>
  </si>
  <si>
    <t>Декабрь   2023</t>
  </si>
  <si>
    <t>Январь 2024</t>
  </si>
  <si>
    <t>Февраль 2024</t>
  </si>
  <si>
    <t>Март  2024</t>
  </si>
  <si>
    <t>Апрель  2024</t>
  </si>
  <si>
    <t>Май   2024</t>
  </si>
  <si>
    <t>Июнь    2024</t>
  </si>
  <si>
    <t>Июль    2024</t>
  </si>
  <si>
    <t>№5</t>
  </si>
  <si>
    <t>№3</t>
  </si>
  <si>
    <t>№1</t>
  </si>
  <si>
    <t>№2</t>
  </si>
  <si>
    <t>№4</t>
  </si>
  <si>
    <t>№6</t>
  </si>
  <si>
    <t>Август    2024</t>
  </si>
  <si>
    <t>Сентябрь    2024</t>
  </si>
  <si>
    <t>Октябрь    2024</t>
  </si>
  <si>
    <t>Ап1 -4</t>
  </si>
  <si>
    <t>Ап 5-8</t>
  </si>
  <si>
    <t>Ноябрь     2024</t>
  </si>
  <si>
    <t>Декабрь      2024</t>
  </si>
  <si>
    <t>Январь 2025</t>
  </si>
  <si>
    <t>Февраль 2025</t>
  </si>
  <si>
    <t>2019-2021</t>
  </si>
  <si>
    <t>Occupancy</t>
  </si>
  <si>
    <t>Los</t>
  </si>
  <si>
    <t>Qty guests</t>
  </si>
  <si>
    <t>Weather (monthly average)</t>
  </si>
  <si>
    <t xml:space="preserve">Март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</si>
  <si>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</si>
  <si>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</si>
  <si>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</si>
  <si>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</si>
  <si>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</si>
  <si>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</si>
  <si>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</si>
  <si>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</si>
  <si>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</si>
  <si>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</si>
  <si>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</si>
  <si>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</si>
  <si>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Electricity</t>
  </si>
  <si>
    <t>Meter reading №1</t>
  </si>
  <si>
    <t>Consumption</t>
  </si>
  <si>
    <t>-</t>
  </si>
  <si>
    <t>Meter reading №2</t>
  </si>
  <si>
    <t xml:space="preserve">Office meter </t>
  </si>
  <si>
    <t>Office consumption</t>
  </si>
  <si>
    <t>Tattoo salon meter</t>
  </si>
  <si>
    <t>Tattoo salon consumption</t>
  </si>
  <si>
    <t>consumption</t>
  </si>
  <si>
    <t>Total consumption</t>
  </si>
  <si>
    <t>Cost</t>
  </si>
  <si>
    <t>Amount for P&amp;L</t>
  </si>
  <si>
    <t>Comment</t>
  </si>
  <si>
    <t>Switch to spot pricing and lowering breaker capacity</t>
  </si>
  <si>
    <t xml:space="preserve">Water </t>
  </si>
  <si>
    <t>Meter readings</t>
  </si>
  <si>
    <t>(+) Fixed cost</t>
  </si>
  <si>
    <t>перерасчет</t>
  </si>
  <si>
    <t>Heating Gj</t>
  </si>
  <si>
    <t>замена счетчика</t>
  </si>
  <si>
    <t>Consumption per 1% occupancy</t>
  </si>
  <si>
    <t>Water</t>
  </si>
  <si>
    <t>Gas (heating), m3</t>
  </si>
  <si>
    <t>Масарика</t>
  </si>
  <si>
    <t>Вода план 2025</t>
  </si>
  <si>
    <t>Загрузка</t>
  </si>
  <si>
    <t>Потребление с учетом загрузки</t>
  </si>
  <si>
    <t>Предварительна цена 
122 Kč /m3</t>
  </si>
  <si>
    <t>Електричество план 2025</t>
  </si>
  <si>
    <t xml:space="preserve">Предварительна цена 5 Kč/ kwh
</t>
  </si>
  <si>
    <t>Отопление план 2025</t>
  </si>
  <si>
    <t>Предварительна цена 
749 Kč/Gj</t>
  </si>
  <si>
    <t>Налог на TV план 2025</t>
  </si>
  <si>
    <t>Česka  Tv 14580 Kč</t>
  </si>
  <si>
    <t>Rozhlas 4860 Kč</t>
  </si>
  <si>
    <t>Osa  9202 Kč</t>
  </si>
  <si>
    <t>Ялтская</t>
  </si>
  <si>
    <t>Предварительна цена 
105 Kč /m3</t>
  </si>
  <si>
    <t>Электричество план 2025</t>
  </si>
  <si>
    <t>Česka  Tv 12960 Kč</t>
  </si>
  <si>
    <t>Rozhlas 5400 Kč</t>
  </si>
  <si>
    <t>Osa  0 Kč</t>
  </si>
  <si>
    <t>Сумма c НДС 15.02 - 08.08.2024</t>
  </si>
  <si>
    <t>Сумма за год без НДС</t>
  </si>
  <si>
    <t>Списано в ОПиУ
Без НДС</t>
  </si>
  <si>
    <t>Оплачено авансами</t>
  </si>
  <si>
    <t>Разница</t>
  </si>
  <si>
    <t>БЕЗ НДС</t>
  </si>
  <si>
    <t xml:space="preserve">С НДС </t>
  </si>
  <si>
    <t>Списано в ОПиУ</t>
  </si>
  <si>
    <t>Сумма c НДС 9. 8. 2024 -6. 2. 2025</t>
  </si>
  <si>
    <t>Сумма c НДС 7. 2. 2025 -10. 8. 2025</t>
  </si>
  <si>
    <t>Amount incl. VAT 01.03 - 14.08.2024</t>
  </si>
  <si>
    <t>Amount for period ex. VAT</t>
  </si>
  <si>
    <t>Revelton  
Expensed to P&amp;L
Excl. VAT</t>
  </si>
  <si>
    <t>Paid by advances</t>
  </si>
  <si>
    <t>BL  
Expensed to P&amp;L
Excl. VAT</t>
  </si>
  <si>
    <t>Difference</t>
  </si>
  <si>
    <t>Revelton</t>
  </si>
  <si>
    <t>BL</t>
  </si>
  <si>
    <t>Excl. VAT</t>
  </si>
  <si>
    <t>Incl. VAT</t>
  </si>
  <si>
    <t>Expensed to P&amp;L</t>
  </si>
  <si>
    <t>BL in P&amp;L</t>
  </si>
  <si>
    <t>BL advances to us</t>
  </si>
  <si>
    <t>Actually payable (recalculation for BL)</t>
  </si>
  <si>
    <t>БЛ</t>
  </si>
  <si>
    <t>Balance due</t>
  </si>
  <si>
    <t>Amount incl. VAT 15.08.2024 - 18.02.2025</t>
  </si>
  <si>
    <t>15.8.2024 по 19.2.2025</t>
  </si>
  <si>
    <t>Amount incl. VAT 19.02.2025 - 11.08.2025</t>
  </si>
  <si>
    <t xml:space="preserve">Показания </t>
  </si>
  <si>
    <t>Заполнять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</si>
  <si>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</si>
  <si>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t xml:space="preserve">Горячая вода </t>
  </si>
  <si>
    <t>Тепло апарт</t>
  </si>
  <si>
    <t>Тепло МД</t>
  </si>
  <si>
    <t>Тепло БЛ</t>
  </si>
  <si>
    <t>Общее</t>
  </si>
  <si>
    <t xml:space="preserve">В деньгах, кроны </t>
  </si>
  <si>
    <t xml:space="preserve">апрель </t>
  </si>
  <si>
    <t xml:space="preserve">Сентябрь 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</si>
  <si>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</si>
  <si>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</si>
  <si>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</si>
  <si>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</si>
  <si>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</si>
  <si>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</si>
  <si>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</si>
  <si>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</si>
  <si>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 xml:space="preserve">В деньгах, ОТЕЛЬ </t>
  </si>
  <si>
    <t>Перерасчет БЛ</t>
  </si>
  <si>
    <t>Использовано за год GJ</t>
  </si>
  <si>
    <t>В деньгах за год без НДС</t>
  </si>
  <si>
    <t>Разница к оплате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</si>
  <si>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</si>
  <si>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</si>
  <si>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</si>
  <si>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</si>
  <si>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</si>
  <si>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</si>
  <si>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</si>
  <si>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</si>
  <si>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>В ОПиУ</t>
  </si>
  <si>
    <t>с фактур</t>
  </si>
  <si>
    <t>в опиу</t>
  </si>
  <si>
    <t>разница</t>
  </si>
  <si>
    <t>без ндс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</si>
  <si>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</si>
  <si>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</si>
  <si>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</si>
  <si>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</si>
  <si>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>к-во</t>
  </si>
  <si>
    <t>с ндс</t>
  </si>
  <si>
    <t>БЛ авансы</t>
  </si>
  <si>
    <t>01/01-31/01</t>
  </si>
  <si>
    <t>01/02-29/02</t>
  </si>
  <si>
    <t>01/03-31/03</t>
  </si>
  <si>
    <t>01/04-30/04</t>
  </si>
  <si>
    <t>01/05-31/05</t>
  </si>
  <si>
    <t>01/06-30/06</t>
  </si>
  <si>
    <t>01/07-31/07</t>
  </si>
  <si>
    <t>01/08-31/08</t>
  </si>
  <si>
    <t>01/09-30/09</t>
  </si>
  <si>
    <t>01/10-31/10</t>
  </si>
  <si>
    <t>01/11-31/11</t>
  </si>
  <si>
    <t>01/12-31/12</t>
  </si>
  <si>
    <t>КОПИЯ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</si>
  <si>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</si>
  <si>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</si>
  <si>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</si>
  <si>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</si>
  <si>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>Общее потребление (отель + БЛ)</t>
  </si>
  <si>
    <t xml:space="preserve">БЛ </t>
  </si>
  <si>
    <r>
      <rPr>
        <rFont val="Calibri"/>
        <color theme="1"/>
      </rPr>
      <t xml:space="preserve">Использование (формулы, </t>
    </r>
    <r>
      <rPr>
        <rFont val="Calibri"/>
        <b/>
        <color theme="1"/>
      </rPr>
      <t>не заполнять</t>
    </r>
    <r>
      <rPr>
        <rFont val="Calibri"/>
        <color theme="1"/>
      </rPr>
      <t>)</t>
    </r>
  </si>
  <si>
    <r>
      <rPr>
        <rFont val="Calibri"/>
        <color rgb="FF000000"/>
        <sz val="12.0"/>
      </rPr>
      <t xml:space="preserve">Тепло апарт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</si>
  <si>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</si>
  <si>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Тепло БЛ </t>
    </r>
    <r>
      <rPr>
        <rFont val="Calibri"/>
        <b/>
        <color rgb="FF000000"/>
        <sz val="12.0"/>
      </rPr>
      <t>M2</t>
    </r>
  </si>
  <si>
    <t>В деньгах общее</t>
  </si>
  <si>
    <t>LOS (Length of Stay)</t>
  </si>
  <si>
    <t>Weather (monthly avg)</t>
  </si>
  <si>
    <t xml:space="preserve">Electricity </t>
  </si>
  <si>
    <t>Meter reading Apts 1-4</t>
  </si>
  <si>
    <t>Meter reading Apts 5-8</t>
  </si>
  <si>
    <t>Meter reading Entrance, elevator, laundry
High tariff</t>
  </si>
  <si>
    <t>Meter reading Entrance, elevator, laundry
Low tariff</t>
  </si>
  <si>
    <t>Meter reading Admin 1</t>
  </si>
  <si>
    <t>Meter reading Admin 2 main</t>
  </si>
  <si>
    <t>Meter reading Admin doctor Revelton</t>
  </si>
  <si>
    <t>Consumption Apts 1-4</t>
  </si>
  <si>
    <t>Consumption Apts 5-8</t>
  </si>
  <si>
    <t>Consump. Entrance, elevator, laundry
High tariff</t>
  </si>
  <si>
    <t>Consump. Entrance, elevator, laundry
Low tariff</t>
  </si>
  <si>
    <t>Consumption Admin 1</t>
  </si>
  <si>
    <t>Consumption Admin 2 main</t>
  </si>
  <si>
    <t>Consumption Admin doctor Revelton</t>
  </si>
  <si>
    <t>Consumption BL</t>
  </si>
  <si>
    <t>Consumption Revelton</t>
  </si>
  <si>
    <t>Cost high tariff</t>
  </si>
  <si>
    <t>Cost low tariff</t>
  </si>
  <si>
    <t>Amount for BL</t>
  </si>
  <si>
    <t>47</t>
  </si>
  <si>
    <t>55</t>
  </si>
  <si>
    <t>58</t>
  </si>
  <si>
    <t>45</t>
  </si>
  <si>
    <t>40</t>
  </si>
  <si>
    <t>48</t>
  </si>
  <si>
    <t>36</t>
  </si>
  <si>
    <t>66</t>
  </si>
  <si>
    <t>75</t>
  </si>
  <si>
    <t>72</t>
  </si>
  <si>
    <t>49</t>
  </si>
  <si>
    <t>65</t>
  </si>
  <si>
    <t>51</t>
  </si>
  <si>
    <t>50</t>
  </si>
  <si>
    <t xml:space="preserve"> -</t>
  </si>
  <si>
    <t>Total payment</t>
  </si>
  <si>
    <t>Payment BL</t>
  </si>
  <si>
    <t>Счетчик на воду общий, потребление между БД и Revelton делится вручную</t>
  </si>
  <si>
    <t>Heating Gj (total)</t>
  </si>
  <si>
    <t>Readings Heat Apts M1</t>
  </si>
  <si>
    <t>Readings Heat MD M3</t>
  </si>
  <si>
    <t>Readings Heat BL M2</t>
  </si>
  <si>
    <t>Readings Hot water</t>
  </si>
  <si>
    <t>Consumption Apts M1</t>
  </si>
  <si>
    <t>Consumption Heat MD M3</t>
  </si>
  <si>
    <t>Consumption Heat BL M2</t>
  </si>
  <si>
    <t>Consumption Hot water</t>
  </si>
  <si>
    <t>5</t>
  </si>
  <si>
    <t>2</t>
  </si>
  <si>
    <t>25</t>
  </si>
  <si>
    <t>17</t>
  </si>
  <si>
    <t>19,5</t>
  </si>
  <si>
    <t>7</t>
  </si>
  <si>
    <t>10</t>
  </si>
  <si>
    <t>24</t>
  </si>
  <si>
    <t>27</t>
  </si>
  <si>
    <t>БЛ компенсирвали 111320 Kč без НДС</t>
  </si>
  <si>
    <t>БЛ компенсирвали 74 939 Kč без НДС</t>
  </si>
  <si>
    <t>В 2022 в ОПиУ Revelton пошел только расход за апартаменты</t>
  </si>
  <si>
    <t>новый счетчик</t>
  </si>
  <si>
    <t>еще не делали перерасчет для БЛ, ждем завершение ремонта оборудования</t>
  </si>
  <si>
    <t>from invoices</t>
  </si>
  <si>
    <t>Heating, Gj</t>
  </si>
  <si>
    <t>Meter reading #1</t>
  </si>
  <si>
    <t>Электрику планировала расход соотносительно загрузке</t>
  </si>
  <si>
    <t xml:space="preserve">Стоимость увеличила на 20 центов с Марта </t>
  </si>
  <si>
    <t>Meter reading #2</t>
  </si>
  <si>
    <t>Office meter</t>
  </si>
  <si>
    <t>Consumption 25</t>
  </si>
  <si>
    <t xml:space="preserve">Учла экономию 20 процентов </t>
  </si>
  <si>
    <t>Heating Gj (Gigajoules)</t>
  </si>
  <si>
    <t>По отоплению учла 10 процентов экономиии</t>
  </si>
  <si>
    <t>I have switched to a new plan.</t>
  </si>
  <si>
    <t>The savings from the night tariff have been taken into account in the cost calculation.</t>
  </si>
  <si>
    <t>Показания счётчика Ап 1-4</t>
  </si>
  <si>
    <t>Показания счётчика Ап 5-8</t>
  </si>
  <si>
    <t>Показания счётчика Подъезд, лифт, прачка 
Высокий тариф</t>
  </si>
  <si>
    <t>Показания счётчика Подъезд, лифт, прачка
Низкий тариф</t>
  </si>
  <si>
    <t xml:space="preserve">Показания счётчика Админка 1 </t>
  </si>
  <si>
    <t>Показания счётчика Админка 2 основной</t>
  </si>
  <si>
    <t>Показания счётчика Админка доктор Revelton</t>
  </si>
  <si>
    <t>Расход Ап 1-4</t>
  </si>
  <si>
    <t>Расход Ап 5-8</t>
  </si>
  <si>
    <t>Расход Подъезд, лифт, прачка
Высокий тариф</t>
  </si>
  <si>
    <t>Расход Подъезд, лифт, прачка
Низкий тариф</t>
  </si>
  <si>
    <t xml:space="preserve">Расход Админка 1 </t>
  </si>
  <si>
    <t>Расход Админка 2 основной</t>
  </si>
  <si>
    <t>Расход Админка доктор Revelton</t>
  </si>
  <si>
    <t>Расход БЛ</t>
  </si>
  <si>
    <t>Показания счётчиков</t>
  </si>
  <si>
    <t>Расход  общий</t>
  </si>
  <si>
    <t>Расход  БЛ</t>
  </si>
  <si>
    <t>64</t>
  </si>
  <si>
    <t>70</t>
  </si>
  <si>
    <t>44</t>
  </si>
  <si>
    <t>62</t>
  </si>
  <si>
    <t>52</t>
  </si>
  <si>
    <t>54</t>
  </si>
  <si>
    <t>A 5 percent reduction in water consumption has been considered.</t>
  </si>
  <si>
    <t xml:space="preserve">Оплата общая </t>
  </si>
  <si>
    <t>Оплата БЛ</t>
  </si>
  <si>
    <t>A 10 percent reduction in heating consumption has also been considered.</t>
  </si>
  <si>
    <r>
      <rPr>
        <rFont val="Calibri"/>
        <color rgb="FF000000"/>
        <sz val="12.0"/>
      </rPr>
      <t xml:space="preserve">Показания Тепло апарты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</si>
  <si>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Показания 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</si>
  <si>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Показания Тепло БЛ </t>
    </r>
    <r>
      <rPr>
        <rFont val="Calibri"/>
        <b/>
        <color rgb="FF000000"/>
        <sz val="12.0"/>
      </rPr>
      <t>M2</t>
    </r>
  </si>
  <si>
    <t xml:space="preserve">Показания Горячая вода </t>
  </si>
  <si>
    <t>Расход всего</t>
  </si>
  <si>
    <r>
      <rPr>
        <rFont val="Calibri"/>
        <color rgb="FF000000"/>
        <sz val="12.0"/>
      </rPr>
      <t xml:space="preserve">Расход апарты </t>
    </r>
    <r>
      <rPr>
        <rFont val="Calibri"/>
        <b/>
        <color rgb="FF000000"/>
        <sz val="12.0"/>
      </rPr>
      <t>M1</t>
    </r>
  </si>
  <si>
    <r>
      <rPr>
        <rFont val="Calibri"/>
        <color rgb="FF000000"/>
        <sz val="12.0"/>
      </rPr>
      <t xml:space="preserve">Расход Тепло МД </t>
    </r>
    <r>
      <rPr>
        <rFont val="Calibri"/>
        <b/>
        <color rgb="FF000000"/>
        <sz val="12.0"/>
      </rPr>
      <t>M3</t>
    </r>
  </si>
  <si>
    <r>
      <rPr>
        <rFont val="Calibri"/>
        <color rgb="FF000000"/>
        <sz val="12.0"/>
      </rPr>
      <t xml:space="preserve">Расход Тепло БЛ </t>
    </r>
    <r>
      <rPr>
        <rFont val="Calibri"/>
        <b/>
        <color rgb="FF000000"/>
        <sz val="12.0"/>
      </rPr>
      <t>M2</t>
    </r>
  </si>
  <si>
    <t xml:space="preserve">Расход Горячая вода </t>
  </si>
  <si>
    <t>28</t>
  </si>
  <si>
    <t>31</t>
  </si>
  <si>
    <t>15</t>
  </si>
  <si>
    <t>18</t>
  </si>
  <si>
    <t>34</t>
  </si>
  <si>
    <t>Сумма для БЛ</t>
  </si>
  <si>
    <t>07.2022 - 07.2023</t>
  </si>
  <si>
    <t>№7</t>
  </si>
  <si>
    <t>№8</t>
  </si>
  <si>
    <t>№9</t>
  </si>
  <si>
    <t>№10</t>
  </si>
  <si>
    <t>Без НДС</t>
  </si>
  <si>
    <t>Сумма за год</t>
  </si>
  <si>
    <t>2.07.2022 - 24.07.2023
kWh</t>
  </si>
  <si>
    <t>?</t>
  </si>
  <si>
    <t>07.2023-06.2024</t>
  </si>
  <si>
    <t>25.07.2023 - 30.06.2024
kWh</t>
  </si>
  <si>
    <t>Списано в ОПиУ Ревелтон</t>
  </si>
  <si>
    <t>в корректировки</t>
  </si>
  <si>
    <t>03.07.2024-05.12.2024 (снижение йистича и смена к-ва счетчиков)</t>
  </si>
  <si>
    <t>Сумма за период</t>
  </si>
  <si>
    <t>kWh</t>
  </si>
  <si>
    <t xml:space="preserve">03.07.2024-30.04.2025 </t>
  </si>
  <si>
    <t>Сумма БЛ</t>
  </si>
  <si>
    <t>Показания счётчика Подъезд, лифт, прачка
EAN 859182400894220688</t>
  </si>
  <si>
    <t>Потреблено</t>
  </si>
  <si>
    <t>Стоимость</t>
  </si>
  <si>
    <t>Фикс.платеж</t>
  </si>
  <si>
    <t>Показания счётчика Админка 2 основной
EAN: 859182400894695844</t>
  </si>
  <si>
    <t>Потреблено VT</t>
  </si>
  <si>
    <t>Потреблено NT</t>
  </si>
  <si>
    <t>СтоимостьVT</t>
  </si>
  <si>
    <t>СтоимостьNT</t>
  </si>
  <si>
    <t>Показания счётчика Ап 1-4
EAN: 859182400801080268</t>
  </si>
  <si>
    <t>Показания счётчика Подъезд, лифт, прачка
EAN: 859182400801080268</t>
  </si>
  <si>
    <t>Средняя стоимость</t>
  </si>
  <si>
    <t xml:space="preserve">01.05.2025-02.07.2025 </t>
  </si>
  <si>
    <t>2 136,84</t>
  </si>
  <si>
    <t>Показания счётчика Ап 1-4
EAN: 859182400801081043</t>
  </si>
  <si>
    <t>Number of arrivals</t>
  </si>
  <si>
    <t>Number of occupied apartments</t>
  </si>
  <si>
    <t>Number of guests</t>
  </si>
  <si>
    <t>Meter reading No. 1</t>
  </si>
  <si>
    <t>Meter reading No. 2</t>
  </si>
  <si>
    <t>Heating (GJ)</t>
  </si>
  <si>
    <t>Total meter readings</t>
  </si>
  <si>
    <t>Hot water meter readings</t>
  </si>
  <si>
    <t>Hot water consumption (m³)</t>
  </si>
  <si>
    <t>Hot water consumption converted to GJ</t>
  </si>
  <si>
    <t>Heating consumption (GJ)</t>
  </si>
  <si>
    <t>Laundry</t>
  </si>
  <si>
    <t>Number of washes</t>
  </si>
  <si>
    <t>Number of drying cycles</t>
  </si>
  <si>
    <t>Март 2024</t>
  </si>
  <si>
    <t>Март 2025</t>
  </si>
  <si>
    <t>Апрель 2023</t>
  </si>
  <si>
    <t>Апрель 2024</t>
  </si>
  <si>
    <t>Апрель 2025</t>
  </si>
  <si>
    <t>Расход</t>
  </si>
  <si>
    <t>1.</t>
  </si>
  <si>
    <t>Влияет ли на расход котнтоль радиаторов?</t>
  </si>
  <si>
    <t>2.</t>
  </si>
  <si>
    <t>Кто урпавляет системой Home Assistant?</t>
  </si>
  <si>
    <t xml:space="preserve">3. </t>
  </si>
  <si>
    <t>Сценарии отопления (обновить инфо)</t>
  </si>
  <si>
    <t>4.</t>
  </si>
  <si>
    <t>Влияет ли на потребление если снижать температуру при выездах и потом снова обогревать?</t>
  </si>
  <si>
    <t>5.</t>
  </si>
  <si>
    <t>Можно ли разделить счетчики на отопление и горячую воду?</t>
  </si>
  <si>
    <t>6.</t>
  </si>
  <si>
    <t>Привязаны ли датчики к погодным условиям?</t>
  </si>
  <si>
    <t xml:space="preserve">Электричество </t>
  </si>
  <si>
    <t>Сеньтябрь</t>
  </si>
  <si>
    <t xml:space="preserve">Апрель 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</si>
  <si>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</si>
  <si>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</si>
  <si>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</si>
  <si>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</si>
  <si>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</si>
  <si>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</si>
  <si>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</si>
  <si>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</si>
  <si>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Февраль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</si>
  <si>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</si>
  <si>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</si>
  <si>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</si>
  <si>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</si>
  <si>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</si>
  <si>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</si>
  <si>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</si>
  <si>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</si>
  <si>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Май 2024</t>
  </si>
  <si>
    <t>Июнь  2024</t>
  </si>
  <si>
    <t>Июль  2024</t>
  </si>
  <si>
    <t>Август  2024</t>
  </si>
  <si>
    <t>Сентябрь  2024</t>
  </si>
  <si>
    <t>Октябрь  2024</t>
  </si>
  <si>
    <t>Ноябрь   2024</t>
  </si>
  <si>
    <t>Декабрь    2024</t>
  </si>
  <si>
    <t>Апрлель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</si>
  <si>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</si>
  <si>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</si>
  <si>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</si>
  <si>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</si>
  <si>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</si>
  <si>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</si>
  <si>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</si>
  <si>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</si>
  <si>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Т2</t>
  </si>
  <si>
    <t>Второй счетчик</t>
  </si>
  <si>
    <t>Офис</t>
  </si>
  <si>
    <t>Тату салон</t>
  </si>
  <si>
    <t>Потребление Отель</t>
  </si>
  <si>
    <t>Расход в Кс Отель</t>
  </si>
  <si>
    <t>Потребление Офис</t>
  </si>
  <si>
    <t>Расход в Кс Офис</t>
  </si>
  <si>
    <t>ПотреблениеТату салон</t>
  </si>
  <si>
    <t>Расход в Кс Тату салон</t>
  </si>
  <si>
    <t xml:space="preserve">Вода </t>
  </si>
  <si>
    <t xml:space="preserve">Потребление </t>
  </si>
  <si>
    <t xml:space="preserve">Расход в Кс </t>
  </si>
  <si>
    <t xml:space="preserve">Отопление </t>
  </si>
  <si>
    <t>23. 6. 2022 – 23. 6. 2023</t>
  </si>
  <si>
    <t>Сумма за год c НДС</t>
  </si>
  <si>
    <t xml:space="preserve">
kWh</t>
  </si>
  <si>
    <t xml:space="preserve"> 1.9.2024 - 30.4.2025</t>
  </si>
  <si>
    <t xml:space="preserve">Показания на 31 число закрываемого месяца. 31 июля, 31 августа и тд. </t>
  </si>
  <si>
    <t xml:space="preserve">НДС 15% </t>
  </si>
  <si>
    <t xml:space="preserve">Показание </t>
  </si>
  <si>
    <t xml:space="preserve">Август </t>
  </si>
  <si>
    <t xml:space="preserve">Итого </t>
  </si>
  <si>
    <t xml:space="preserve">октябрь </t>
  </si>
  <si>
    <t xml:space="preserve">ноябрь </t>
  </si>
  <si>
    <t xml:space="preserve">декабрь </t>
  </si>
  <si>
    <t xml:space="preserve">январь </t>
  </si>
  <si>
    <t>м3</t>
  </si>
  <si>
    <t xml:space="preserve">Канал </t>
  </si>
  <si>
    <t>Плат. 1</t>
  </si>
  <si>
    <t xml:space="preserve">дни </t>
  </si>
  <si>
    <t>Плат. 2</t>
  </si>
  <si>
    <t xml:space="preserve">НДС </t>
  </si>
  <si>
    <t xml:space="preserve">Разница </t>
  </si>
  <si>
    <t>???</t>
  </si>
  <si>
    <t>Январь 2019</t>
  </si>
  <si>
    <t xml:space="preserve"> Июль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</si>
</sst>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.mm.yyyy"/>
    <numFmt numFmtId="165" formatCode="#,##0.00[$ Kč]"/>
    <numFmt numFmtId="166" formatCode="#,##0[$Kč]"/>
    <numFmt numFmtId="167" formatCode="#,##0.00[$Kč]"/>
    <numFmt numFmtId="168" formatCode="#,##0[$ Kč]"/>
    <numFmt numFmtId="169" formatCode="#,##0.0[$Kč]"/>
    <numFmt numFmtId="170" formatCode="[$€]#,##0"/>
    <numFmt numFmtId="171" formatCode="m.yyyy"/>
    <numFmt numFmtId="172" formatCode="[$€]#,##0.00"/>
    <numFmt numFmtId="173" formatCode="mm.yyyy"/>
    <numFmt numFmtId="174" formatCode="dd.mm"/>
  </numFmts>
  <fonts count="27">
    <font>
      <sz val="12.0"/>
      <color rgb="FF000000"/>
      <name val="Calibri"/>
      <scheme val="minor"/>
    </font>
    <font>
      <b/>
      <sz val="12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b/>
      <sz val="12.0"/>
      <color rgb="FFFFFFFF"/>
      <name val="Calibri"/>
    </font>
    <font>
      <b/>
      <color rgb="FFFFFFFF"/>
      <name val="Calibri"/>
      <scheme val="minor"/>
    </font>
    <font>
      <sz val="12.0"/>
      <color theme="1"/>
      <name val="Calibri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sz val="12.0"/>
      <color rgb="FF000000"/>
      <name val="Roboto"/>
    </font>
    <font>
      <b/>
      <sz val="9.0"/>
      <color rgb="FF000000"/>
      <name val="Arial"/>
    </font>
    <font>
      <sz val="9.0"/>
      <color rgb="FF000000"/>
      <name val="Calibri"/>
    </font>
    <font>
      <sz val="9.0"/>
      <color theme="1"/>
      <name val="Arial"/>
    </font>
    <font>
      <sz val="11.0"/>
      <color rgb="FF000000"/>
      <name val="Arial"/>
    </font>
    <font>
      <sz val="11.0"/>
      <color theme="1"/>
      <name val="Calibri"/>
      <scheme val="minor"/>
    </font>
    <font>
      <sz val="12.0"/>
      <color rgb="FF000000"/>
      <name val="Arial"/>
    </font>
    <font>
      <color theme="1"/>
      <name val="Open Sans"/>
    </font>
    <font>
      <sz val="11.0"/>
      <color rgb="FF1A1A1A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</fills>
  <borders count="12">
    <border/>
    <border>
      <left/>
      <right/>
      <top/>
      <bottom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shrinkToFit="0" wrapText="0"/>
    </xf>
    <xf borderId="0" fillId="0" fontId="2" numFmtId="0" xfId="0" applyFont="1"/>
    <xf borderId="0" fillId="2" fontId="3" numFmtId="0" xfId="0" applyFont="1"/>
    <xf borderId="0" fillId="0" fontId="4" numFmtId="0" xfId="0" applyAlignment="1" applyFont="1">
      <alignment shrinkToFit="0" wrapText="0"/>
    </xf>
    <xf borderId="0" fillId="2" fontId="4" numFmtId="0" xfId="0" applyAlignment="1" applyFont="1">
      <alignment shrinkToFit="0" wrapText="0"/>
    </xf>
    <xf borderId="0" fillId="0" fontId="4" numFmtId="2" xfId="0" applyAlignment="1" applyFont="1" applyNumberFormat="1">
      <alignment shrinkToFit="0" wrapText="0"/>
    </xf>
    <xf borderId="0" fillId="0" fontId="4" numFmtId="17" xfId="0" applyAlignment="1" applyFont="1" applyNumberFormat="1">
      <alignment shrinkToFit="0" wrapText="0"/>
    </xf>
    <xf borderId="1" fillId="3" fontId="4" numFmtId="0" xfId="0" applyAlignment="1" applyBorder="1" applyFill="1" applyFont="1">
      <alignment shrinkToFit="0" wrapText="0"/>
    </xf>
    <xf borderId="1" fillId="2" fontId="4" numFmtId="0" xfId="0" applyAlignment="1" applyBorder="1" applyFont="1">
      <alignment shrinkToFit="0" wrapText="0"/>
    </xf>
    <xf borderId="1" fillId="3" fontId="4" numFmtId="2" xfId="0" applyAlignment="1" applyBorder="1" applyFont="1" applyNumberFormat="1">
      <alignment shrinkToFit="0" wrapText="0"/>
    </xf>
    <xf borderId="0" fillId="2" fontId="4" numFmtId="0" xfId="0" applyAlignment="1" applyFont="1">
      <alignment horizontal="right" shrinkToFit="0" vertical="bottom" wrapText="0"/>
    </xf>
    <xf borderId="1" fillId="4" fontId="4" numFmtId="2" xfId="0" applyAlignment="1" applyBorder="1" applyFill="1" applyFont="1" applyNumberFormat="1">
      <alignment shrinkToFit="0" wrapText="0"/>
    </xf>
    <xf borderId="0" fillId="0" fontId="4" numFmtId="0" xfId="0" applyAlignment="1" applyFont="1">
      <alignment horizontal="right" shrinkToFit="0" vertical="bottom" wrapText="0"/>
    </xf>
    <xf borderId="0" fillId="0" fontId="3" numFmtId="0" xfId="0" applyFont="1"/>
    <xf borderId="0" fillId="0" fontId="3" numFmtId="2" xfId="0" applyFont="1" applyNumberFormat="1"/>
    <xf borderId="0" fillId="0" fontId="3" numFmtId="0" xfId="0" applyFont="1"/>
    <xf borderId="0" fillId="3" fontId="3" numFmtId="2" xfId="0" applyFont="1" applyNumberFormat="1"/>
    <xf borderId="0" fillId="4" fontId="3" numFmtId="4" xfId="0" applyFont="1" applyNumberFormat="1"/>
    <xf borderId="0" fillId="4" fontId="3" numFmtId="2" xfId="0" applyFont="1" applyNumberFormat="1"/>
    <xf borderId="0" fillId="5" fontId="1" numFmtId="0" xfId="0" applyAlignment="1" applyFill="1" applyFont="1">
      <alignment shrinkToFit="0" wrapText="0"/>
    </xf>
    <xf borderId="0" fillId="5" fontId="2" numFmtId="0" xfId="0" applyFont="1"/>
    <xf borderId="0" fillId="2" fontId="2" numFmtId="0" xfId="0" applyFont="1"/>
    <xf borderId="0" fillId="6" fontId="5" numFmtId="0" xfId="0" applyAlignment="1" applyFill="1" applyFont="1">
      <alignment shrinkToFit="0" wrapText="0"/>
    </xf>
    <xf borderId="0" fillId="6" fontId="6" numFmtId="0" xfId="0" applyFont="1"/>
    <xf borderId="0" fillId="2" fontId="6" numFmtId="0" xfId="0" applyFont="1"/>
    <xf borderId="0" fillId="7" fontId="1" numFmtId="164" xfId="0" applyAlignment="1" applyFill="1" applyFont="1" applyNumberFormat="1">
      <alignment shrinkToFit="0" wrapText="0"/>
    </xf>
    <xf borderId="0" fillId="7" fontId="3" numFmtId="0" xfId="0" applyFont="1"/>
    <xf borderId="0" fillId="7" fontId="4" numFmtId="0" xfId="0" applyAlignment="1" applyFont="1">
      <alignment shrinkToFit="0" wrapText="0"/>
    </xf>
    <xf borderId="0" fillId="7" fontId="4" numFmtId="0" xfId="0" applyAlignment="1" applyFont="1">
      <alignment horizontal="right" shrinkToFit="0" vertical="bottom" wrapText="0"/>
    </xf>
    <xf borderId="0" fillId="7" fontId="4" numFmtId="2" xfId="0" applyAlignment="1" applyFont="1" applyNumberFormat="1">
      <alignment shrinkToFit="0" wrapText="0"/>
    </xf>
    <xf borderId="0" fillId="8" fontId="4" numFmtId="2" xfId="0" applyAlignment="1" applyFill="1" applyFont="1" applyNumberFormat="1">
      <alignment shrinkToFit="0" wrapText="0"/>
    </xf>
    <xf borderId="1" fillId="7" fontId="4" numFmtId="2" xfId="0" applyAlignment="1" applyBorder="1" applyFont="1" applyNumberFormat="1">
      <alignment shrinkToFit="0" wrapText="0"/>
    </xf>
    <xf borderId="0" fillId="7" fontId="3" numFmtId="2" xfId="0" applyFont="1" applyNumberFormat="1"/>
    <xf borderId="0" fillId="7" fontId="3" numFmtId="4" xfId="0" applyFont="1" applyNumberFormat="1"/>
    <xf borderId="0" fillId="7" fontId="3" numFmtId="1" xfId="0" applyFont="1" applyNumberFormat="1"/>
    <xf borderId="0" fillId="9" fontId="4" numFmtId="0" xfId="0" applyAlignment="1" applyFill="1" applyFont="1">
      <alignment shrinkToFit="0" wrapText="0"/>
    </xf>
    <xf borderId="0" fillId="9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shrinkToFit="0" wrapText="0"/>
    </xf>
    <xf borderId="0" fillId="2" fontId="4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0" fontId="4" numFmtId="165" xfId="0" applyAlignment="1" applyFont="1" applyNumberFormat="1">
      <alignment shrinkToFit="0" wrapText="0"/>
    </xf>
    <xf borderId="1" fillId="4" fontId="4" numFmtId="165" xfId="0" applyAlignment="1" applyBorder="1" applyFont="1" applyNumberFormat="1">
      <alignment shrinkToFit="0" wrapText="0"/>
    </xf>
    <xf borderId="0" fillId="3" fontId="3" numFmtId="165" xfId="0" applyFont="1" applyNumberFormat="1"/>
    <xf borderId="0" fillId="4" fontId="3" numFmtId="165" xfId="0" applyFont="1" applyNumberFormat="1"/>
    <xf borderId="0" fillId="0" fontId="3" numFmtId="165" xfId="0" applyFont="1" applyNumberFormat="1"/>
    <xf borderId="0" fillId="0" fontId="4" numFmtId="0" xfId="0" applyAlignment="1" applyFont="1">
      <alignment horizontal="right" vertical="bottom"/>
    </xf>
    <xf borderId="0" fillId="4" fontId="3" numFmtId="0" xfId="0" applyFont="1"/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4" fontId="4" numFmtId="0" xfId="0" applyAlignment="1" applyFont="1">
      <alignment vertical="bottom"/>
    </xf>
    <xf borderId="0" fillId="4" fontId="4" numFmtId="165" xfId="0" applyAlignment="1" applyFont="1" applyNumberFormat="1">
      <alignment horizontal="right" vertical="bottom"/>
    </xf>
    <xf borderId="0" fillId="3" fontId="7" numFmtId="165" xfId="0" applyAlignment="1" applyFont="1" applyNumberFormat="1">
      <alignment horizontal="right" vertical="bottom"/>
    </xf>
    <xf borderId="0" fillId="4" fontId="7" numFmtId="165" xfId="0" applyAlignment="1" applyFont="1" applyNumberFormat="1">
      <alignment horizontal="right" vertical="bottom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vertical="bottom"/>
    </xf>
    <xf borderId="0" fillId="2" fontId="7" numFmtId="0" xfId="0" applyAlignment="1" applyFont="1">
      <alignment horizontal="right" vertical="bottom"/>
    </xf>
    <xf borderId="0" fillId="0" fontId="7" numFmtId="165" xfId="0" applyAlignment="1" applyFont="1" applyNumberFormat="1">
      <alignment horizontal="right" vertical="bottom"/>
    </xf>
    <xf borderId="0" fillId="0" fontId="1" numFmtId="0" xfId="0" applyAlignment="1" applyFon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3" numFmtId="166" xfId="0" applyFont="1" applyNumberFormat="1"/>
    <xf borderId="0" fillId="0" fontId="4" numFmtId="166" xfId="0" applyAlignment="1" applyFont="1" applyNumberFormat="1">
      <alignment shrinkToFit="0" wrapText="0"/>
    </xf>
    <xf borderId="0" fillId="0" fontId="4" numFmtId="0" xfId="0" applyAlignment="1" applyFont="1">
      <alignment shrinkToFit="0" wrapText="1"/>
    </xf>
    <xf borderId="0" fillId="4" fontId="4" numFmtId="165" xfId="0" applyAlignment="1" applyFont="1" applyNumberFormat="1">
      <alignment shrinkToFit="0" wrapText="0"/>
    </xf>
    <xf borderId="0" fillId="0" fontId="3" numFmtId="0" xfId="0" applyAlignment="1" applyFont="1">
      <alignment shrinkToFit="0" wrapText="1"/>
    </xf>
    <xf borderId="0" fillId="3" fontId="3" numFmtId="0" xfId="0" applyAlignment="1" applyFont="1">
      <alignment shrinkToFit="0" wrapText="1"/>
    </xf>
    <xf borderId="0" fillId="10" fontId="4" numFmtId="0" xfId="0" applyAlignment="1" applyFill="1" applyFont="1">
      <alignment shrinkToFit="0" wrapText="0"/>
    </xf>
    <xf borderId="0" fillId="10" fontId="4" numFmtId="2" xfId="0" applyAlignment="1" applyFont="1" applyNumberFormat="1">
      <alignment shrinkToFit="0" wrapText="0"/>
    </xf>
    <xf borderId="0" fillId="11" fontId="3" numFmtId="0" xfId="0" applyAlignment="1" applyFill="1" applyFont="1">
      <alignment shrinkToFit="0" wrapText="1"/>
    </xf>
    <xf borderId="0" fillId="3" fontId="4" numFmtId="0" xfId="0" applyAlignment="1" applyFont="1">
      <alignment horizontal="right" vertical="bottom"/>
    </xf>
    <xf borderId="0" fillId="3" fontId="4" numFmtId="0" xfId="0" applyAlignment="1" applyFont="1">
      <alignment shrinkToFit="0" wrapText="0"/>
    </xf>
    <xf borderId="0" fillId="3" fontId="4" numFmtId="166" xfId="0" applyAlignment="1" applyFont="1" applyNumberFormat="1">
      <alignment shrinkToFit="0" wrapText="0"/>
    </xf>
    <xf borderId="0" fillId="10" fontId="3" numFmtId="0" xfId="0" applyFont="1"/>
    <xf borderId="0" fillId="10" fontId="3" numFmtId="166" xfId="0" applyFont="1" applyNumberFormat="1"/>
    <xf borderId="0" fillId="11" fontId="4" numFmtId="0" xfId="0" applyAlignment="1" applyFont="1">
      <alignment horizontal="right" vertical="bottom"/>
    </xf>
    <xf borderId="0" fillId="11" fontId="8" numFmtId="0" xfId="0" applyFont="1"/>
    <xf borderId="0" fillId="11" fontId="4" numFmtId="166" xfId="0" applyAlignment="1" applyFont="1" applyNumberFormat="1">
      <alignment shrinkToFit="0" wrapText="0"/>
    </xf>
    <xf borderId="0" fillId="3" fontId="3" numFmtId="0" xfId="0" applyFont="1"/>
    <xf borderId="0" fillId="11" fontId="3" numFmtId="0" xfId="0" applyFont="1"/>
    <xf borderId="0" fillId="11" fontId="4" numFmtId="0" xfId="0" applyAlignment="1" applyFont="1">
      <alignment shrinkToFit="0" wrapText="0"/>
    </xf>
    <xf borderId="0" fillId="11" fontId="3" numFmtId="166" xfId="0" applyFont="1" applyNumberFormat="1"/>
    <xf borderId="0" fillId="3" fontId="3" numFmtId="166" xfId="0" applyFont="1" applyNumberFormat="1"/>
    <xf borderId="0" fillId="4" fontId="3" numFmtId="0" xfId="0" applyAlignment="1" applyFont="1">
      <alignment shrinkToFit="0" wrapText="1"/>
    </xf>
    <xf borderId="0" fillId="5" fontId="4" numFmtId="0" xfId="0" applyAlignment="1" applyFont="1">
      <alignment shrinkToFit="0" wrapText="0"/>
    </xf>
    <xf borderId="0" fillId="12" fontId="4" numFmtId="0" xfId="0" applyAlignment="1" applyFill="1" applyFont="1">
      <alignment horizontal="right" vertical="bottom"/>
    </xf>
    <xf borderId="0" fillId="13" fontId="4" numFmtId="0" xfId="0" applyAlignment="1" applyFill="1" applyFont="1">
      <alignment shrinkToFit="0" wrapText="0"/>
    </xf>
    <xf borderId="0" fillId="4" fontId="9" numFmtId="0" xfId="0" applyAlignment="1" applyFont="1">
      <alignment vertical="bottom"/>
    </xf>
    <xf borderId="0" fillId="14" fontId="10" numFmtId="0" xfId="0" applyAlignment="1" applyFill="1" applyFont="1">
      <alignment horizontal="right" vertical="bottom"/>
    </xf>
    <xf borderId="0" fillId="14" fontId="10" numFmtId="0" xfId="0" applyAlignment="1" applyFont="1">
      <alignment horizontal="center" vertical="bottom"/>
    </xf>
    <xf borderId="2" fillId="0" fontId="11" numFmtId="0" xfId="0" applyBorder="1" applyFont="1"/>
    <xf borderId="0" fillId="10" fontId="10" numFmtId="0" xfId="0" applyAlignment="1" applyFont="1">
      <alignment readingOrder="0" vertical="bottom"/>
    </xf>
    <xf borderId="0" fillId="10" fontId="9" numFmtId="9" xfId="0" applyAlignment="1" applyFont="1" applyNumberFormat="1">
      <alignment horizontal="right" vertical="bottom"/>
    </xf>
    <xf borderId="2" fillId="10" fontId="9" numFmtId="9" xfId="0" applyAlignment="1" applyBorder="1" applyFont="1" applyNumberFormat="1">
      <alignment horizontal="right" vertical="bottom"/>
    </xf>
    <xf borderId="0" fillId="4" fontId="9" numFmtId="9" xfId="0" applyAlignment="1" applyFont="1" applyNumberFormat="1">
      <alignment vertical="bottom"/>
    </xf>
    <xf borderId="0" fillId="10" fontId="9" numFmtId="9" xfId="0" applyAlignment="1" applyFont="1" applyNumberFormat="1">
      <alignment vertical="bottom"/>
    </xf>
    <xf borderId="0" fillId="10" fontId="10" numFmtId="0" xfId="0" applyAlignment="1" applyFont="1">
      <alignment vertical="bottom"/>
    </xf>
    <xf borderId="0" fillId="10" fontId="9" numFmtId="0" xfId="0" applyAlignment="1" applyFont="1">
      <alignment horizontal="right" vertical="bottom"/>
    </xf>
    <xf borderId="2" fillId="10" fontId="9" numFmtId="0" xfId="0" applyAlignment="1" applyBorder="1" applyFont="1">
      <alignment horizontal="right" vertical="bottom"/>
    </xf>
    <xf borderId="0" fillId="10" fontId="9" numFmtId="0" xfId="0" applyAlignment="1" applyFont="1">
      <alignment vertical="bottom"/>
    </xf>
    <xf borderId="0" fillId="10" fontId="10" numFmtId="0" xfId="0" applyAlignment="1" applyFont="1">
      <alignment readingOrder="0" shrinkToFit="0" vertical="bottom" wrapText="1"/>
    </xf>
    <xf borderId="0" fillId="15" fontId="9" numFmtId="9" xfId="0" applyAlignment="1" applyFill="1" applyFont="1" applyNumberFormat="1">
      <alignment vertical="bottom"/>
    </xf>
    <xf borderId="0" fillId="16" fontId="9" numFmtId="9" xfId="0" applyAlignment="1" applyFill="1" applyFont="1" applyNumberFormat="1">
      <alignment vertical="bottom"/>
    </xf>
    <xf borderId="0" fillId="8" fontId="9" numFmtId="9" xfId="0" applyAlignment="1" applyFont="1" applyNumberFormat="1">
      <alignment vertical="bottom"/>
    </xf>
    <xf borderId="0" fillId="17" fontId="9" numFmtId="9" xfId="0" applyAlignment="1" applyFill="1" applyFont="1" applyNumberFormat="1">
      <alignment vertical="bottom"/>
    </xf>
    <xf borderId="0" fillId="6" fontId="9" numFmtId="9" xfId="0" applyAlignment="1" applyFont="1" applyNumberFormat="1">
      <alignment vertical="bottom"/>
    </xf>
    <xf borderId="2" fillId="6" fontId="9" numFmtId="9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2" fillId="0" fontId="10" numFmtId="0" xfId="0" applyAlignment="1" applyBorder="1" applyFont="1">
      <alignment vertical="bottom"/>
    </xf>
    <xf borderId="0" fillId="0" fontId="10" numFmtId="0" xfId="0" applyAlignment="1" applyFont="1">
      <alignment readingOrder="0" vertical="bottom"/>
    </xf>
    <xf borderId="0" fillId="16" fontId="12" numFmtId="0" xfId="0" applyAlignment="1" applyFont="1">
      <alignment readingOrder="0" vertical="bottom"/>
    </xf>
    <xf borderId="0" fillId="16" fontId="9" numFmtId="0" xfId="0" applyAlignment="1" applyFont="1">
      <alignment horizontal="right" vertical="bottom"/>
    </xf>
    <xf borderId="0" fillId="16" fontId="10" numFmtId="0" xfId="0" applyAlignment="1" applyFont="1">
      <alignment horizontal="right" vertical="bottom"/>
    </xf>
    <xf borderId="2" fillId="16" fontId="10" numFmtId="0" xfId="0" applyAlignment="1" applyBorder="1" applyFont="1">
      <alignment horizontal="right" vertical="bottom"/>
    </xf>
    <xf borderId="0" fillId="16" fontId="13" numFmtId="0" xfId="0" applyFont="1"/>
    <xf borderId="2" fillId="16" fontId="13" numFmtId="0" xfId="0" applyBorder="1" applyFont="1"/>
    <xf borderId="0" fillId="16" fontId="13" numFmtId="0" xfId="0" applyAlignment="1" applyFont="1">
      <alignment horizontal="right" vertical="bottom"/>
    </xf>
    <xf borderId="2" fillId="16" fontId="13" numFmtId="0" xfId="0" applyAlignment="1" applyBorder="1" applyFont="1">
      <alignment horizontal="right" vertical="bottom"/>
    </xf>
    <xf borderId="0" fillId="4" fontId="13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2" fillId="0" fontId="9" numFmtId="0" xfId="0" applyAlignment="1" applyBorder="1" applyFont="1">
      <alignment horizontal="right" vertical="bottom"/>
    </xf>
    <xf borderId="0" fillId="0" fontId="9" numFmtId="0" xfId="0" applyAlignment="1" applyFont="1">
      <alignment readingOrder="0" vertical="bottom"/>
    </xf>
    <xf borderId="0" fillId="4" fontId="9" numFmtId="0" xfId="0" applyAlignment="1" applyFont="1">
      <alignment horizontal="right" vertical="bottom"/>
    </xf>
    <xf borderId="0" fillId="8" fontId="9" numFmtId="0" xfId="0" applyAlignment="1" applyFont="1">
      <alignment horizontal="right" vertical="bottom"/>
    </xf>
    <xf borderId="2" fillId="8" fontId="9" numFmtId="0" xfId="0" applyAlignment="1" applyBorder="1" applyFont="1">
      <alignment horizontal="right" vertical="bottom"/>
    </xf>
    <xf borderId="0" fillId="4" fontId="14" numFmtId="0" xfId="0" applyAlignment="1" applyFont="1">
      <alignment horizontal="right" vertical="bottom"/>
    </xf>
    <xf borderId="2" fillId="4" fontId="14" numFmtId="0" xfId="0" applyAlignment="1" applyBorder="1" applyFont="1">
      <alignment horizontal="right" vertical="bottom"/>
    </xf>
    <xf borderId="0" fillId="8" fontId="9" numFmtId="0" xfId="0" applyAlignment="1" applyFont="1">
      <alignment readingOrder="0" vertical="bottom"/>
    </xf>
    <xf borderId="0" fillId="8" fontId="14" numFmtId="0" xfId="0" applyAlignment="1" applyFont="1">
      <alignment horizontal="right" vertical="bottom"/>
    </xf>
    <xf borderId="2" fillId="8" fontId="14" numFmtId="0" xfId="0" applyAlignment="1" applyBorder="1" applyFont="1">
      <alignment horizontal="right" vertical="bottom"/>
    </xf>
    <xf borderId="0" fillId="18" fontId="9" numFmtId="0" xfId="0" applyAlignment="1" applyFill="1" applyFont="1">
      <alignment horizontal="right" vertical="bottom"/>
    </xf>
    <xf borderId="2" fillId="18" fontId="9" numFmtId="0" xfId="0" applyAlignment="1" applyBorder="1" applyFont="1">
      <alignment horizontal="right" vertical="bottom"/>
    </xf>
    <xf borderId="0" fillId="18" fontId="9" numFmtId="0" xfId="0" applyAlignment="1" applyFont="1">
      <alignment readingOrder="0" vertical="bottom"/>
    </xf>
    <xf borderId="0" fillId="18" fontId="14" numFmtId="0" xfId="0" applyAlignment="1" applyFont="1">
      <alignment horizontal="right" vertical="bottom"/>
    </xf>
    <xf borderId="2" fillId="18" fontId="14" numFmtId="0" xfId="0" applyAlignment="1" applyBorder="1" applyFont="1">
      <alignment horizontal="right" vertical="bottom"/>
    </xf>
    <xf borderId="0" fillId="0" fontId="9" numFmtId="167" xfId="0" applyAlignment="1" applyFont="1" applyNumberFormat="1">
      <alignment horizontal="right" vertical="bottom"/>
    </xf>
    <xf borderId="2" fillId="0" fontId="9" numFmtId="167" xfId="0" applyAlignment="1" applyBorder="1" applyFont="1" applyNumberFormat="1">
      <alignment horizontal="right" vertical="bottom"/>
    </xf>
    <xf borderId="0" fillId="4" fontId="9" numFmtId="167" xfId="0" applyAlignment="1" applyFont="1" applyNumberFormat="1">
      <alignment vertical="bottom"/>
    </xf>
    <xf borderId="0" fillId="0" fontId="10" numFmtId="168" xfId="0" applyAlignment="1" applyFont="1" applyNumberFormat="1">
      <alignment horizontal="right" vertical="bottom"/>
    </xf>
    <xf borderId="2" fillId="0" fontId="10" numFmtId="168" xfId="0" applyAlignment="1" applyBorder="1" applyFont="1" applyNumberFormat="1">
      <alignment horizontal="right" vertical="bottom"/>
    </xf>
    <xf borderId="0" fillId="4" fontId="10" numFmtId="168" xfId="0" applyAlignment="1" applyFont="1" applyNumberFormat="1">
      <alignment vertical="bottom"/>
    </xf>
    <xf borderId="0" fillId="4" fontId="10" numFmtId="168" xfId="0" applyAlignment="1" applyFont="1" applyNumberFormat="1">
      <alignment horizontal="right" vertical="bottom"/>
    </xf>
    <xf borderId="2" fillId="4" fontId="10" numFmtId="168" xfId="0" applyAlignment="1" applyBorder="1" applyFont="1" applyNumberFormat="1">
      <alignment horizontal="right" vertical="bottom"/>
    </xf>
    <xf borderId="0" fillId="4" fontId="10" numFmtId="0" xfId="0" applyAlignment="1" applyFont="1">
      <alignment vertical="bottom"/>
    </xf>
    <xf borderId="2" fillId="0" fontId="9" numFmtId="0" xfId="0" applyAlignment="1" applyBorder="1" applyFont="1">
      <alignment vertical="bottom"/>
    </xf>
    <xf borderId="2" fillId="4" fontId="9" numFmtId="0" xfId="0" applyAlignment="1" applyBorder="1" applyFont="1">
      <alignment vertical="bottom"/>
    </xf>
    <xf borderId="0" fillId="5" fontId="15" numFmtId="0" xfId="0" applyAlignment="1" applyFont="1">
      <alignment readingOrder="0" shrinkToFit="0" vertical="center" wrapText="1"/>
    </xf>
    <xf borderId="0" fillId="16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0" fontId="9" numFmtId="166" xfId="0" applyAlignment="1" applyFont="1" applyNumberFormat="1">
      <alignment horizontal="right" vertical="bottom"/>
    </xf>
    <xf borderId="0" fillId="4" fontId="9" numFmtId="166" xfId="0" applyAlignment="1" applyFont="1" applyNumberFormat="1">
      <alignment vertical="bottom"/>
    </xf>
    <xf borderId="0" fillId="4" fontId="9" numFmtId="169" xfId="0" applyAlignment="1" applyFont="1" applyNumberFormat="1">
      <alignment vertical="bottom"/>
    </xf>
    <xf borderId="0" fillId="0" fontId="9" numFmtId="166" xfId="0" applyAlignment="1" applyFont="1" applyNumberFormat="1">
      <alignment vertical="bottom"/>
    </xf>
    <xf borderId="0" fillId="0" fontId="9" numFmtId="169" xfId="0" applyAlignment="1" applyFont="1" applyNumberFormat="1">
      <alignment horizontal="right" vertical="bottom"/>
    </xf>
    <xf borderId="0" fillId="13" fontId="9" numFmtId="0" xfId="0" applyAlignment="1" applyFont="1">
      <alignment horizontal="right" vertical="bottom"/>
    </xf>
    <xf borderId="0" fillId="0" fontId="9" numFmtId="168" xfId="0" applyAlignment="1" applyFont="1" applyNumberFormat="1">
      <alignment horizontal="right" vertical="bottom"/>
    </xf>
    <xf borderId="2" fillId="0" fontId="9" numFmtId="168" xfId="0" applyAlignment="1" applyBorder="1" applyFont="1" applyNumberFormat="1">
      <alignment horizontal="right" vertical="bottom"/>
    </xf>
    <xf borderId="0" fillId="4" fontId="9" numFmtId="168" xfId="0" applyAlignment="1" applyFont="1" applyNumberFormat="1">
      <alignment vertical="bottom"/>
    </xf>
    <xf borderId="0" fillId="4" fontId="9" numFmtId="168" xfId="0" applyAlignment="1" applyFont="1" applyNumberFormat="1">
      <alignment horizontal="right" vertical="bottom"/>
    </xf>
    <xf borderId="0" fillId="16" fontId="9" numFmtId="0" xfId="0" applyAlignment="1" applyFont="1">
      <alignment vertical="bottom"/>
    </xf>
    <xf borderId="0" fillId="12" fontId="9" numFmtId="0" xfId="0" applyAlignment="1" applyFont="1">
      <alignment horizontal="right" vertical="bottom"/>
    </xf>
    <xf borderId="2" fillId="0" fontId="9" numFmtId="166" xfId="0" applyAlignment="1" applyBorder="1" applyFont="1" applyNumberFormat="1">
      <alignment horizontal="right" vertical="bottom"/>
    </xf>
    <xf borderId="2" fillId="0" fontId="9" numFmtId="169" xfId="0" applyAlignment="1" applyBorder="1" applyFont="1" applyNumberFormat="1">
      <alignment horizontal="right" vertical="bottom"/>
    </xf>
    <xf borderId="0" fillId="5" fontId="10" numFmtId="168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11" fontId="17" numFmtId="0" xfId="0" applyAlignment="1" applyFont="1">
      <alignment readingOrder="0" shrinkToFit="0" vertical="bottom" wrapText="1"/>
    </xf>
    <xf borderId="0" fillId="11" fontId="9" numFmtId="0" xfId="0" applyAlignment="1" applyFont="1">
      <alignment vertical="bottom"/>
    </xf>
    <xf borderId="2" fillId="11" fontId="9" numFmtId="0" xfId="0" applyAlignment="1" applyBorder="1" applyFont="1">
      <alignment vertical="bottom"/>
    </xf>
    <xf borderId="0" fillId="4" fontId="12" numFmtId="0" xfId="0" applyAlignment="1" applyFont="1">
      <alignment readingOrder="0" vertical="bottom"/>
    </xf>
    <xf borderId="0" fillId="0" fontId="9" numFmtId="4" xfId="0" applyAlignment="1" applyFont="1" applyNumberFormat="1">
      <alignment horizontal="right" vertical="bottom"/>
    </xf>
    <xf borderId="0" fillId="0" fontId="9" numFmtId="4" xfId="0" applyAlignment="1" applyFont="1" applyNumberFormat="1">
      <alignment vertical="bottom"/>
    </xf>
    <xf borderId="2" fillId="0" fontId="9" numFmtId="4" xfId="0" applyAlignment="1" applyBorder="1" applyFont="1" applyNumberFormat="1">
      <alignment horizontal="right" vertical="bottom"/>
    </xf>
    <xf borderId="0" fillId="19" fontId="2" numFmtId="0" xfId="0" applyFill="1" applyFont="1"/>
    <xf borderId="0" fillId="20" fontId="10" numFmtId="0" xfId="0" applyAlignment="1" applyFill="1" applyFont="1">
      <alignment vertical="bottom"/>
    </xf>
    <xf borderId="0" fillId="20" fontId="3" numFmtId="9" xfId="0" applyFont="1" applyNumberFormat="1"/>
    <xf borderId="0" fillId="0" fontId="3" numFmtId="9" xfId="0" applyFont="1" applyNumberFormat="1"/>
    <xf borderId="0" fillId="0" fontId="9" numFmtId="0" xfId="0" applyAlignment="1" applyFont="1">
      <alignment shrinkToFit="0" vertical="bottom" wrapText="1"/>
    </xf>
    <xf borderId="0" fillId="0" fontId="3" numFmtId="170" xfId="0" applyFont="1" applyNumberFormat="1"/>
    <xf borderId="0" fillId="0" fontId="9" numFmtId="170" xfId="0" applyAlignment="1" applyFont="1" applyNumberFormat="1">
      <alignment vertical="bottom"/>
    </xf>
    <xf borderId="0" fillId="20" fontId="3" numFmtId="0" xfId="0" applyFont="1"/>
    <xf borderId="0" fillId="5" fontId="9" numFmtId="0" xfId="0" applyAlignment="1" applyFont="1">
      <alignment shrinkToFit="0" vertical="bottom" wrapText="1"/>
    </xf>
    <xf borderId="0" fillId="10" fontId="3" numFmtId="170" xfId="0" applyFont="1" applyNumberFormat="1"/>
    <xf borderId="0" fillId="19" fontId="3" numFmtId="0" xfId="0" applyFont="1"/>
    <xf borderId="2" fillId="0" fontId="3" numFmtId="0" xfId="0" applyBorder="1" applyFont="1"/>
    <xf borderId="0" fillId="20" fontId="2" numFmtId="171" xfId="0" applyFont="1" applyNumberFormat="1"/>
    <xf borderId="2" fillId="0" fontId="2" numFmtId="0" xfId="0" applyBorder="1" applyFont="1"/>
    <xf borderId="0" fillId="0" fontId="3" numFmtId="172" xfId="0" applyFont="1" applyNumberFormat="1"/>
    <xf borderId="3" fillId="0" fontId="2" numFmtId="0" xfId="0" applyBorder="1" applyFont="1"/>
    <xf borderId="3" fillId="0" fontId="3" numFmtId="166" xfId="0" applyBorder="1" applyFont="1" applyNumberFormat="1"/>
    <xf borderId="3" fillId="0" fontId="2" numFmtId="166" xfId="0" applyBorder="1" applyFont="1" applyNumberFormat="1"/>
    <xf borderId="4" fillId="0" fontId="3" numFmtId="166" xfId="0" applyBorder="1" applyFont="1" applyNumberFormat="1"/>
    <xf borderId="0" fillId="0" fontId="3" numFmtId="1" xfId="0" applyFont="1" applyNumberFormat="1"/>
    <xf borderId="5" fillId="0" fontId="3" numFmtId="0" xfId="0" applyAlignment="1" applyBorder="1" applyFont="1">
      <alignment shrinkToFit="0" wrapText="1"/>
    </xf>
    <xf borderId="5" fillId="0" fontId="3" numFmtId="166" xfId="0" applyBorder="1" applyFont="1" applyNumberFormat="1"/>
    <xf borderId="5" fillId="0" fontId="3" numFmtId="0" xfId="0" applyBorder="1" applyFont="1"/>
    <xf borderId="6" fillId="0" fontId="3" numFmtId="0" xfId="0" applyBorder="1" applyFont="1"/>
    <xf borderId="0" fillId="0" fontId="3" numFmtId="168" xfId="0" applyFont="1" applyNumberFormat="1"/>
    <xf borderId="3" fillId="0" fontId="3" numFmtId="168" xfId="0" applyBorder="1" applyFont="1" applyNumberFormat="1"/>
    <xf borderId="3" fillId="0" fontId="2" numFmtId="168" xfId="0" applyBorder="1" applyFont="1" applyNumberFormat="1"/>
    <xf borderId="4" fillId="0" fontId="3" numFmtId="168" xfId="0" applyBorder="1" applyFont="1" applyNumberFormat="1"/>
    <xf borderId="0" fillId="8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8" numFmtId="166" xfId="0" applyAlignment="1" applyFont="1" applyNumberFormat="1">
      <alignment horizontal="right" vertical="bottom"/>
    </xf>
    <xf borderId="0" fillId="0" fontId="2" numFmtId="166" xfId="0" applyFont="1" applyNumberFormat="1"/>
    <xf borderId="0" fillId="4" fontId="16" numFmtId="166" xfId="0" applyAlignment="1" applyFont="1" applyNumberFormat="1">
      <alignment horizontal="right"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8" fontId="2" numFmtId="0" xfId="0" applyAlignment="1" applyFont="1">
      <alignment readingOrder="0"/>
    </xf>
    <xf borderId="0" fillId="8" fontId="2" numFmtId="0" xfId="0" applyFont="1"/>
    <xf borderId="0" fillId="8" fontId="2" numFmtId="166" xfId="0" applyFont="1" applyNumberFormat="1"/>
    <xf borderId="0" fillId="4" fontId="18" numFmtId="0" xfId="0" applyFont="1"/>
    <xf borderId="0" fillId="20" fontId="2" numFmtId="173" xfId="0" applyFont="1" applyNumberFormat="1"/>
    <xf borderId="0" fillId="0" fontId="14" numFmtId="166" xfId="0" applyAlignment="1" applyFont="1" applyNumberFormat="1">
      <alignment vertical="bottom"/>
    </xf>
    <xf borderId="0" fillId="5" fontId="3" numFmtId="0" xfId="0" applyAlignment="1" applyFont="1">
      <alignment readingOrder="0"/>
    </xf>
    <xf borderId="0" fillId="5" fontId="3" numFmtId="166" xfId="0" applyFont="1" applyNumberFormat="1"/>
    <xf borderId="0" fillId="10" fontId="2" numFmtId="0" xfId="0" applyFont="1"/>
    <xf borderId="0" fillId="14" fontId="3" numFmtId="0" xfId="0" applyFont="1"/>
    <xf borderId="0" fillId="14" fontId="3" numFmtId="0" xfId="0" applyAlignment="1" applyFont="1">
      <alignment shrinkToFit="0" wrapText="1"/>
    </xf>
    <xf borderId="0" fillId="14" fontId="4" numFmtId="0" xfId="0" applyAlignment="1" applyFont="1">
      <alignment shrinkToFit="0" wrapText="0"/>
    </xf>
    <xf borderId="0" fillId="15" fontId="4" numFmtId="0" xfId="0" applyAlignment="1" applyFont="1">
      <alignment shrinkToFit="0" wrapText="0"/>
    </xf>
    <xf borderId="0" fillId="15" fontId="3" numFmtId="0" xfId="0" applyFont="1"/>
    <xf borderId="0" fillId="15" fontId="3" numFmtId="0" xfId="0" applyAlignment="1" applyFont="1">
      <alignment shrinkToFit="0" wrapText="1"/>
    </xf>
    <xf borderId="0" fillId="10" fontId="4" numFmtId="0" xfId="0" applyAlignment="1" applyFont="1">
      <alignment shrinkToFit="0" vertical="bottom" wrapText="1"/>
    </xf>
    <xf borderId="0" fillId="10" fontId="4" numFmtId="0" xfId="0" applyAlignment="1" applyFont="1">
      <alignment shrinkToFit="0" wrapText="1"/>
    </xf>
    <xf borderId="0" fillId="10" fontId="4" numFmtId="0" xfId="0" applyAlignment="1" applyFont="1">
      <alignment horizontal="right" shrinkToFit="0" wrapText="0"/>
    </xf>
    <xf borderId="0" fillId="21" fontId="3" numFmtId="0" xfId="0" applyAlignment="1" applyFill="1" applyFont="1">
      <alignment shrinkToFit="0" wrapText="1"/>
    </xf>
    <xf borderId="0" fillId="21" fontId="3" numFmtId="0" xfId="0" applyFont="1"/>
    <xf borderId="0" fillId="10" fontId="2" numFmtId="0" xfId="0" applyAlignment="1" applyFont="1">
      <alignment shrinkToFit="0" wrapText="1"/>
    </xf>
    <xf borderId="3" fillId="0" fontId="3" numFmtId="0" xfId="0" applyBorder="1" applyFont="1"/>
    <xf borderId="3" fillId="0" fontId="3" numFmtId="1" xfId="0" applyBorder="1" applyFont="1" applyNumberFormat="1"/>
    <xf borderId="0" fillId="4" fontId="19" numFmtId="1" xfId="0" applyFont="1" applyNumberFormat="1"/>
    <xf borderId="5" fillId="0" fontId="3" numFmtId="1" xfId="0" applyBorder="1" applyFont="1" applyNumberFormat="1"/>
    <xf borderId="0" fillId="0" fontId="3" numFmtId="0" xfId="0" applyAlignment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4" fillId="0" fontId="3" numFmtId="0" xfId="0" applyBorder="1" applyFont="1"/>
    <xf borderId="0" fillId="14" fontId="20" numFmtId="0" xfId="0" applyAlignment="1" applyFont="1">
      <alignment shrinkToFit="0" wrapText="1"/>
    </xf>
    <xf borderId="10" fillId="4" fontId="3" numFmtId="0" xfId="0" applyBorder="1" applyFont="1"/>
    <xf borderId="0" fillId="16" fontId="12" numFmtId="0" xfId="0" applyAlignment="1" applyFont="1">
      <alignment readingOrder="0" shrinkToFit="0" vertical="bottom" wrapText="1"/>
    </xf>
    <xf borderId="0" fillId="8" fontId="9" numFmtId="0" xfId="0" applyAlignment="1" applyFont="1">
      <alignment readingOrder="0" shrinkToFit="0" vertical="bottom" wrapText="1"/>
    </xf>
    <xf borderId="0" fillId="8" fontId="4" numFmtId="0" xfId="0" applyAlignment="1" applyFont="1">
      <alignment horizontal="right" vertical="bottom"/>
    </xf>
    <xf borderId="0" fillId="18" fontId="9" numFmtId="0" xfId="0" applyAlignment="1" applyFont="1">
      <alignment readingOrder="0" shrinkToFit="0" vertical="bottom" wrapText="1"/>
    </xf>
    <xf borderId="0" fillId="18" fontId="4" numFmtId="0" xfId="0" applyAlignment="1" applyFont="1">
      <alignment horizontal="right" vertical="bottom"/>
    </xf>
    <xf borderId="0" fillId="22" fontId="9" numFmtId="0" xfId="0" applyAlignment="1" applyFill="1" applyFont="1">
      <alignment readingOrder="0" shrinkToFit="0" vertical="bottom" wrapText="1"/>
    </xf>
    <xf borderId="0" fillId="22" fontId="9" numFmtId="0" xfId="0" applyAlignment="1" applyFont="1">
      <alignment horizontal="right" vertical="bottom"/>
    </xf>
    <xf borderId="0" fillId="22" fontId="14" numFmtId="0" xfId="0" applyAlignment="1" applyFont="1">
      <alignment horizontal="right" vertical="bottom"/>
    </xf>
    <xf borderId="0" fillId="22" fontId="4" numFmtId="0" xfId="0" applyAlignment="1" applyFont="1">
      <alignment horizontal="right" vertical="bottom"/>
    </xf>
    <xf borderId="0" fillId="23" fontId="9" numFmtId="0" xfId="0" applyAlignment="1" applyFill="1" applyFont="1">
      <alignment readingOrder="0" shrinkToFit="0" vertical="bottom" wrapText="1"/>
    </xf>
    <xf borderId="0" fillId="23" fontId="9" numFmtId="0" xfId="0" applyAlignment="1" applyFont="1">
      <alignment horizontal="right" vertical="bottom"/>
    </xf>
    <xf borderId="0" fillId="23" fontId="14" numFmtId="0" xfId="0" applyAlignment="1" applyFont="1">
      <alignment horizontal="right" vertical="bottom"/>
    </xf>
    <xf borderId="0" fillId="23" fontId="4" numFmtId="0" xfId="0" applyAlignment="1" applyFont="1">
      <alignment horizontal="right" vertical="bottom"/>
    </xf>
    <xf borderId="0" fillId="24" fontId="9" numFmtId="0" xfId="0" applyAlignment="1" applyFill="1" applyFont="1">
      <alignment readingOrder="0" shrinkToFit="0" vertical="bottom" wrapText="1"/>
    </xf>
    <xf borderId="0" fillId="24" fontId="9" numFmtId="0" xfId="0" applyAlignment="1" applyFont="1">
      <alignment horizontal="right" vertical="bottom"/>
    </xf>
    <xf borderId="0" fillId="24" fontId="14" numFmtId="0" xfId="0" applyAlignment="1" applyFont="1">
      <alignment horizontal="right" vertical="bottom"/>
    </xf>
    <xf borderId="0" fillId="24" fontId="4" numFmtId="0" xfId="0" applyAlignment="1" applyFont="1">
      <alignment horizontal="right" vertical="bottom"/>
    </xf>
    <xf borderId="0" fillId="5" fontId="9" numFmtId="0" xfId="0" applyAlignment="1" applyFont="1">
      <alignment horizontal="right" vertical="bottom"/>
    </xf>
    <xf borderId="0" fillId="14" fontId="9" numFmtId="0" xfId="0" applyAlignment="1" applyFont="1">
      <alignment readingOrder="0" shrinkToFit="0" vertical="bottom" wrapText="1"/>
    </xf>
    <xf borderId="0" fillId="14" fontId="9" numFmtId="0" xfId="0" applyAlignment="1" applyFont="1">
      <alignment horizontal="right" vertical="bottom"/>
    </xf>
    <xf borderId="0" fillId="14" fontId="14" numFmtId="0" xfId="0" applyAlignment="1" applyFont="1">
      <alignment horizontal="right" vertical="bottom"/>
    </xf>
    <xf borderId="0" fillId="22" fontId="9" numFmtId="167" xfId="0" applyAlignment="1" applyFont="1" applyNumberFormat="1">
      <alignment horizontal="right" vertical="bottom"/>
    </xf>
    <xf borderId="0" fillId="22" fontId="9" numFmtId="49" xfId="0" applyAlignment="1" applyFont="1" applyNumberFormat="1">
      <alignment horizontal="right" vertical="bottom"/>
    </xf>
    <xf borderId="0" fillId="4" fontId="9" numFmtId="49" xfId="0" applyAlignment="1" applyFont="1" applyNumberFormat="1">
      <alignment horizontal="right" vertical="bottom"/>
    </xf>
    <xf borderId="0" fillId="22" fontId="14" numFmtId="49" xfId="0" applyAlignment="1" applyFont="1" applyNumberFormat="1">
      <alignment horizontal="right" vertical="bottom"/>
    </xf>
    <xf borderId="0" fillId="22" fontId="10" numFmtId="49" xfId="0" applyAlignment="1" applyFont="1" applyNumberFormat="1">
      <alignment horizontal="right" vertical="bottom"/>
    </xf>
    <xf borderId="0" fillId="23" fontId="10" numFmtId="168" xfId="0" applyAlignment="1" applyFont="1" applyNumberFormat="1">
      <alignment horizontal="right" vertical="bottom"/>
    </xf>
    <xf borderId="0" fillId="23" fontId="9" numFmtId="49" xfId="0" applyAlignment="1" applyFont="1" applyNumberFormat="1">
      <alignment horizontal="right" vertical="bottom"/>
    </xf>
    <xf borderId="0" fillId="23" fontId="14" numFmtId="49" xfId="0" applyAlignment="1" applyFont="1" applyNumberFormat="1">
      <alignment horizontal="right" vertical="bottom"/>
    </xf>
    <xf borderId="0" fillId="24" fontId="9" numFmtId="0" xfId="0" applyAlignment="1" applyFont="1">
      <alignment vertical="bottom"/>
    </xf>
    <xf borderId="0" fillId="24" fontId="21" numFmtId="0" xfId="0" applyAlignment="1" applyFont="1">
      <alignment shrinkToFit="0" vertical="bottom" wrapText="1"/>
    </xf>
    <xf borderId="0" fillId="24" fontId="14" numFmtId="0" xfId="0" applyAlignment="1" applyFont="1">
      <alignment vertical="bottom"/>
    </xf>
    <xf borderId="0" fillId="14" fontId="9" numFmtId="0" xfId="0" applyAlignment="1" applyFont="1">
      <alignment vertical="bottom"/>
    </xf>
    <xf borderId="0" fillId="14" fontId="21" numFmtId="0" xfId="0" applyAlignment="1" applyFont="1">
      <alignment shrinkToFit="0" vertical="bottom" wrapText="1"/>
    </xf>
    <xf borderId="0" fillId="14" fontId="14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4" fontId="14" numFmtId="0" xfId="0" applyAlignment="1" applyFont="1">
      <alignment vertical="bottom"/>
    </xf>
    <xf borderId="0" fillId="4" fontId="15" numFmtId="0" xfId="0" applyAlignment="1" applyFont="1">
      <alignment shrinkToFit="0" vertical="bottom" wrapText="1"/>
    </xf>
    <xf borderId="0" fillId="4" fontId="14" numFmtId="167" xfId="0" applyAlignment="1" applyFont="1" applyNumberFormat="1">
      <alignment vertical="bottom"/>
    </xf>
    <xf borderId="0" fillId="4" fontId="14" numFmtId="166" xfId="0" applyAlignment="1" applyFont="1" applyNumberFormat="1">
      <alignment vertical="bottom"/>
    </xf>
    <xf borderId="0" fillId="0" fontId="22" numFmtId="166" xfId="0" applyAlignment="1" applyFont="1" applyNumberFormat="1">
      <alignment shrinkToFit="0" wrapText="0"/>
    </xf>
    <xf borderId="0" fillId="4" fontId="21" numFmtId="0" xfId="0" applyAlignment="1" applyFont="1">
      <alignment shrinkToFit="0" vertical="bottom" wrapText="1"/>
    </xf>
    <xf borderId="0" fillId="0" fontId="14" numFmtId="0" xfId="0" applyAlignment="1" applyFont="1">
      <alignment horizontal="right" vertical="bottom"/>
    </xf>
    <xf borderId="0" fillId="0" fontId="14" numFmtId="49" xfId="0" applyAlignment="1" applyFont="1" applyNumberFormat="1">
      <alignment horizontal="right" vertical="bottom"/>
    </xf>
    <xf borderId="0" fillId="0" fontId="9" numFmtId="49" xfId="0" applyAlignment="1" applyFont="1" applyNumberFormat="1">
      <alignment horizontal="right" vertical="bottom"/>
    </xf>
    <xf borderId="0" fillId="0" fontId="14" numFmtId="1" xfId="0" applyAlignment="1" applyFont="1" applyNumberFormat="1">
      <alignment horizontal="right" vertical="bottom"/>
    </xf>
    <xf borderId="0" fillId="4" fontId="14" numFmtId="49" xfId="0" applyAlignment="1" applyFont="1" applyNumberFormat="1">
      <alignment horizontal="right" vertical="bottom"/>
    </xf>
    <xf borderId="0" fillId="5" fontId="14" numFmtId="49" xfId="0" applyAlignment="1" applyFont="1" applyNumberFormat="1">
      <alignment horizontal="right" vertical="bottom"/>
    </xf>
    <xf borderId="0" fillId="0" fontId="14" numFmtId="168" xfId="0" applyAlignment="1" applyFont="1" applyNumberFormat="1">
      <alignment horizontal="right" vertical="bottom"/>
    </xf>
    <xf borderId="0" fillId="0" fontId="14" numFmtId="166" xfId="0" applyAlignment="1" applyFont="1" applyNumberFormat="1">
      <alignment horizontal="right" vertical="bottom"/>
    </xf>
    <xf borderId="0" fillId="4" fontId="14" numFmtId="166" xfId="0" applyAlignment="1" applyFont="1" applyNumberFormat="1">
      <alignment horizontal="right" vertical="bottom"/>
    </xf>
    <xf borderId="0" fillId="4" fontId="14" numFmtId="168" xfId="0" applyAlignment="1" applyFont="1" applyNumberFormat="1">
      <alignment horizontal="right" vertical="bottom"/>
    </xf>
    <xf borderId="0" fillId="0" fontId="14" numFmtId="168" xfId="0" applyAlignment="1" applyFont="1" applyNumberFormat="1">
      <alignment vertical="bottom"/>
    </xf>
    <xf borderId="0" fillId="4" fontId="16" numFmtId="0" xfId="0" applyAlignment="1" applyFont="1">
      <alignment vertical="bottom"/>
    </xf>
    <xf borderId="0" fillId="16" fontId="13" numFmtId="0" xfId="0" applyAlignment="1" applyFont="1">
      <alignment vertical="bottom"/>
    </xf>
    <xf borderId="0" fillId="16" fontId="14" numFmtId="9" xfId="0" applyAlignment="1" applyFont="1" applyNumberFormat="1">
      <alignment vertical="bottom"/>
    </xf>
    <xf borderId="0" fillId="16" fontId="14" numFmtId="0" xfId="0" applyAlignment="1" applyFont="1">
      <alignment vertical="bottom"/>
    </xf>
    <xf borderId="0" fillId="8" fontId="4" numFmtId="0" xfId="0" applyAlignment="1" applyFont="1">
      <alignment readingOrder="0" shrinkToFit="0" vertical="bottom" wrapText="1"/>
    </xf>
    <xf borderId="0" fillId="4" fontId="23" numFmtId="0" xfId="0" applyFont="1"/>
    <xf borderId="0" fillId="8" fontId="23" numFmtId="0" xfId="0" applyFont="1"/>
    <xf borderId="0" fillId="18" fontId="4" numFmtId="0" xfId="0" applyAlignment="1" applyFont="1">
      <alignment readingOrder="0" shrinkToFit="0" wrapText="1"/>
    </xf>
    <xf borderId="0" fillId="18" fontId="23" numFmtId="0" xfId="0" applyFont="1"/>
    <xf borderId="0" fillId="22" fontId="4" numFmtId="0" xfId="0" applyAlignment="1" applyFont="1">
      <alignment readingOrder="0" shrinkToFit="0" wrapText="1"/>
    </xf>
    <xf borderId="0" fillId="22" fontId="23" numFmtId="0" xfId="0" applyFont="1"/>
    <xf borderId="0" fillId="23" fontId="4" numFmtId="0" xfId="0" applyAlignment="1" applyFont="1">
      <alignment readingOrder="0" shrinkToFit="0" wrapText="1"/>
    </xf>
    <xf borderId="0" fillId="23" fontId="23" numFmtId="0" xfId="0" applyFont="1"/>
    <xf borderId="0" fillId="4" fontId="24" numFmtId="0" xfId="0" applyAlignment="1" applyFont="1">
      <alignment readingOrder="0" shrinkToFit="0" wrapText="1"/>
    </xf>
    <xf borderId="0" fillId="8" fontId="4" numFmtId="0" xfId="0" applyAlignment="1" applyFont="1">
      <alignment readingOrder="0" shrinkToFit="0" wrapText="1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4" fontId="13" numFmtId="168" xfId="0" applyAlignment="1" applyFont="1" applyNumberFormat="1">
      <alignment horizontal="right" vertical="bottom"/>
    </xf>
    <xf borderId="0" fillId="0" fontId="13" numFmtId="168" xfId="0" applyAlignment="1" applyFont="1" applyNumberFormat="1">
      <alignment horizontal="right" vertical="bottom"/>
    </xf>
    <xf borderId="0" fillId="0" fontId="23" numFmtId="0" xfId="0" applyFont="1"/>
    <xf borderId="0" fillId="4" fontId="3" numFmtId="166" xfId="0" applyFont="1" applyNumberFormat="1"/>
    <xf borderId="0" fillId="5" fontId="9" numFmtId="9" xfId="0" applyAlignment="1" applyFont="1" applyNumberFormat="1">
      <alignment horizontal="right" shrinkToFit="0" vertical="top" wrapText="1"/>
    </xf>
    <xf borderId="0" fillId="5" fontId="25" numFmtId="9" xfId="0" applyAlignment="1" applyFont="1" applyNumberFormat="1">
      <alignment horizontal="right" shrinkToFit="0" vertical="top" wrapText="1"/>
    </xf>
    <xf borderId="0" fillId="4" fontId="25" numFmtId="9" xfId="0" applyAlignment="1" applyFont="1" applyNumberFormat="1">
      <alignment horizontal="right" shrinkToFit="0" vertical="top" wrapText="1"/>
    </xf>
    <xf borderId="0" fillId="13" fontId="9" numFmtId="9" xfId="0" applyAlignment="1" applyFont="1" applyNumberFormat="1">
      <alignment horizontal="right" shrinkToFit="0" vertical="top" wrapText="1"/>
    </xf>
    <xf borderId="0" fillId="13" fontId="25" numFmtId="9" xfId="0" applyAlignment="1" applyFont="1" applyNumberFormat="1">
      <alignment horizontal="right" shrinkToFit="0" vertical="top" wrapText="1"/>
    </xf>
    <xf borderId="0" fillId="25" fontId="9" numFmtId="0" xfId="0" applyAlignment="1" applyFill="1" applyFont="1">
      <alignment readingOrder="0" vertical="bottom"/>
    </xf>
    <xf borderId="0" fillId="26" fontId="9" numFmtId="1" xfId="0" applyAlignment="1" applyFill="1" applyFont="1" applyNumberFormat="1">
      <alignment vertical="bottom"/>
    </xf>
    <xf borderId="0" fillId="19" fontId="9" numFmtId="0" xfId="0" applyAlignment="1" applyFont="1">
      <alignment horizontal="right" vertical="bottom"/>
    </xf>
    <xf borderId="0" fillId="5" fontId="9" numFmtId="168" xfId="0" applyAlignment="1" applyFont="1" applyNumberFormat="1">
      <alignment horizontal="right" vertical="bottom"/>
    </xf>
    <xf borderId="0" fillId="26" fontId="9" numFmtId="168" xfId="0" applyAlignment="1" applyFont="1" applyNumberFormat="1">
      <alignment vertical="bottom"/>
    </xf>
    <xf borderId="0" fillId="5" fontId="9" numFmtId="9" xfId="0" applyAlignment="1" applyFont="1" applyNumberFormat="1">
      <alignment vertical="bottom"/>
    </xf>
    <xf borderId="0" fillId="0" fontId="3" numFmtId="0" xfId="0" applyAlignment="1" applyFont="1">
      <alignment readingOrder="0" shrinkToFit="0" vertical="center" wrapText="1"/>
    </xf>
    <xf borderId="0" fillId="8" fontId="9" numFmtId="0" xfId="0" applyAlignment="1" applyFont="1">
      <alignment shrinkToFit="0" vertical="bottom" wrapText="1"/>
    </xf>
    <xf borderId="0" fillId="18" fontId="9" numFmtId="0" xfId="0" applyAlignment="1" applyFont="1">
      <alignment shrinkToFit="0" vertical="bottom" wrapText="1"/>
    </xf>
    <xf borderId="0" fillId="22" fontId="9" numFmtId="0" xfId="0" applyAlignment="1" applyFont="1">
      <alignment shrinkToFit="0" vertical="bottom" wrapText="1"/>
    </xf>
    <xf borderId="0" fillId="23" fontId="9" numFmtId="0" xfId="0" applyAlignment="1" applyFont="1">
      <alignment shrinkToFit="0" vertical="bottom" wrapText="1"/>
    </xf>
    <xf borderId="0" fillId="24" fontId="9" numFmtId="0" xfId="0" applyAlignment="1" applyFont="1">
      <alignment shrinkToFit="0" vertical="bottom" wrapText="1"/>
    </xf>
    <xf borderId="0" fillId="14" fontId="9" numFmtId="0" xfId="0" applyAlignment="1" applyFont="1">
      <alignment shrinkToFit="0" vertical="bottom" wrapText="1"/>
    </xf>
    <xf borderId="0" fillId="3" fontId="9" numFmtId="0" xfId="0" applyAlignment="1" applyFont="1">
      <alignment readingOrder="0" shrinkToFit="0" vertical="bottom" wrapText="1"/>
    </xf>
    <xf borderId="0" fillId="26" fontId="9" numFmtId="169" xfId="0" applyAlignment="1" applyFont="1" applyNumberFormat="1">
      <alignment vertical="bottom"/>
    </xf>
    <xf borderId="0" fillId="3" fontId="9" numFmtId="0" xfId="0" applyAlignment="1" applyFont="1">
      <alignment readingOrder="0" vertical="bottom"/>
    </xf>
    <xf borderId="0" fillId="26" fontId="9" numFmtId="166" xfId="0" applyAlignment="1" applyFont="1" applyNumberFormat="1">
      <alignment vertical="bottom"/>
    </xf>
    <xf borderId="0" fillId="8" fontId="4" numFmtId="0" xfId="0" applyAlignment="1" applyFont="1">
      <alignment shrinkToFit="0" vertical="bottom" wrapText="1"/>
    </xf>
    <xf borderId="0" fillId="18" fontId="4" numFmtId="0" xfId="0" applyAlignment="1" applyFont="1">
      <alignment shrinkToFit="0" wrapText="1"/>
    </xf>
    <xf borderId="0" fillId="22" fontId="4" numFmtId="0" xfId="0" applyAlignment="1" applyFont="1">
      <alignment shrinkToFit="0" wrapText="1"/>
    </xf>
    <xf borderId="0" fillId="23" fontId="4" numFmtId="0" xfId="0" applyAlignment="1" applyFont="1">
      <alignment shrinkToFit="0" wrapText="1"/>
    </xf>
    <xf borderId="0" fillId="4" fontId="24" numFmtId="0" xfId="0" applyAlignment="1" applyFont="1">
      <alignment shrinkToFit="0" wrapText="1"/>
    </xf>
    <xf borderId="0" fillId="8" fontId="4" numFmtId="0" xfId="0" applyAlignment="1" applyFont="1">
      <alignment shrinkToFit="0" wrapText="1"/>
    </xf>
    <xf borderId="0" fillId="3" fontId="10" numFmtId="0" xfId="0" applyAlignment="1" applyFont="1">
      <alignment readingOrder="0" vertical="bottom"/>
    </xf>
    <xf borderId="0" fillId="26" fontId="14" numFmtId="168" xfId="0" applyAlignment="1" applyFont="1" applyNumberFormat="1">
      <alignment vertical="bottom"/>
    </xf>
    <xf borderId="0" fillId="4" fontId="26" numFmtId="166" xfId="0" applyAlignment="1" applyFont="1" applyNumberFormat="1">
      <alignment horizontal="right"/>
    </xf>
    <xf borderId="0" fillId="4" fontId="2" numFmtId="173" xfId="0" applyFont="1" applyNumberFormat="1"/>
    <xf borderId="0" fillId="4" fontId="2" numFmtId="0" xfId="0" applyFont="1"/>
    <xf borderId="0" fillId="0" fontId="3" numFmtId="169" xfId="0" applyFont="1" applyNumberFormat="1"/>
    <xf borderId="0" fillId="0" fontId="3" numFmtId="166" xfId="0" applyAlignment="1" applyFont="1" applyNumberFormat="1">
      <alignment horizontal="right"/>
    </xf>
    <xf borderId="0" fillId="0" fontId="3" numFmtId="167" xfId="0" applyFont="1" applyNumberFormat="1"/>
    <xf borderId="0" fillId="0" fontId="26" numFmtId="0" xfId="0" applyAlignment="1" applyFont="1">
      <alignment horizontal="left"/>
    </xf>
    <xf borderId="0" fillId="27" fontId="2" numFmtId="0" xfId="0" applyFill="1" applyFont="1"/>
    <xf borderId="0" fillId="0" fontId="2" numFmtId="169" xfId="0" applyFont="1" applyNumberFormat="1"/>
    <xf borderId="0" fillId="4" fontId="9" numFmtId="174" xfId="0" applyAlignment="1" applyFont="1" applyNumberFormat="1">
      <alignment horizontal="right" vertical="bottom"/>
    </xf>
    <xf borderId="0" fillId="14" fontId="9" numFmtId="174" xfId="0" applyAlignment="1" applyFont="1" applyNumberFormat="1">
      <alignment horizontal="right" vertical="bottom"/>
    </xf>
    <xf borderId="0" fillId="16" fontId="3" numFmtId="0" xfId="0" applyFont="1"/>
    <xf borderId="0" fillId="28" fontId="9" numFmtId="0" xfId="0" applyAlignment="1" applyFill="1" applyFont="1">
      <alignment readingOrder="0" vertical="bottom"/>
    </xf>
    <xf borderId="0" fillId="28" fontId="3" numFmtId="0" xfId="0" applyFont="1"/>
    <xf borderId="0" fillId="28" fontId="9" numFmtId="0" xfId="0" applyAlignment="1" applyFont="1">
      <alignment horizontal="right" vertical="bottom"/>
    </xf>
    <xf borderId="0" fillId="8" fontId="3" numFmtId="0" xfId="0" applyFont="1"/>
    <xf borderId="0" fillId="18" fontId="3" numFmtId="0" xfId="0" applyFont="1"/>
    <xf borderId="0" fillId="4" fontId="9" numFmtId="0" xfId="0" applyAlignment="1" applyFont="1">
      <alignment readingOrder="0" vertical="bottom"/>
    </xf>
    <xf borderId="0" fillId="4" fontId="13" numFmtId="0" xfId="0" applyAlignment="1" applyFont="1">
      <alignment vertical="bottom"/>
    </xf>
    <xf borderId="0" fillId="28" fontId="14" numFmtId="0" xfId="0" applyAlignment="1" applyFont="1">
      <alignment horizontal="right" vertical="bottom"/>
    </xf>
    <xf borderId="0" fillId="4" fontId="9" numFmtId="0" xfId="0" applyAlignment="1" applyFont="1">
      <alignment readingOrder="0" shrinkToFit="0" vertical="bottom" wrapText="1"/>
    </xf>
    <xf borderId="0" fillId="28" fontId="9" numFmtId="0" xfId="0" applyAlignment="1" applyFont="1">
      <alignment readingOrder="0" shrinkToFit="0" vertical="bottom" wrapText="1"/>
    </xf>
    <xf borderId="0" fillId="28" fontId="14" numFmtId="2" xfId="0" applyAlignment="1" applyFont="1" applyNumberFormat="1">
      <alignment horizontal="right" vertical="bottom"/>
    </xf>
    <xf borderId="0" fillId="16" fontId="2" numFmtId="0" xfId="0" applyAlignment="1" applyFont="1">
      <alignment readingOrder="0"/>
    </xf>
    <xf borderId="0" fillId="16" fontId="2" numFmtId="0" xfId="0" applyFont="1"/>
    <xf borderId="0" fillId="4" fontId="9" numFmtId="1" xfId="0" applyAlignment="1" applyFont="1" applyNumberFormat="1">
      <alignment horizontal="right" vertical="bottom"/>
    </xf>
    <xf borderId="0" fillId="4" fontId="9" numFmtId="1" xfId="0" applyAlignment="1" applyFont="1" applyNumberFormat="1">
      <alignment vertical="bottom"/>
    </xf>
    <xf borderId="8" fillId="20" fontId="3" numFmtId="0" xfId="0" applyBorder="1" applyFont="1"/>
    <xf borderId="8" fillId="0" fontId="3" numFmtId="9" xfId="0" applyBorder="1" applyFont="1" applyNumberFormat="1"/>
    <xf borderId="0" fillId="0" fontId="14" numFmtId="0" xfId="0" applyFont="1"/>
    <xf borderId="2" fillId="0" fontId="14" numFmtId="0" xfId="0" applyBorder="1" applyFont="1"/>
    <xf borderId="2" fillId="0" fontId="7" numFmtId="0" xfId="0" applyAlignment="1" applyBorder="1" applyFont="1">
      <alignment vertical="bottom"/>
    </xf>
    <xf borderId="0" fillId="0" fontId="13" numFmtId="0" xfId="0" applyFont="1"/>
    <xf borderId="0" fillId="0" fontId="14" numFmtId="0" xfId="0" applyAlignment="1" applyFont="1">
      <alignment horizontal="center"/>
    </xf>
    <xf borderId="8" fillId="0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0" fillId="10" fontId="14" numFmtId="0" xfId="0" applyFont="1"/>
    <xf borderId="2" fillId="10" fontId="14" numFmtId="0" xfId="0" applyBorder="1" applyFont="1"/>
    <xf borderId="0" fillId="10" fontId="14" numFmtId="0" xfId="0" applyAlignment="1" applyFont="1">
      <alignment horizontal="right" vertical="bottom"/>
    </xf>
    <xf borderId="2" fillId="10" fontId="14" numFmtId="0" xfId="0" applyAlignment="1" applyBorder="1" applyFont="1">
      <alignment horizontal="right" vertical="bottom"/>
    </xf>
    <xf borderId="0" fillId="4" fontId="14" numFmtId="0" xfId="0" applyFont="1"/>
    <xf borderId="2" fillId="4" fontId="14" numFmtId="0" xfId="0" applyBorder="1" applyFont="1"/>
    <xf borderId="2" fillId="23" fontId="14" numFmtId="0" xfId="0" applyAlignment="1" applyBorder="1" applyFont="1">
      <alignment horizontal="right" vertical="bottom"/>
    </xf>
    <xf borderId="0" fillId="2" fontId="14" numFmtId="0" xfId="0" applyFont="1"/>
    <xf borderId="2" fillId="2" fontId="14" numFmtId="0" xfId="0" applyBorder="1" applyFont="1"/>
    <xf borderId="2" fillId="2" fontId="14" numFmtId="0" xfId="0" applyAlignment="1" applyBorder="1" applyFont="1">
      <alignment horizontal="right" vertical="bottom"/>
    </xf>
    <xf borderId="8" fillId="2" fontId="14" numFmtId="0" xfId="0" applyBorder="1" applyFont="1"/>
    <xf borderId="0" fillId="2" fontId="14" numFmtId="0" xfId="0" applyAlignment="1" applyFont="1">
      <alignment horizontal="right" vertical="bottom"/>
    </xf>
    <xf borderId="0" fillId="8" fontId="14" numFmtId="0" xfId="0" applyFont="1"/>
    <xf borderId="0" fillId="4" fontId="7" numFmtId="0" xfId="0" applyAlignment="1" applyFont="1">
      <alignment vertical="bottom"/>
    </xf>
    <xf borderId="2" fillId="4" fontId="7" numFmtId="0" xfId="0" applyAlignment="1" applyBorder="1" applyFont="1">
      <alignment vertical="bottom"/>
    </xf>
    <xf borderId="0" fillId="8" fontId="7" numFmtId="0" xfId="0" applyAlignment="1" applyFont="1">
      <alignment vertical="bottom"/>
    </xf>
    <xf borderId="2" fillId="8" fontId="7" numFmtId="0" xfId="0" applyAlignment="1" applyBorder="1" applyFont="1">
      <alignment vertical="bottom"/>
    </xf>
    <xf borderId="0" fillId="23" fontId="7" numFmtId="0" xfId="0" applyAlignment="1" applyFont="1">
      <alignment vertical="bottom"/>
    </xf>
    <xf borderId="2" fillId="23" fontId="7" numFmtId="0" xfId="0" applyAlignment="1" applyBorder="1" applyFont="1">
      <alignment vertical="bottom"/>
    </xf>
    <xf borderId="8" fillId="2" fontId="14" numFmtId="0" xfId="0" applyAlignment="1" applyBorder="1" applyFont="1">
      <alignment horizontal="right" vertical="bottom"/>
    </xf>
    <xf borderId="0" fillId="2" fontId="14" numFmtId="1" xfId="0" applyFont="1" applyNumberFormat="1"/>
    <xf borderId="2" fillId="2" fontId="14" numFmtId="1" xfId="0" applyBorder="1" applyFont="1" applyNumberFormat="1"/>
    <xf borderId="8" fillId="2" fontId="14" numFmtId="1" xfId="0" applyBorder="1" applyFont="1" applyNumberFormat="1"/>
    <xf borderId="0" fillId="2" fontId="14" numFmtId="1" xfId="0" applyAlignment="1" applyFont="1" applyNumberFormat="1">
      <alignment horizontal="right" vertical="bottom"/>
    </xf>
    <xf borderId="2" fillId="2" fontId="14" numFmtId="1" xfId="0" applyAlignment="1" applyBorder="1" applyFont="1" applyNumberFormat="1">
      <alignment horizontal="right" vertical="bottom"/>
    </xf>
    <xf borderId="0" fillId="12" fontId="14" numFmtId="0" xfId="0" applyAlignment="1" applyFont="1">
      <alignment horizontal="right" vertical="bottom"/>
    </xf>
    <xf borderId="0" fillId="4" fontId="2" numFmtId="171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9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44"/>
    <col customWidth="1" min="2" max="3" width="8.33"/>
    <col customWidth="1" min="4" max="4" width="13.22"/>
    <col customWidth="1" min="5" max="5" width="13.0"/>
    <col customWidth="1" min="6" max="6" width="8.33"/>
    <col customWidth="1" min="7" max="7" width="8.44"/>
    <col customWidth="1" min="8" max="11" width="8.33"/>
    <col customWidth="1" min="12" max="12" width="9.78"/>
    <col customWidth="1" min="13" max="13" width="8.33"/>
    <col customWidth="1" min="14" max="14" width="11.11"/>
    <col customWidth="1" min="15" max="26" width="8.3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1" t="s">
        <v>5</v>
      </c>
      <c r="H1" s="3"/>
      <c r="I1" s="3"/>
      <c r="J1" s="3"/>
      <c r="K1" s="3"/>
      <c r="L1" s="1" t="s">
        <v>6</v>
      </c>
      <c r="M1" s="1" t="s">
        <v>7</v>
      </c>
      <c r="N1" s="1" t="s">
        <v>8</v>
      </c>
      <c r="O1" s="1" t="s">
        <v>9</v>
      </c>
    </row>
    <row r="2" hidden="1">
      <c r="A2" s="1" t="s">
        <v>10</v>
      </c>
      <c r="C2" s="4"/>
      <c r="D2" s="5"/>
      <c r="G2" s="5">
        <v>2579.32</v>
      </c>
      <c r="H2" s="5">
        <v>99.71</v>
      </c>
      <c r="I2" s="5">
        <v>495.0</v>
      </c>
      <c r="J2" s="5">
        <v>1244.4</v>
      </c>
      <c r="K2" s="5">
        <v>28.3</v>
      </c>
    </row>
    <row r="3" hidden="1">
      <c r="A3" s="5" t="s">
        <v>11</v>
      </c>
      <c r="B3" s="5">
        <v>55.0</v>
      </c>
      <c r="C3" s="6">
        <v>161.0</v>
      </c>
      <c r="D3" s="5">
        <f t="shared" ref="D3:D12" si="1">(C3-B3)/1000</f>
        <v>0.106</v>
      </c>
      <c r="E3" s="5">
        <f t="shared" ref="E3:E10" si="2">29.8+9.34</f>
        <v>39.14</v>
      </c>
      <c r="F3" s="5">
        <v>55.0</v>
      </c>
      <c r="G3" s="7">
        <f t="shared" ref="G3:G12" si="3">D3*$G$2</f>
        <v>273.40792</v>
      </c>
      <c r="H3" s="7">
        <f t="shared" ref="H3:H12" si="4">D3*$H$2</f>
        <v>10.56926</v>
      </c>
      <c r="I3" s="7">
        <f t="shared" ref="I3:I12" si="5">D3*$I$2</f>
        <v>52.47</v>
      </c>
      <c r="J3" s="7">
        <f t="shared" ref="J3:J12" si="6">D3*$J$2</f>
        <v>131.9064</v>
      </c>
      <c r="K3" s="7">
        <f t="shared" ref="K3:K12" si="7">D3*$K$2</f>
        <v>2.9998</v>
      </c>
      <c r="L3" s="7">
        <f t="shared" ref="L3:L12" si="8">SUM(E3:K3)</f>
        <v>565.49338</v>
      </c>
      <c r="M3" s="7">
        <f t="shared" ref="M3:M13" si="9">L3*0.21</f>
        <v>118.7536098</v>
      </c>
      <c r="N3" s="7">
        <f t="shared" ref="N3:N12" si="10">L3+M3</f>
        <v>684.2469898</v>
      </c>
    </row>
    <row r="4" hidden="1">
      <c r="A4" s="5" t="s">
        <v>12</v>
      </c>
      <c r="B4" s="5">
        <v>40.0</v>
      </c>
      <c r="C4" s="6">
        <v>151.0</v>
      </c>
      <c r="D4" s="5">
        <f t="shared" si="1"/>
        <v>0.111</v>
      </c>
      <c r="E4" s="5">
        <f t="shared" si="2"/>
        <v>39.14</v>
      </c>
      <c r="F4" s="5">
        <v>55.0</v>
      </c>
      <c r="G4" s="7">
        <f t="shared" si="3"/>
        <v>286.30452</v>
      </c>
      <c r="H4" s="7">
        <f t="shared" si="4"/>
        <v>11.06781</v>
      </c>
      <c r="I4" s="7">
        <f t="shared" si="5"/>
        <v>54.945</v>
      </c>
      <c r="J4" s="7">
        <f t="shared" si="6"/>
        <v>138.1284</v>
      </c>
      <c r="K4" s="7">
        <f t="shared" si="7"/>
        <v>3.1413</v>
      </c>
      <c r="L4" s="7">
        <f t="shared" si="8"/>
        <v>587.72703</v>
      </c>
      <c r="M4" s="7">
        <f t="shared" si="9"/>
        <v>123.4226763</v>
      </c>
      <c r="N4" s="7">
        <f t="shared" si="10"/>
        <v>711.1497063</v>
      </c>
    </row>
    <row r="5" hidden="1">
      <c r="A5" s="5" t="s">
        <v>13</v>
      </c>
      <c r="B5" s="5">
        <v>54.0</v>
      </c>
      <c r="C5" s="6">
        <v>138.0</v>
      </c>
      <c r="D5" s="5">
        <f t="shared" si="1"/>
        <v>0.084</v>
      </c>
      <c r="E5" s="5">
        <f t="shared" si="2"/>
        <v>39.14</v>
      </c>
      <c r="F5" s="5">
        <v>55.0</v>
      </c>
      <c r="G5" s="7">
        <f t="shared" si="3"/>
        <v>216.66288</v>
      </c>
      <c r="H5" s="7">
        <f t="shared" si="4"/>
        <v>8.37564</v>
      </c>
      <c r="I5" s="7">
        <f t="shared" si="5"/>
        <v>41.58</v>
      </c>
      <c r="J5" s="7">
        <f t="shared" si="6"/>
        <v>104.5296</v>
      </c>
      <c r="K5" s="7">
        <f t="shared" si="7"/>
        <v>2.3772</v>
      </c>
      <c r="L5" s="7">
        <f t="shared" si="8"/>
        <v>467.66532</v>
      </c>
      <c r="M5" s="7">
        <f t="shared" si="9"/>
        <v>98.2097172</v>
      </c>
      <c r="N5" s="7">
        <f t="shared" si="10"/>
        <v>565.8750372</v>
      </c>
    </row>
    <row r="6" hidden="1">
      <c r="A6" s="5" t="s">
        <v>14</v>
      </c>
      <c r="B6" s="5">
        <v>33.0</v>
      </c>
      <c r="C6" s="6">
        <v>73.0</v>
      </c>
      <c r="D6" s="5">
        <f t="shared" si="1"/>
        <v>0.04</v>
      </c>
      <c r="E6" s="5">
        <f t="shared" si="2"/>
        <v>39.14</v>
      </c>
      <c r="F6" s="5">
        <v>55.0</v>
      </c>
      <c r="G6" s="7">
        <f t="shared" si="3"/>
        <v>103.1728</v>
      </c>
      <c r="H6" s="7">
        <f t="shared" si="4"/>
        <v>3.9884</v>
      </c>
      <c r="I6" s="7">
        <f t="shared" si="5"/>
        <v>19.8</v>
      </c>
      <c r="J6" s="7">
        <f t="shared" si="6"/>
        <v>49.776</v>
      </c>
      <c r="K6" s="7">
        <f t="shared" si="7"/>
        <v>1.132</v>
      </c>
      <c r="L6" s="7">
        <f t="shared" si="8"/>
        <v>272.0092</v>
      </c>
      <c r="M6" s="7">
        <f t="shared" si="9"/>
        <v>57.121932</v>
      </c>
      <c r="N6" s="7">
        <f t="shared" si="10"/>
        <v>329.131132</v>
      </c>
    </row>
    <row r="7" hidden="1">
      <c r="A7" s="5" t="s">
        <v>15</v>
      </c>
      <c r="B7" s="5">
        <v>38.0</v>
      </c>
      <c r="C7" s="6">
        <v>117.0</v>
      </c>
      <c r="D7" s="5">
        <f t="shared" si="1"/>
        <v>0.079</v>
      </c>
      <c r="E7" s="5">
        <f t="shared" si="2"/>
        <v>39.14</v>
      </c>
      <c r="F7" s="5">
        <v>55.0</v>
      </c>
      <c r="G7" s="7">
        <f t="shared" si="3"/>
        <v>203.76628</v>
      </c>
      <c r="H7" s="7">
        <f t="shared" si="4"/>
        <v>7.87709</v>
      </c>
      <c r="I7" s="7">
        <f t="shared" si="5"/>
        <v>39.105</v>
      </c>
      <c r="J7" s="7">
        <f t="shared" si="6"/>
        <v>98.3076</v>
      </c>
      <c r="K7" s="7">
        <f t="shared" si="7"/>
        <v>2.2357</v>
      </c>
      <c r="L7" s="7">
        <f t="shared" si="8"/>
        <v>445.43167</v>
      </c>
      <c r="M7" s="7">
        <f t="shared" si="9"/>
        <v>93.5406507</v>
      </c>
      <c r="N7" s="7">
        <f t="shared" si="10"/>
        <v>538.9723207</v>
      </c>
    </row>
    <row r="8" hidden="1">
      <c r="A8" s="5" t="s">
        <v>16</v>
      </c>
      <c r="B8" s="5">
        <v>33.0</v>
      </c>
      <c r="C8" s="6">
        <v>118.0</v>
      </c>
      <c r="D8" s="5">
        <f t="shared" si="1"/>
        <v>0.085</v>
      </c>
      <c r="E8" s="5">
        <f t="shared" si="2"/>
        <v>39.14</v>
      </c>
      <c r="F8" s="5">
        <v>55.0</v>
      </c>
      <c r="G8" s="7">
        <f t="shared" si="3"/>
        <v>219.2422</v>
      </c>
      <c r="H8" s="7">
        <f t="shared" si="4"/>
        <v>8.47535</v>
      </c>
      <c r="I8" s="7">
        <f t="shared" si="5"/>
        <v>42.075</v>
      </c>
      <c r="J8" s="7">
        <f t="shared" si="6"/>
        <v>105.774</v>
      </c>
      <c r="K8" s="7">
        <f t="shared" si="7"/>
        <v>2.4055</v>
      </c>
      <c r="L8" s="7">
        <f t="shared" si="8"/>
        <v>472.11205</v>
      </c>
      <c r="M8" s="7">
        <f t="shared" si="9"/>
        <v>99.1435305</v>
      </c>
      <c r="N8" s="7">
        <f t="shared" si="10"/>
        <v>571.2555805</v>
      </c>
    </row>
    <row r="9" hidden="1">
      <c r="A9" s="5" t="s">
        <v>17</v>
      </c>
      <c r="B9" s="5">
        <v>21.0</v>
      </c>
      <c r="C9" s="6">
        <v>72.0</v>
      </c>
      <c r="D9" s="5">
        <f t="shared" si="1"/>
        <v>0.051</v>
      </c>
      <c r="E9" s="5">
        <f t="shared" si="2"/>
        <v>39.14</v>
      </c>
      <c r="F9" s="5">
        <v>55.0</v>
      </c>
      <c r="G9" s="7">
        <f t="shared" si="3"/>
        <v>131.54532</v>
      </c>
      <c r="H9" s="7">
        <f t="shared" si="4"/>
        <v>5.08521</v>
      </c>
      <c r="I9" s="7">
        <f t="shared" si="5"/>
        <v>25.245</v>
      </c>
      <c r="J9" s="7">
        <f t="shared" si="6"/>
        <v>63.4644</v>
      </c>
      <c r="K9" s="7">
        <f t="shared" si="7"/>
        <v>1.4433</v>
      </c>
      <c r="L9" s="7">
        <f t="shared" si="8"/>
        <v>320.92323</v>
      </c>
      <c r="M9" s="7">
        <f t="shared" si="9"/>
        <v>67.3938783</v>
      </c>
      <c r="N9" s="7">
        <f t="shared" si="10"/>
        <v>388.3171083</v>
      </c>
    </row>
    <row r="10" hidden="1">
      <c r="A10" s="5" t="s">
        <v>18</v>
      </c>
      <c r="B10" s="5">
        <v>23.0</v>
      </c>
      <c r="C10" s="6">
        <v>92.0</v>
      </c>
      <c r="D10" s="5">
        <f t="shared" si="1"/>
        <v>0.069</v>
      </c>
      <c r="E10" s="5">
        <f t="shared" si="2"/>
        <v>39.14</v>
      </c>
      <c r="F10" s="5">
        <v>55.0</v>
      </c>
      <c r="G10" s="7">
        <f t="shared" si="3"/>
        <v>177.97308</v>
      </c>
      <c r="H10" s="7">
        <f t="shared" si="4"/>
        <v>6.87999</v>
      </c>
      <c r="I10" s="7">
        <f t="shared" si="5"/>
        <v>34.155</v>
      </c>
      <c r="J10" s="7">
        <f t="shared" si="6"/>
        <v>85.8636</v>
      </c>
      <c r="K10" s="7">
        <f t="shared" si="7"/>
        <v>1.9527</v>
      </c>
      <c r="L10" s="7">
        <f t="shared" si="8"/>
        <v>400.96437</v>
      </c>
      <c r="M10" s="7">
        <f t="shared" si="9"/>
        <v>84.2025177</v>
      </c>
      <c r="N10" s="7">
        <f t="shared" si="10"/>
        <v>485.1668877</v>
      </c>
    </row>
    <row r="11" hidden="1">
      <c r="A11" s="5" t="s">
        <v>19</v>
      </c>
      <c r="B11" s="5">
        <v>27893.0</v>
      </c>
      <c r="C11" s="6">
        <v>28662.0</v>
      </c>
      <c r="D11" s="5">
        <f t="shared" si="1"/>
        <v>0.769</v>
      </c>
      <c r="E11" s="5">
        <v>169.69</v>
      </c>
      <c r="F11" s="5">
        <v>78.05</v>
      </c>
      <c r="G11" s="7">
        <f t="shared" si="3"/>
        <v>1983.49708</v>
      </c>
      <c r="H11" s="7">
        <f t="shared" si="4"/>
        <v>76.67699</v>
      </c>
      <c r="I11" s="7">
        <f t="shared" si="5"/>
        <v>380.655</v>
      </c>
      <c r="J11" s="7">
        <f t="shared" si="6"/>
        <v>956.9436</v>
      </c>
      <c r="K11" s="7">
        <f t="shared" si="7"/>
        <v>21.7627</v>
      </c>
      <c r="L11" s="7">
        <f t="shared" si="8"/>
        <v>3667.27537</v>
      </c>
      <c r="M11" s="7">
        <f t="shared" si="9"/>
        <v>770.1278277</v>
      </c>
      <c r="N11" s="7">
        <f t="shared" si="10"/>
        <v>4437.403198</v>
      </c>
      <c r="O11" s="7"/>
    </row>
    <row r="12" hidden="1">
      <c r="A12" s="5" t="s">
        <v>20</v>
      </c>
      <c r="B12" s="5">
        <v>6790.0</v>
      </c>
      <c r="C12" s="6">
        <v>6927.0</v>
      </c>
      <c r="D12" s="5">
        <f t="shared" si="1"/>
        <v>0.137</v>
      </c>
      <c r="E12" s="5">
        <f>29.8+9.34</f>
        <v>39.14</v>
      </c>
      <c r="F12" s="5">
        <v>55.0</v>
      </c>
      <c r="G12" s="7">
        <f t="shared" si="3"/>
        <v>353.36684</v>
      </c>
      <c r="H12" s="7">
        <f t="shared" si="4"/>
        <v>13.66027</v>
      </c>
      <c r="I12" s="7">
        <f t="shared" si="5"/>
        <v>67.815</v>
      </c>
      <c r="J12" s="7">
        <f t="shared" si="6"/>
        <v>170.4828</v>
      </c>
      <c r="K12" s="7">
        <f t="shared" si="7"/>
        <v>3.8771</v>
      </c>
      <c r="L12" s="7">
        <f t="shared" si="8"/>
        <v>703.34201</v>
      </c>
      <c r="M12" s="7">
        <f t="shared" si="9"/>
        <v>147.7018221</v>
      </c>
      <c r="N12" s="7">
        <f t="shared" si="10"/>
        <v>851.0438321</v>
      </c>
    </row>
    <row r="13" hidden="1">
      <c r="A13" s="1" t="s">
        <v>21</v>
      </c>
      <c r="C13" s="4"/>
      <c r="D13" s="5"/>
      <c r="G13" s="5"/>
      <c r="L13" s="7">
        <f>SUM(L3:L12)</f>
        <v>7902.94363</v>
      </c>
      <c r="M13" s="7">
        <f t="shared" si="9"/>
        <v>1659.618162</v>
      </c>
      <c r="N13" s="7">
        <f>SUM(N3:N12)</f>
        <v>9562.561792</v>
      </c>
      <c r="O13" s="7">
        <f>N13/26.5</f>
        <v>360.8513884</v>
      </c>
    </row>
    <row r="14" hidden="1">
      <c r="A14" s="1"/>
      <c r="C14" s="4"/>
      <c r="D14" s="5"/>
      <c r="G14" s="5"/>
      <c r="N14" s="7"/>
      <c r="O14" s="7"/>
    </row>
    <row r="15" hidden="1">
      <c r="A15" s="5" t="s">
        <v>11</v>
      </c>
      <c r="B15" s="5">
        <v>161.0</v>
      </c>
      <c r="C15" s="6">
        <v>270.0</v>
      </c>
      <c r="D15" s="5">
        <f t="shared" ref="D15:D24" si="11">(C15-B15)/1000</f>
        <v>0.109</v>
      </c>
      <c r="E15" s="5">
        <f t="shared" ref="E15:E22" si="12">29.8+9.34</f>
        <v>39.14</v>
      </c>
      <c r="F15" s="5">
        <v>55.0</v>
      </c>
      <c r="G15" s="7">
        <f t="shared" ref="G15:G24" si="13">D15*$G$2</f>
        <v>281.14588</v>
      </c>
      <c r="H15" s="7">
        <f t="shared" ref="H15:H24" si="14">D15*$H$2</f>
        <v>10.86839</v>
      </c>
      <c r="I15" s="7">
        <f t="shared" ref="I15:I24" si="15">D15*$I$2</f>
        <v>53.955</v>
      </c>
      <c r="J15" s="7">
        <f t="shared" ref="J15:J24" si="16">D15*$J$2</f>
        <v>135.6396</v>
      </c>
      <c r="K15" s="7">
        <f t="shared" ref="K15:K24" si="17">D15*$K$2</f>
        <v>3.0847</v>
      </c>
      <c r="L15" s="7">
        <f t="shared" ref="L15:L24" si="18">SUM(E15:K15)</f>
        <v>578.83357</v>
      </c>
      <c r="M15" s="7">
        <f t="shared" ref="M15:M25" si="19">L15*0.21</f>
        <v>121.5550497</v>
      </c>
      <c r="N15" s="7">
        <f t="shared" ref="N15:N24" si="20">L15+M15</f>
        <v>700.3886197</v>
      </c>
    </row>
    <row r="16" hidden="1">
      <c r="A16" s="5" t="s">
        <v>12</v>
      </c>
      <c r="B16" s="5">
        <v>151.0</v>
      </c>
      <c r="C16" s="6">
        <v>276.0</v>
      </c>
      <c r="D16" s="5">
        <f t="shared" si="11"/>
        <v>0.125</v>
      </c>
      <c r="E16" s="5">
        <f t="shared" si="12"/>
        <v>39.14</v>
      </c>
      <c r="F16" s="5">
        <v>55.0</v>
      </c>
      <c r="G16" s="7">
        <f t="shared" si="13"/>
        <v>322.415</v>
      </c>
      <c r="H16" s="7">
        <f t="shared" si="14"/>
        <v>12.46375</v>
      </c>
      <c r="I16" s="7">
        <f t="shared" si="15"/>
        <v>61.875</v>
      </c>
      <c r="J16" s="7">
        <f t="shared" si="16"/>
        <v>155.55</v>
      </c>
      <c r="K16" s="7">
        <f t="shared" si="17"/>
        <v>3.5375</v>
      </c>
      <c r="L16" s="7">
        <f t="shared" si="18"/>
        <v>649.98125</v>
      </c>
      <c r="M16" s="7">
        <f t="shared" si="19"/>
        <v>136.4960625</v>
      </c>
      <c r="N16" s="7">
        <f t="shared" si="20"/>
        <v>786.4773125</v>
      </c>
    </row>
    <row r="17" hidden="1">
      <c r="A17" s="5" t="s">
        <v>13</v>
      </c>
      <c r="B17" s="5">
        <v>138.0</v>
      </c>
      <c r="C17" s="6">
        <v>248.0</v>
      </c>
      <c r="D17" s="5">
        <f t="shared" si="11"/>
        <v>0.11</v>
      </c>
      <c r="E17" s="5">
        <f t="shared" si="12"/>
        <v>39.14</v>
      </c>
      <c r="F17" s="5">
        <v>55.0</v>
      </c>
      <c r="G17" s="7">
        <f t="shared" si="13"/>
        <v>283.7252</v>
      </c>
      <c r="H17" s="7">
        <f t="shared" si="14"/>
        <v>10.9681</v>
      </c>
      <c r="I17" s="7">
        <f t="shared" si="15"/>
        <v>54.45</v>
      </c>
      <c r="J17" s="7">
        <f t="shared" si="16"/>
        <v>136.884</v>
      </c>
      <c r="K17" s="7">
        <f t="shared" si="17"/>
        <v>3.113</v>
      </c>
      <c r="L17" s="7">
        <f t="shared" si="18"/>
        <v>583.2803</v>
      </c>
      <c r="M17" s="7">
        <f t="shared" si="19"/>
        <v>122.488863</v>
      </c>
      <c r="N17" s="7">
        <f t="shared" si="20"/>
        <v>705.769163</v>
      </c>
    </row>
    <row r="18" hidden="1">
      <c r="A18" s="5" t="s">
        <v>14</v>
      </c>
      <c r="B18" s="5">
        <v>73.0</v>
      </c>
      <c r="C18" s="6">
        <v>175.0</v>
      </c>
      <c r="D18" s="5">
        <f t="shared" si="11"/>
        <v>0.102</v>
      </c>
      <c r="E18" s="5">
        <f t="shared" si="12"/>
        <v>39.14</v>
      </c>
      <c r="F18" s="5">
        <v>55.0</v>
      </c>
      <c r="G18" s="7">
        <f t="shared" si="13"/>
        <v>263.09064</v>
      </c>
      <c r="H18" s="7">
        <f t="shared" si="14"/>
        <v>10.17042</v>
      </c>
      <c r="I18" s="7">
        <f t="shared" si="15"/>
        <v>50.49</v>
      </c>
      <c r="J18" s="7">
        <f t="shared" si="16"/>
        <v>126.9288</v>
      </c>
      <c r="K18" s="7">
        <f t="shared" si="17"/>
        <v>2.8866</v>
      </c>
      <c r="L18" s="7">
        <f t="shared" si="18"/>
        <v>547.70646</v>
      </c>
      <c r="M18" s="7">
        <f t="shared" si="19"/>
        <v>115.0183566</v>
      </c>
      <c r="N18" s="7">
        <f t="shared" si="20"/>
        <v>662.7248166</v>
      </c>
    </row>
    <row r="19" hidden="1">
      <c r="A19" s="5" t="s">
        <v>15</v>
      </c>
      <c r="B19" s="5">
        <v>117.0</v>
      </c>
      <c r="C19" s="6">
        <v>227.0</v>
      </c>
      <c r="D19" s="5">
        <f t="shared" si="11"/>
        <v>0.11</v>
      </c>
      <c r="E19" s="5">
        <f t="shared" si="12"/>
        <v>39.14</v>
      </c>
      <c r="F19" s="5">
        <v>55.0</v>
      </c>
      <c r="G19" s="7">
        <f t="shared" si="13"/>
        <v>283.7252</v>
      </c>
      <c r="H19" s="7">
        <f t="shared" si="14"/>
        <v>10.9681</v>
      </c>
      <c r="I19" s="7">
        <f t="shared" si="15"/>
        <v>54.45</v>
      </c>
      <c r="J19" s="7">
        <f t="shared" si="16"/>
        <v>136.884</v>
      </c>
      <c r="K19" s="7">
        <f t="shared" si="17"/>
        <v>3.113</v>
      </c>
      <c r="L19" s="7">
        <f t="shared" si="18"/>
        <v>583.2803</v>
      </c>
      <c r="M19" s="7">
        <f t="shared" si="19"/>
        <v>122.488863</v>
      </c>
      <c r="N19" s="7">
        <f t="shared" si="20"/>
        <v>705.769163</v>
      </c>
    </row>
    <row r="20" hidden="1">
      <c r="A20" s="5" t="s">
        <v>16</v>
      </c>
      <c r="B20" s="5">
        <v>118.0</v>
      </c>
      <c r="C20" s="6">
        <v>201.0</v>
      </c>
      <c r="D20" s="5">
        <f t="shared" si="11"/>
        <v>0.083</v>
      </c>
      <c r="E20" s="5">
        <f t="shared" si="12"/>
        <v>39.14</v>
      </c>
      <c r="F20" s="5">
        <v>55.0</v>
      </c>
      <c r="G20" s="7">
        <f t="shared" si="13"/>
        <v>214.08356</v>
      </c>
      <c r="H20" s="7">
        <f t="shared" si="14"/>
        <v>8.27593</v>
      </c>
      <c r="I20" s="7">
        <f t="shared" si="15"/>
        <v>41.085</v>
      </c>
      <c r="J20" s="7">
        <f t="shared" si="16"/>
        <v>103.2852</v>
      </c>
      <c r="K20" s="7">
        <f t="shared" si="17"/>
        <v>2.3489</v>
      </c>
      <c r="L20" s="7">
        <f t="shared" si="18"/>
        <v>463.21859</v>
      </c>
      <c r="M20" s="7">
        <f t="shared" si="19"/>
        <v>97.2759039</v>
      </c>
      <c r="N20" s="7">
        <f t="shared" si="20"/>
        <v>560.4944939</v>
      </c>
    </row>
    <row r="21" ht="15.75" hidden="1" customHeight="1">
      <c r="A21" s="5" t="s">
        <v>17</v>
      </c>
      <c r="B21" s="5">
        <v>72.0</v>
      </c>
      <c r="C21" s="6">
        <v>133.0</v>
      </c>
      <c r="D21" s="5">
        <f t="shared" si="11"/>
        <v>0.061</v>
      </c>
      <c r="E21" s="5">
        <f t="shared" si="12"/>
        <v>39.14</v>
      </c>
      <c r="F21" s="5">
        <v>55.0</v>
      </c>
      <c r="G21" s="7">
        <f t="shared" si="13"/>
        <v>157.33852</v>
      </c>
      <c r="H21" s="7">
        <f t="shared" si="14"/>
        <v>6.08231</v>
      </c>
      <c r="I21" s="7">
        <f t="shared" si="15"/>
        <v>30.195</v>
      </c>
      <c r="J21" s="7">
        <f t="shared" si="16"/>
        <v>75.9084</v>
      </c>
      <c r="K21" s="7">
        <f t="shared" si="17"/>
        <v>1.7263</v>
      </c>
      <c r="L21" s="7">
        <f t="shared" si="18"/>
        <v>365.39053</v>
      </c>
      <c r="M21" s="7">
        <f t="shared" si="19"/>
        <v>76.7320113</v>
      </c>
      <c r="N21" s="7">
        <f t="shared" si="20"/>
        <v>442.1225413</v>
      </c>
    </row>
    <row r="22" ht="15.75" hidden="1" customHeight="1">
      <c r="A22" s="5" t="s">
        <v>18</v>
      </c>
      <c r="B22" s="5">
        <v>92.0</v>
      </c>
      <c r="C22" s="6">
        <v>152.0</v>
      </c>
      <c r="D22" s="5">
        <f t="shared" si="11"/>
        <v>0.06</v>
      </c>
      <c r="E22" s="5">
        <f t="shared" si="12"/>
        <v>39.14</v>
      </c>
      <c r="F22" s="5">
        <v>55.0</v>
      </c>
      <c r="G22" s="7">
        <f t="shared" si="13"/>
        <v>154.7592</v>
      </c>
      <c r="H22" s="7">
        <f t="shared" si="14"/>
        <v>5.9826</v>
      </c>
      <c r="I22" s="7">
        <f t="shared" si="15"/>
        <v>29.7</v>
      </c>
      <c r="J22" s="7">
        <f t="shared" si="16"/>
        <v>74.664</v>
      </c>
      <c r="K22" s="7">
        <f t="shared" si="17"/>
        <v>1.698</v>
      </c>
      <c r="L22" s="7">
        <f t="shared" si="18"/>
        <v>360.9438</v>
      </c>
      <c r="M22" s="7">
        <f t="shared" si="19"/>
        <v>75.798198</v>
      </c>
      <c r="N22" s="7">
        <f t="shared" si="20"/>
        <v>436.741998</v>
      </c>
    </row>
    <row r="23" ht="15.75" hidden="1" customHeight="1">
      <c r="A23" s="5" t="s">
        <v>19</v>
      </c>
      <c r="B23" s="5">
        <v>28662.0</v>
      </c>
      <c r="C23" s="6">
        <v>29601.0</v>
      </c>
      <c r="D23" s="5">
        <f t="shared" si="11"/>
        <v>0.939</v>
      </c>
      <c r="E23" s="5">
        <v>169.69</v>
      </c>
      <c r="F23" s="5">
        <v>78.05</v>
      </c>
      <c r="G23" s="7">
        <f t="shared" si="13"/>
        <v>2421.98148</v>
      </c>
      <c r="H23" s="7">
        <f t="shared" si="14"/>
        <v>93.62769</v>
      </c>
      <c r="I23" s="7">
        <f t="shared" si="15"/>
        <v>464.805</v>
      </c>
      <c r="J23" s="7">
        <f t="shared" si="16"/>
        <v>1168.4916</v>
      </c>
      <c r="K23" s="7">
        <f t="shared" si="17"/>
        <v>26.5737</v>
      </c>
      <c r="L23" s="7">
        <f t="shared" si="18"/>
        <v>4423.21947</v>
      </c>
      <c r="M23" s="7">
        <f t="shared" si="19"/>
        <v>928.8760887</v>
      </c>
      <c r="N23" s="7">
        <f t="shared" si="20"/>
        <v>5352.095559</v>
      </c>
    </row>
    <row r="24" ht="15.75" hidden="1" customHeight="1">
      <c r="A24" s="5" t="s">
        <v>20</v>
      </c>
      <c r="B24" s="5">
        <v>6927.0</v>
      </c>
      <c r="C24" s="6">
        <v>7135.0</v>
      </c>
      <c r="D24" s="5">
        <f t="shared" si="11"/>
        <v>0.208</v>
      </c>
      <c r="E24" s="5">
        <f>29.8+9.34</f>
        <v>39.14</v>
      </c>
      <c r="F24" s="5">
        <v>55.0</v>
      </c>
      <c r="G24" s="7">
        <f t="shared" si="13"/>
        <v>536.49856</v>
      </c>
      <c r="H24" s="7">
        <f t="shared" si="14"/>
        <v>20.73968</v>
      </c>
      <c r="I24" s="7">
        <f t="shared" si="15"/>
        <v>102.96</v>
      </c>
      <c r="J24" s="7">
        <f t="shared" si="16"/>
        <v>258.8352</v>
      </c>
      <c r="K24" s="7">
        <f t="shared" si="17"/>
        <v>5.8864</v>
      </c>
      <c r="L24" s="7">
        <f t="shared" si="18"/>
        <v>1019.05984</v>
      </c>
      <c r="M24" s="7">
        <f t="shared" si="19"/>
        <v>214.0025664</v>
      </c>
      <c r="N24" s="7">
        <f t="shared" si="20"/>
        <v>1233.062406</v>
      </c>
    </row>
    <row r="25" ht="15.75" hidden="1" customHeight="1">
      <c r="A25" s="5"/>
      <c r="C25" s="4"/>
      <c r="D25" s="5"/>
      <c r="G25" s="5"/>
      <c r="L25" s="7">
        <f>SUM(L15:L24)</f>
        <v>9574.91411</v>
      </c>
      <c r="M25" s="7">
        <f t="shared" si="19"/>
        <v>2010.731963</v>
      </c>
      <c r="N25" s="7">
        <f>SUM(N15:N24)</f>
        <v>11585.64607</v>
      </c>
    </row>
    <row r="26" ht="15.75" hidden="1" customHeight="1">
      <c r="A26" s="5"/>
      <c r="C26" s="4"/>
      <c r="D26" s="5"/>
      <c r="G26" s="5"/>
    </row>
    <row r="27" ht="15.75" hidden="1" customHeight="1">
      <c r="A27" s="5"/>
      <c r="C27" s="4"/>
      <c r="D27" s="5"/>
      <c r="G27" s="5"/>
    </row>
    <row r="28" ht="15.75" hidden="1" customHeight="1">
      <c r="A28" s="1" t="s">
        <v>22</v>
      </c>
      <c r="C28" s="4"/>
      <c r="D28" s="5"/>
      <c r="G28" s="5"/>
    </row>
    <row r="29" ht="15.75" hidden="1" customHeight="1">
      <c r="A29" s="5" t="s">
        <v>11</v>
      </c>
      <c r="B29" s="5">
        <v>270.0</v>
      </c>
      <c r="C29" s="6">
        <v>349.0</v>
      </c>
      <c r="D29" s="5">
        <f t="shared" ref="D29:D38" si="21">(C29-B29)/1000</f>
        <v>0.079</v>
      </c>
      <c r="E29" s="5">
        <f t="shared" ref="E29:E36" si="22">29.8+9.34</f>
        <v>39.14</v>
      </c>
      <c r="F29" s="5">
        <v>55.0</v>
      </c>
      <c r="G29" s="7">
        <f t="shared" ref="G29:G38" si="23">D29*$G$2</f>
        <v>203.76628</v>
      </c>
      <c r="H29" s="7">
        <f t="shared" ref="H29:H38" si="24">D29*$H$2</f>
        <v>7.87709</v>
      </c>
      <c r="I29" s="7">
        <f t="shared" ref="I29:I38" si="25">D29*$I$2</f>
        <v>39.105</v>
      </c>
      <c r="J29" s="7">
        <f t="shared" ref="J29:J38" si="26">D29*$J$2</f>
        <v>98.3076</v>
      </c>
      <c r="K29" s="7">
        <f t="shared" ref="K29:K38" si="27">D29*$K$2</f>
        <v>2.2357</v>
      </c>
      <c r="L29" s="7">
        <f t="shared" ref="L29:L38" si="28">SUM(E29:K29)</f>
        <v>445.43167</v>
      </c>
      <c r="M29" s="7">
        <f t="shared" ref="M29:M39" si="29">L29*0.21</f>
        <v>93.5406507</v>
      </c>
      <c r="N29" s="7">
        <f t="shared" ref="N29:N38" si="30">L29+M29</f>
        <v>538.9723207</v>
      </c>
    </row>
    <row r="30" ht="15.75" hidden="1" customHeight="1">
      <c r="A30" s="5" t="s">
        <v>12</v>
      </c>
      <c r="B30" s="5">
        <v>276.0</v>
      </c>
      <c r="C30" s="6">
        <v>309.0</v>
      </c>
      <c r="D30" s="5">
        <f t="shared" si="21"/>
        <v>0.033</v>
      </c>
      <c r="E30" s="5">
        <f t="shared" si="22"/>
        <v>39.14</v>
      </c>
      <c r="F30" s="5">
        <v>55.0</v>
      </c>
      <c r="G30" s="7">
        <f t="shared" si="23"/>
        <v>85.11756</v>
      </c>
      <c r="H30" s="7">
        <f t="shared" si="24"/>
        <v>3.29043</v>
      </c>
      <c r="I30" s="7">
        <f t="shared" si="25"/>
        <v>16.335</v>
      </c>
      <c r="J30" s="7">
        <f t="shared" si="26"/>
        <v>41.0652</v>
      </c>
      <c r="K30" s="7">
        <f t="shared" si="27"/>
        <v>0.9339</v>
      </c>
      <c r="L30" s="7">
        <f t="shared" si="28"/>
        <v>240.88209</v>
      </c>
      <c r="M30" s="7">
        <f t="shared" si="29"/>
        <v>50.5852389</v>
      </c>
      <c r="N30" s="7">
        <f t="shared" si="30"/>
        <v>291.4673289</v>
      </c>
    </row>
    <row r="31" ht="15.75" hidden="1" customHeight="1">
      <c r="A31" s="5" t="s">
        <v>13</v>
      </c>
      <c r="B31" s="5">
        <v>248.0</v>
      </c>
      <c r="C31" s="6">
        <v>378.0</v>
      </c>
      <c r="D31" s="5">
        <f t="shared" si="21"/>
        <v>0.13</v>
      </c>
      <c r="E31" s="5">
        <f t="shared" si="22"/>
        <v>39.14</v>
      </c>
      <c r="F31" s="5">
        <v>55.0</v>
      </c>
      <c r="G31" s="7">
        <f t="shared" si="23"/>
        <v>335.3116</v>
      </c>
      <c r="H31" s="7">
        <f t="shared" si="24"/>
        <v>12.9623</v>
      </c>
      <c r="I31" s="7">
        <f t="shared" si="25"/>
        <v>64.35</v>
      </c>
      <c r="J31" s="7">
        <f t="shared" si="26"/>
        <v>161.772</v>
      </c>
      <c r="K31" s="7">
        <f t="shared" si="27"/>
        <v>3.679</v>
      </c>
      <c r="L31" s="7">
        <f t="shared" si="28"/>
        <v>672.2149</v>
      </c>
      <c r="M31" s="7">
        <f t="shared" si="29"/>
        <v>141.165129</v>
      </c>
      <c r="N31" s="7">
        <f t="shared" si="30"/>
        <v>813.380029</v>
      </c>
    </row>
    <row r="32" ht="15.75" hidden="1" customHeight="1">
      <c r="A32" s="5" t="s">
        <v>14</v>
      </c>
      <c r="B32" s="5">
        <v>175.0</v>
      </c>
      <c r="C32" s="6">
        <v>241.0</v>
      </c>
      <c r="D32" s="5">
        <f t="shared" si="21"/>
        <v>0.066</v>
      </c>
      <c r="E32" s="5">
        <f t="shared" si="22"/>
        <v>39.14</v>
      </c>
      <c r="F32" s="5">
        <v>55.0</v>
      </c>
      <c r="G32" s="7">
        <f t="shared" si="23"/>
        <v>170.23512</v>
      </c>
      <c r="H32" s="7">
        <f t="shared" si="24"/>
        <v>6.58086</v>
      </c>
      <c r="I32" s="7">
        <f t="shared" si="25"/>
        <v>32.67</v>
      </c>
      <c r="J32" s="7">
        <f t="shared" si="26"/>
        <v>82.1304</v>
      </c>
      <c r="K32" s="7">
        <f t="shared" si="27"/>
        <v>1.8678</v>
      </c>
      <c r="L32" s="7">
        <f t="shared" si="28"/>
        <v>387.62418</v>
      </c>
      <c r="M32" s="7">
        <f t="shared" si="29"/>
        <v>81.4010778</v>
      </c>
      <c r="N32" s="7">
        <f t="shared" si="30"/>
        <v>469.0252578</v>
      </c>
    </row>
    <row r="33" ht="15.75" hidden="1" customHeight="1">
      <c r="A33" s="5" t="s">
        <v>15</v>
      </c>
      <c r="B33" s="5">
        <v>227.0</v>
      </c>
      <c r="C33" s="6">
        <v>322.0</v>
      </c>
      <c r="D33" s="5">
        <f t="shared" si="21"/>
        <v>0.095</v>
      </c>
      <c r="E33" s="5">
        <f t="shared" si="22"/>
        <v>39.14</v>
      </c>
      <c r="F33" s="5">
        <v>55.0</v>
      </c>
      <c r="G33" s="7">
        <f t="shared" si="23"/>
        <v>245.0354</v>
      </c>
      <c r="H33" s="7">
        <f t="shared" si="24"/>
        <v>9.47245</v>
      </c>
      <c r="I33" s="7">
        <f t="shared" si="25"/>
        <v>47.025</v>
      </c>
      <c r="J33" s="7">
        <f t="shared" si="26"/>
        <v>118.218</v>
      </c>
      <c r="K33" s="7">
        <f t="shared" si="27"/>
        <v>2.6885</v>
      </c>
      <c r="L33" s="7">
        <f t="shared" si="28"/>
        <v>516.57935</v>
      </c>
      <c r="M33" s="7">
        <f t="shared" si="29"/>
        <v>108.4816635</v>
      </c>
      <c r="N33" s="7">
        <f t="shared" si="30"/>
        <v>625.0610135</v>
      </c>
    </row>
    <row r="34" ht="15.75" hidden="1" customHeight="1">
      <c r="A34" s="5" t="s">
        <v>16</v>
      </c>
      <c r="B34" s="5">
        <v>201.0</v>
      </c>
      <c r="C34" s="6">
        <v>260.0</v>
      </c>
      <c r="D34" s="5">
        <f t="shared" si="21"/>
        <v>0.059</v>
      </c>
      <c r="E34" s="5">
        <f t="shared" si="22"/>
        <v>39.14</v>
      </c>
      <c r="F34" s="5">
        <v>55.0</v>
      </c>
      <c r="G34" s="7">
        <f t="shared" si="23"/>
        <v>152.17988</v>
      </c>
      <c r="H34" s="7">
        <f t="shared" si="24"/>
        <v>5.88289</v>
      </c>
      <c r="I34" s="7">
        <f t="shared" si="25"/>
        <v>29.205</v>
      </c>
      <c r="J34" s="7">
        <f t="shared" si="26"/>
        <v>73.4196</v>
      </c>
      <c r="K34" s="7">
        <f t="shared" si="27"/>
        <v>1.6697</v>
      </c>
      <c r="L34" s="7">
        <f t="shared" si="28"/>
        <v>356.49707</v>
      </c>
      <c r="M34" s="7">
        <f t="shared" si="29"/>
        <v>74.8643847</v>
      </c>
      <c r="N34" s="7">
        <f t="shared" si="30"/>
        <v>431.3614547</v>
      </c>
    </row>
    <row r="35" ht="15.75" hidden="1" customHeight="1">
      <c r="A35" s="5" t="s">
        <v>17</v>
      </c>
      <c r="B35" s="5">
        <v>133.0</v>
      </c>
      <c r="C35" s="6">
        <v>191.0</v>
      </c>
      <c r="D35" s="5">
        <f t="shared" si="21"/>
        <v>0.058</v>
      </c>
      <c r="E35" s="5">
        <f t="shared" si="22"/>
        <v>39.14</v>
      </c>
      <c r="F35" s="5">
        <v>55.0</v>
      </c>
      <c r="G35" s="7">
        <f t="shared" si="23"/>
        <v>149.60056</v>
      </c>
      <c r="H35" s="7">
        <f t="shared" si="24"/>
        <v>5.78318</v>
      </c>
      <c r="I35" s="7">
        <f t="shared" si="25"/>
        <v>28.71</v>
      </c>
      <c r="J35" s="7">
        <f t="shared" si="26"/>
        <v>72.1752</v>
      </c>
      <c r="K35" s="7">
        <f t="shared" si="27"/>
        <v>1.6414</v>
      </c>
      <c r="L35" s="7">
        <f t="shared" si="28"/>
        <v>352.05034</v>
      </c>
      <c r="M35" s="7">
        <f t="shared" si="29"/>
        <v>73.9305714</v>
      </c>
      <c r="N35" s="7">
        <f t="shared" si="30"/>
        <v>425.9809114</v>
      </c>
    </row>
    <row r="36" ht="15.75" hidden="1" customHeight="1">
      <c r="A36" s="5" t="s">
        <v>18</v>
      </c>
      <c r="B36" s="5">
        <v>152.0</v>
      </c>
      <c r="C36" s="6">
        <v>224.0</v>
      </c>
      <c r="D36" s="5">
        <f t="shared" si="21"/>
        <v>0.072</v>
      </c>
      <c r="E36" s="5">
        <f t="shared" si="22"/>
        <v>39.14</v>
      </c>
      <c r="F36" s="5">
        <v>55.0</v>
      </c>
      <c r="G36" s="7">
        <f t="shared" si="23"/>
        <v>185.71104</v>
      </c>
      <c r="H36" s="7">
        <f t="shared" si="24"/>
        <v>7.17912</v>
      </c>
      <c r="I36" s="7">
        <f t="shared" si="25"/>
        <v>35.64</v>
      </c>
      <c r="J36" s="7">
        <f t="shared" si="26"/>
        <v>89.5968</v>
      </c>
      <c r="K36" s="7">
        <f t="shared" si="27"/>
        <v>2.0376</v>
      </c>
      <c r="L36" s="7">
        <f t="shared" si="28"/>
        <v>414.30456</v>
      </c>
      <c r="M36" s="7">
        <f t="shared" si="29"/>
        <v>87.0039576</v>
      </c>
      <c r="N36" s="7">
        <f t="shared" si="30"/>
        <v>501.3085176</v>
      </c>
    </row>
    <row r="37" ht="15.75" hidden="1" customHeight="1">
      <c r="A37" s="5" t="s">
        <v>19</v>
      </c>
      <c r="B37" s="5">
        <v>29601.0</v>
      </c>
      <c r="C37" s="6">
        <v>30534.0</v>
      </c>
      <c r="D37" s="5">
        <f t="shared" si="21"/>
        <v>0.933</v>
      </c>
      <c r="E37" s="5">
        <v>169.69</v>
      </c>
      <c r="F37" s="5">
        <v>78.05</v>
      </c>
      <c r="G37" s="7">
        <f t="shared" si="23"/>
        <v>2406.50556</v>
      </c>
      <c r="H37" s="7">
        <f t="shared" si="24"/>
        <v>93.02943</v>
      </c>
      <c r="I37" s="7">
        <f t="shared" si="25"/>
        <v>461.835</v>
      </c>
      <c r="J37" s="7">
        <f t="shared" si="26"/>
        <v>1161.0252</v>
      </c>
      <c r="K37" s="7">
        <f t="shared" si="27"/>
        <v>26.4039</v>
      </c>
      <c r="L37" s="7">
        <f t="shared" si="28"/>
        <v>4396.53909</v>
      </c>
      <c r="M37" s="7">
        <f t="shared" si="29"/>
        <v>923.2732089</v>
      </c>
      <c r="N37" s="7">
        <f t="shared" si="30"/>
        <v>5319.812299</v>
      </c>
    </row>
    <row r="38" ht="15.75" hidden="1" customHeight="1">
      <c r="A38" s="5" t="s">
        <v>20</v>
      </c>
      <c r="B38" s="5">
        <v>7135.0</v>
      </c>
      <c r="C38" s="6">
        <v>7363.0</v>
      </c>
      <c r="D38" s="5">
        <f t="shared" si="21"/>
        <v>0.228</v>
      </c>
      <c r="E38" s="5">
        <f>29.8+9.34</f>
        <v>39.14</v>
      </c>
      <c r="F38" s="5">
        <v>55.0</v>
      </c>
      <c r="G38" s="7">
        <f t="shared" si="23"/>
        <v>588.08496</v>
      </c>
      <c r="H38" s="7">
        <f t="shared" si="24"/>
        <v>22.73388</v>
      </c>
      <c r="I38" s="7">
        <f t="shared" si="25"/>
        <v>112.86</v>
      </c>
      <c r="J38" s="7">
        <f t="shared" si="26"/>
        <v>283.7232</v>
      </c>
      <c r="K38" s="7">
        <f t="shared" si="27"/>
        <v>6.4524</v>
      </c>
      <c r="L38" s="7">
        <f t="shared" si="28"/>
        <v>1107.99444</v>
      </c>
      <c r="M38" s="7">
        <f t="shared" si="29"/>
        <v>232.6788324</v>
      </c>
      <c r="N38" s="7">
        <f t="shared" si="30"/>
        <v>1340.673272</v>
      </c>
    </row>
    <row r="39" ht="15.75" hidden="1" customHeight="1">
      <c r="A39" s="5"/>
      <c r="C39" s="4"/>
      <c r="D39" s="5"/>
      <c r="G39" s="5"/>
      <c r="L39" s="7">
        <f>SUM(L29:L38)</f>
        <v>8890.11769</v>
      </c>
      <c r="M39" s="7">
        <f t="shared" si="29"/>
        <v>1866.924715</v>
      </c>
      <c r="N39" s="7">
        <f>SUM(N29:N38)</f>
        <v>10757.0424</v>
      </c>
    </row>
    <row r="40" ht="15.75" hidden="1" customHeight="1">
      <c r="A40" s="5" t="s">
        <v>23</v>
      </c>
      <c r="C40" s="4"/>
      <c r="D40" s="5"/>
      <c r="G40" s="5"/>
    </row>
    <row r="41" ht="15.75" hidden="1" customHeight="1">
      <c r="A41" s="5"/>
      <c r="C41" s="4"/>
      <c r="D41" s="5"/>
      <c r="G41" s="5"/>
    </row>
    <row r="42" ht="15.75" hidden="1" customHeight="1">
      <c r="A42" s="5" t="s">
        <v>11</v>
      </c>
      <c r="B42" s="5">
        <v>349.0</v>
      </c>
      <c r="C42" s="6">
        <v>468.0</v>
      </c>
      <c r="D42" s="5">
        <f t="shared" ref="D42:D51" si="31">(C42-B42)/1000</f>
        <v>0.119</v>
      </c>
      <c r="E42" s="5">
        <f t="shared" ref="E42:E49" si="32">29.8+9.34</f>
        <v>39.14</v>
      </c>
      <c r="F42" s="5">
        <v>55.0</v>
      </c>
      <c r="G42" s="7">
        <f t="shared" ref="G42:G51" si="33">D42*$G$2</f>
        <v>306.93908</v>
      </c>
      <c r="H42" s="7">
        <f t="shared" ref="H42:H51" si="34">D42*$H$2</f>
        <v>11.86549</v>
      </c>
      <c r="I42" s="7">
        <f t="shared" ref="I42:I51" si="35">D42*$I$2</f>
        <v>58.905</v>
      </c>
      <c r="J42" s="7">
        <f t="shared" ref="J42:J51" si="36">D42*$J$2</f>
        <v>148.0836</v>
      </c>
      <c r="K42" s="7">
        <f t="shared" ref="K42:K51" si="37">D42*$K$2</f>
        <v>3.3677</v>
      </c>
      <c r="L42" s="7">
        <f t="shared" ref="L42:L51" si="38">SUM(E42:K42)</f>
        <v>623.30087</v>
      </c>
      <c r="M42" s="7">
        <f t="shared" ref="M42:M52" si="39">L42*0.21</f>
        <v>130.8931827</v>
      </c>
      <c r="N42" s="7">
        <f t="shared" ref="N42:N52" si="40">L42+M42</f>
        <v>754.1940527</v>
      </c>
    </row>
    <row r="43" ht="15.75" hidden="1" customHeight="1">
      <c r="A43" s="5" t="s">
        <v>12</v>
      </c>
      <c r="B43" s="5">
        <v>309.0</v>
      </c>
      <c r="C43" s="6">
        <v>448.0</v>
      </c>
      <c r="D43" s="5">
        <f t="shared" si="31"/>
        <v>0.139</v>
      </c>
      <c r="E43" s="5">
        <f t="shared" si="32"/>
        <v>39.14</v>
      </c>
      <c r="F43" s="5">
        <v>55.0</v>
      </c>
      <c r="G43" s="7">
        <f t="shared" si="33"/>
        <v>358.52548</v>
      </c>
      <c r="H43" s="7">
        <f t="shared" si="34"/>
        <v>13.85969</v>
      </c>
      <c r="I43" s="7">
        <f t="shared" si="35"/>
        <v>68.805</v>
      </c>
      <c r="J43" s="7">
        <f t="shared" si="36"/>
        <v>172.9716</v>
      </c>
      <c r="K43" s="7">
        <f t="shared" si="37"/>
        <v>3.9337</v>
      </c>
      <c r="L43" s="7">
        <f t="shared" si="38"/>
        <v>712.23547</v>
      </c>
      <c r="M43" s="7">
        <f t="shared" si="39"/>
        <v>149.5694487</v>
      </c>
      <c r="N43" s="7">
        <f t="shared" si="40"/>
        <v>861.8049187</v>
      </c>
    </row>
    <row r="44" ht="15.75" hidden="1" customHeight="1">
      <c r="A44" s="5" t="s">
        <v>13</v>
      </c>
      <c r="B44" s="5">
        <v>378.0</v>
      </c>
      <c r="C44" s="6">
        <v>483.0</v>
      </c>
      <c r="D44" s="5">
        <f t="shared" si="31"/>
        <v>0.105</v>
      </c>
      <c r="E44" s="5">
        <f t="shared" si="32"/>
        <v>39.14</v>
      </c>
      <c r="F44" s="5">
        <v>55.0</v>
      </c>
      <c r="G44" s="7">
        <f t="shared" si="33"/>
        <v>270.8286</v>
      </c>
      <c r="H44" s="7">
        <f t="shared" si="34"/>
        <v>10.46955</v>
      </c>
      <c r="I44" s="7">
        <f t="shared" si="35"/>
        <v>51.975</v>
      </c>
      <c r="J44" s="7">
        <f t="shared" si="36"/>
        <v>130.662</v>
      </c>
      <c r="K44" s="7">
        <f t="shared" si="37"/>
        <v>2.9715</v>
      </c>
      <c r="L44" s="7">
        <f t="shared" si="38"/>
        <v>561.04665</v>
      </c>
      <c r="M44" s="7">
        <f t="shared" si="39"/>
        <v>117.8197965</v>
      </c>
      <c r="N44" s="7">
        <f t="shared" si="40"/>
        <v>678.8664465</v>
      </c>
    </row>
    <row r="45" ht="15.75" hidden="1" customHeight="1">
      <c r="A45" s="5" t="s">
        <v>14</v>
      </c>
      <c r="B45" s="5">
        <v>241.0</v>
      </c>
      <c r="C45" s="6">
        <v>315.0</v>
      </c>
      <c r="D45" s="5">
        <f t="shared" si="31"/>
        <v>0.074</v>
      </c>
      <c r="E45" s="5">
        <f t="shared" si="32"/>
        <v>39.14</v>
      </c>
      <c r="F45" s="5">
        <v>55.0</v>
      </c>
      <c r="G45" s="7">
        <f t="shared" si="33"/>
        <v>190.86968</v>
      </c>
      <c r="H45" s="7">
        <f t="shared" si="34"/>
        <v>7.37854</v>
      </c>
      <c r="I45" s="7">
        <f t="shared" si="35"/>
        <v>36.63</v>
      </c>
      <c r="J45" s="7">
        <f t="shared" si="36"/>
        <v>92.0856</v>
      </c>
      <c r="K45" s="7">
        <f t="shared" si="37"/>
        <v>2.0942</v>
      </c>
      <c r="L45" s="7">
        <f t="shared" si="38"/>
        <v>423.19802</v>
      </c>
      <c r="M45" s="7">
        <f t="shared" si="39"/>
        <v>88.8715842</v>
      </c>
      <c r="N45" s="7">
        <f t="shared" si="40"/>
        <v>512.0696042</v>
      </c>
    </row>
    <row r="46" ht="15.75" hidden="1" customHeight="1">
      <c r="A46" s="5" t="s">
        <v>15</v>
      </c>
      <c r="B46" s="5">
        <v>322.0</v>
      </c>
      <c r="C46" s="6">
        <v>398.0</v>
      </c>
      <c r="D46" s="5">
        <f t="shared" si="31"/>
        <v>0.076</v>
      </c>
      <c r="E46" s="5">
        <f t="shared" si="32"/>
        <v>39.14</v>
      </c>
      <c r="F46" s="5">
        <v>55.0</v>
      </c>
      <c r="G46" s="7">
        <f t="shared" si="33"/>
        <v>196.02832</v>
      </c>
      <c r="H46" s="7">
        <f t="shared" si="34"/>
        <v>7.57796</v>
      </c>
      <c r="I46" s="7">
        <f t="shared" si="35"/>
        <v>37.62</v>
      </c>
      <c r="J46" s="7">
        <f t="shared" si="36"/>
        <v>94.5744</v>
      </c>
      <c r="K46" s="7">
        <f t="shared" si="37"/>
        <v>2.1508</v>
      </c>
      <c r="L46" s="7">
        <f t="shared" si="38"/>
        <v>432.09148</v>
      </c>
      <c r="M46" s="7">
        <f t="shared" si="39"/>
        <v>90.7392108</v>
      </c>
      <c r="N46" s="7">
        <f t="shared" si="40"/>
        <v>522.8306908</v>
      </c>
    </row>
    <row r="47" ht="15.75" hidden="1" customHeight="1">
      <c r="A47" s="5" t="s">
        <v>16</v>
      </c>
      <c r="B47" s="5">
        <v>260.0</v>
      </c>
      <c r="C47" s="6">
        <v>309.0</v>
      </c>
      <c r="D47" s="5">
        <f t="shared" si="31"/>
        <v>0.049</v>
      </c>
      <c r="E47" s="5">
        <f t="shared" si="32"/>
        <v>39.14</v>
      </c>
      <c r="F47" s="5">
        <v>55.0</v>
      </c>
      <c r="G47" s="7">
        <f t="shared" si="33"/>
        <v>126.38668</v>
      </c>
      <c r="H47" s="7">
        <f t="shared" si="34"/>
        <v>4.88579</v>
      </c>
      <c r="I47" s="7">
        <f t="shared" si="35"/>
        <v>24.255</v>
      </c>
      <c r="J47" s="7">
        <f t="shared" si="36"/>
        <v>60.9756</v>
      </c>
      <c r="K47" s="7">
        <f t="shared" si="37"/>
        <v>1.3867</v>
      </c>
      <c r="L47" s="7">
        <f t="shared" si="38"/>
        <v>312.02977</v>
      </c>
      <c r="M47" s="7">
        <f t="shared" si="39"/>
        <v>65.5262517</v>
      </c>
      <c r="N47" s="7">
        <f t="shared" si="40"/>
        <v>377.5560217</v>
      </c>
    </row>
    <row r="48" ht="15.75" hidden="1" customHeight="1">
      <c r="A48" s="5" t="s">
        <v>17</v>
      </c>
      <c r="B48" s="5">
        <v>191.0</v>
      </c>
      <c r="C48" s="6">
        <v>269.0</v>
      </c>
      <c r="D48" s="5">
        <f t="shared" si="31"/>
        <v>0.078</v>
      </c>
      <c r="E48" s="5">
        <f t="shared" si="32"/>
        <v>39.14</v>
      </c>
      <c r="F48" s="5">
        <v>55.0</v>
      </c>
      <c r="G48" s="7">
        <f t="shared" si="33"/>
        <v>201.18696</v>
      </c>
      <c r="H48" s="7">
        <f t="shared" si="34"/>
        <v>7.77738</v>
      </c>
      <c r="I48" s="7">
        <f t="shared" si="35"/>
        <v>38.61</v>
      </c>
      <c r="J48" s="7">
        <f t="shared" si="36"/>
        <v>97.0632</v>
      </c>
      <c r="K48" s="7">
        <f t="shared" si="37"/>
        <v>2.2074</v>
      </c>
      <c r="L48" s="7">
        <f t="shared" si="38"/>
        <v>440.98494</v>
      </c>
      <c r="M48" s="7">
        <f t="shared" si="39"/>
        <v>92.6068374</v>
      </c>
      <c r="N48" s="7">
        <f t="shared" si="40"/>
        <v>533.5917774</v>
      </c>
    </row>
    <row r="49" ht="15.75" hidden="1" customHeight="1">
      <c r="A49" s="5" t="s">
        <v>18</v>
      </c>
      <c r="B49" s="5">
        <v>224.0</v>
      </c>
      <c r="C49" s="6">
        <v>284.0</v>
      </c>
      <c r="D49" s="5">
        <f t="shared" si="31"/>
        <v>0.06</v>
      </c>
      <c r="E49" s="5">
        <f t="shared" si="32"/>
        <v>39.14</v>
      </c>
      <c r="F49" s="5">
        <v>55.0</v>
      </c>
      <c r="G49" s="7">
        <f t="shared" si="33"/>
        <v>154.7592</v>
      </c>
      <c r="H49" s="7">
        <f t="shared" si="34"/>
        <v>5.9826</v>
      </c>
      <c r="I49" s="7">
        <f t="shared" si="35"/>
        <v>29.7</v>
      </c>
      <c r="J49" s="7">
        <f t="shared" si="36"/>
        <v>74.664</v>
      </c>
      <c r="K49" s="7">
        <f t="shared" si="37"/>
        <v>1.698</v>
      </c>
      <c r="L49" s="7">
        <f t="shared" si="38"/>
        <v>360.9438</v>
      </c>
      <c r="M49" s="7">
        <f t="shared" si="39"/>
        <v>75.798198</v>
      </c>
      <c r="N49" s="7">
        <f t="shared" si="40"/>
        <v>436.741998</v>
      </c>
    </row>
    <row r="50" ht="15.75" hidden="1" customHeight="1">
      <c r="A50" s="5" t="s">
        <v>19</v>
      </c>
      <c r="B50" s="5">
        <v>30534.0</v>
      </c>
      <c r="C50" s="6">
        <v>31518.0</v>
      </c>
      <c r="D50" s="5">
        <f t="shared" si="31"/>
        <v>0.984</v>
      </c>
      <c r="E50" s="5">
        <v>169.69</v>
      </c>
      <c r="F50" s="5">
        <v>78.05</v>
      </c>
      <c r="G50" s="7">
        <f t="shared" si="33"/>
        <v>2538.05088</v>
      </c>
      <c r="H50" s="7">
        <f t="shared" si="34"/>
        <v>98.11464</v>
      </c>
      <c r="I50" s="7">
        <f t="shared" si="35"/>
        <v>487.08</v>
      </c>
      <c r="J50" s="7">
        <f t="shared" si="36"/>
        <v>1224.4896</v>
      </c>
      <c r="K50" s="7">
        <f t="shared" si="37"/>
        <v>27.8472</v>
      </c>
      <c r="L50" s="7">
        <f t="shared" si="38"/>
        <v>4623.32232</v>
      </c>
      <c r="M50" s="7">
        <f t="shared" si="39"/>
        <v>970.8976872</v>
      </c>
      <c r="N50" s="7">
        <f t="shared" si="40"/>
        <v>5594.220007</v>
      </c>
    </row>
    <row r="51" ht="15.75" hidden="1" customHeight="1">
      <c r="A51" s="5" t="s">
        <v>20</v>
      </c>
      <c r="B51" s="5">
        <v>7363.0</v>
      </c>
      <c r="C51" s="6">
        <v>7881.0</v>
      </c>
      <c r="D51" s="5">
        <f t="shared" si="31"/>
        <v>0.518</v>
      </c>
      <c r="E51" s="5">
        <f>29.8+9.34</f>
        <v>39.14</v>
      </c>
      <c r="F51" s="5">
        <v>55.0</v>
      </c>
      <c r="G51" s="7">
        <f t="shared" si="33"/>
        <v>1336.08776</v>
      </c>
      <c r="H51" s="7">
        <f t="shared" si="34"/>
        <v>51.64978</v>
      </c>
      <c r="I51" s="7">
        <f t="shared" si="35"/>
        <v>256.41</v>
      </c>
      <c r="J51" s="7">
        <f t="shared" si="36"/>
        <v>644.5992</v>
      </c>
      <c r="K51" s="7">
        <f t="shared" si="37"/>
        <v>14.6594</v>
      </c>
      <c r="L51" s="7">
        <f t="shared" si="38"/>
        <v>2397.54614</v>
      </c>
      <c r="M51" s="7">
        <f t="shared" si="39"/>
        <v>503.4846894</v>
      </c>
      <c r="N51" s="7">
        <f t="shared" si="40"/>
        <v>2901.030829</v>
      </c>
    </row>
    <row r="52" ht="15.75" hidden="1" customHeight="1">
      <c r="A52" s="5"/>
      <c r="C52" s="4"/>
      <c r="D52" s="5"/>
      <c r="G52" s="5"/>
      <c r="L52" s="7">
        <f>SUM(L42:L51)</f>
        <v>10886.69946</v>
      </c>
      <c r="M52" s="7">
        <f t="shared" si="39"/>
        <v>2286.206887</v>
      </c>
      <c r="N52" s="7">
        <f t="shared" si="40"/>
        <v>13172.90635</v>
      </c>
      <c r="O52" s="7">
        <f>N52/26.5</f>
        <v>497.0908055</v>
      </c>
    </row>
    <row r="53" ht="15.75" hidden="1" customHeight="1">
      <c r="A53" s="5" t="s">
        <v>24</v>
      </c>
      <c r="C53" s="4"/>
      <c r="D53" s="5"/>
      <c r="G53" s="5"/>
    </row>
    <row r="54" ht="15.75" hidden="1" customHeight="1">
      <c r="A54" s="5"/>
      <c r="C54" s="4"/>
      <c r="D54" s="5"/>
      <c r="G54" s="5"/>
    </row>
    <row r="55" ht="15.75" hidden="1" customHeight="1">
      <c r="A55" s="5" t="s">
        <v>11</v>
      </c>
      <c r="B55" s="5">
        <v>468.0</v>
      </c>
      <c r="C55" s="6">
        <v>571.0</v>
      </c>
      <c r="D55" s="5">
        <f t="shared" ref="D55:D64" si="41">(C55-B55)/1000</f>
        <v>0.103</v>
      </c>
      <c r="E55" s="5">
        <f t="shared" ref="E55:E62" si="42">29.8+9.34</f>
        <v>39.14</v>
      </c>
      <c r="F55" s="5">
        <v>55.0</v>
      </c>
      <c r="G55" s="7">
        <f t="shared" ref="G55:G64" si="43">D55*$G$2</f>
        <v>265.66996</v>
      </c>
      <c r="H55" s="7">
        <f t="shared" ref="H55:H64" si="44">D55*$H$2</f>
        <v>10.27013</v>
      </c>
      <c r="I55" s="7">
        <f t="shared" ref="I55:I64" si="45">D55*$I$2</f>
        <v>50.985</v>
      </c>
      <c r="J55" s="7">
        <f t="shared" ref="J55:J64" si="46">D55*$J$2</f>
        <v>128.1732</v>
      </c>
      <c r="K55" s="7">
        <f t="shared" ref="K55:K64" si="47">D55*$K$2</f>
        <v>2.9149</v>
      </c>
      <c r="L55" s="7">
        <f t="shared" ref="L55:L64" si="48">SUM(E55:K55)</f>
        <v>552.15319</v>
      </c>
      <c r="M55" s="7">
        <f t="shared" ref="M55:M65" si="49">L55*0.21</f>
        <v>115.9521699</v>
      </c>
      <c r="N55" s="7">
        <f t="shared" ref="N55:N65" si="50">L55+M55</f>
        <v>668.1053599</v>
      </c>
    </row>
    <row r="56" ht="15.75" hidden="1" customHeight="1">
      <c r="A56" s="5" t="s">
        <v>12</v>
      </c>
      <c r="B56" s="5">
        <v>448.0</v>
      </c>
      <c r="C56" s="6">
        <v>518.0</v>
      </c>
      <c r="D56" s="5">
        <f t="shared" si="41"/>
        <v>0.07</v>
      </c>
      <c r="E56" s="5">
        <f t="shared" si="42"/>
        <v>39.14</v>
      </c>
      <c r="F56" s="5">
        <v>55.0</v>
      </c>
      <c r="G56" s="7">
        <f t="shared" si="43"/>
        <v>180.5524</v>
      </c>
      <c r="H56" s="7">
        <f t="shared" si="44"/>
        <v>6.9797</v>
      </c>
      <c r="I56" s="7">
        <f t="shared" si="45"/>
        <v>34.65</v>
      </c>
      <c r="J56" s="7">
        <f t="shared" si="46"/>
        <v>87.108</v>
      </c>
      <c r="K56" s="7">
        <f t="shared" si="47"/>
        <v>1.981</v>
      </c>
      <c r="L56" s="7">
        <f t="shared" si="48"/>
        <v>405.4111</v>
      </c>
      <c r="M56" s="7">
        <f t="shared" si="49"/>
        <v>85.136331</v>
      </c>
      <c r="N56" s="7">
        <f t="shared" si="50"/>
        <v>490.547431</v>
      </c>
    </row>
    <row r="57" ht="15.75" hidden="1" customHeight="1">
      <c r="A57" s="5" t="s">
        <v>13</v>
      </c>
      <c r="B57" s="5">
        <v>483.0</v>
      </c>
      <c r="C57" s="6">
        <v>544.0</v>
      </c>
      <c r="D57" s="5">
        <f t="shared" si="41"/>
        <v>0.061</v>
      </c>
      <c r="E57" s="5">
        <f t="shared" si="42"/>
        <v>39.14</v>
      </c>
      <c r="F57" s="5">
        <v>55.0</v>
      </c>
      <c r="G57" s="7">
        <f t="shared" si="43"/>
        <v>157.33852</v>
      </c>
      <c r="H57" s="7">
        <f t="shared" si="44"/>
        <v>6.08231</v>
      </c>
      <c r="I57" s="7">
        <f t="shared" si="45"/>
        <v>30.195</v>
      </c>
      <c r="J57" s="7">
        <f t="shared" si="46"/>
        <v>75.9084</v>
      </c>
      <c r="K57" s="7">
        <f t="shared" si="47"/>
        <v>1.7263</v>
      </c>
      <c r="L57" s="7">
        <f t="shared" si="48"/>
        <v>365.39053</v>
      </c>
      <c r="M57" s="7">
        <f t="shared" si="49"/>
        <v>76.7320113</v>
      </c>
      <c r="N57" s="7">
        <f t="shared" si="50"/>
        <v>442.1225413</v>
      </c>
    </row>
    <row r="58" ht="15.75" hidden="1" customHeight="1">
      <c r="A58" s="5" t="s">
        <v>14</v>
      </c>
      <c r="B58" s="5">
        <v>315.0</v>
      </c>
      <c r="C58" s="6">
        <v>390.0</v>
      </c>
      <c r="D58" s="5">
        <f t="shared" si="41"/>
        <v>0.075</v>
      </c>
      <c r="E58" s="5">
        <f t="shared" si="42"/>
        <v>39.14</v>
      </c>
      <c r="F58" s="5">
        <v>55.0</v>
      </c>
      <c r="G58" s="7">
        <f t="shared" si="43"/>
        <v>193.449</v>
      </c>
      <c r="H58" s="7">
        <f t="shared" si="44"/>
        <v>7.47825</v>
      </c>
      <c r="I58" s="7">
        <f t="shared" si="45"/>
        <v>37.125</v>
      </c>
      <c r="J58" s="7">
        <f t="shared" si="46"/>
        <v>93.33</v>
      </c>
      <c r="K58" s="7">
        <f t="shared" si="47"/>
        <v>2.1225</v>
      </c>
      <c r="L58" s="7">
        <f t="shared" si="48"/>
        <v>427.64475</v>
      </c>
      <c r="M58" s="7">
        <f t="shared" si="49"/>
        <v>89.8053975</v>
      </c>
      <c r="N58" s="7">
        <f t="shared" si="50"/>
        <v>517.4501475</v>
      </c>
    </row>
    <row r="59" ht="15.75" hidden="1" customHeight="1">
      <c r="A59" s="5" t="s">
        <v>15</v>
      </c>
      <c r="B59" s="5">
        <v>398.0</v>
      </c>
      <c r="C59" s="6">
        <v>488.0</v>
      </c>
      <c r="D59" s="5">
        <f t="shared" si="41"/>
        <v>0.09</v>
      </c>
      <c r="E59" s="5">
        <f t="shared" si="42"/>
        <v>39.14</v>
      </c>
      <c r="F59" s="5">
        <v>55.0</v>
      </c>
      <c r="G59" s="7">
        <f t="shared" si="43"/>
        <v>232.1388</v>
      </c>
      <c r="H59" s="7">
        <f t="shared" si="44"/>
        <v>8.9739</v>
      </c>
      <c r="I59" s="7">
        <f t="shared" si="45"/>
        <v>44.55</v>
      </c>
      <c r="J59" s="7">
        <f t="shared" si="46"/>
        <v>111.996</v>
      </c>
      <c r="K59" s="7">
        <f t="shared" si="47"/>
        <v>2.547</v>
      </c>
      <c r="L59" s="7">
        <f t="shared" si="48"/>
        <v>494.3457</v>
      </c>
      <c r="M59" s="7">
        <f t="shared" si="49"/>
        <v>103.812597</v>
      </c>
      <c r="N59" s="7">
        <f t="shared" si="50"/>
        <v>598.158297</v>
      </c>
    </row>
    <row r="60" ht="15.75" hidden="1" customHeight="1">
      <c r="A60" s="5" t="s">
        <v>16</v>
      </c>
      <c r="B60" s="5">
        <v>309.0</v>
      </c>
      <c r="C60" s="6">
        <v>360.0</v>
      </c>
      <c r="D60" s="5">
        <f t="shared" si="41"/>
        <v>0.051</v>
      </c>
      <c r="E60" s="5">
        <f t="shared" si="42"/>
        <v>39.14</v>
      </c>
      <c r="F60" s="5">
        <v>55.0</v>
      </c>
      <c r="G60" s="7">
        <f t="shared" si="43"/>
        <v>131.54532</v>
      </c>
      <c r="H60" s="7">
        <f t="shared" si="44"/>
        <v>5.08521</v>
      </c>
      <c r="I60" s="7">
        <f t="shared" si="45"/>
        <v>25.245</v>
      </c>
      <c r="J60" s="7">
        <f t="shared" si="46"/>
        <v>63.4644</v>
      </c>
      <c r="K60" s="7">
        <f t="shared" si="47"/>
        <v>1.4433</v>
      </c>
      <c r="L60" s="7">
        <f t="shared" si="48"/>
        <v>320.92323</v>
      </c>
      <c r="M60" s="7">
        <f t="shared" si="49"/>
        <v>67.3938783</v>
      </c>
      <c r="N60" s="7">
        <f t="shared" si="50"/>
        <v>388.3171083</v>
      </c>
    </row>
    <row r="61" ht="15.75" hidden="1" customHeight="1">
      <c r="A61" s="5" t="s">
        <v>17</v>
      </c>
      <c r="B61" s="5">
        <v>269.0</v>
      </c>
      <c r="C61" s="6">
        <v>350.0</v>
      </c>
      <c r="D61" s="5">
        <f t="shared" si="41"/>
        <v>0.081</v>
      </c>
      <c r="E61" s="5">
        <f t="shared" si="42"/>
        <v>39.14</v>
      </c>
      <c r="F61" s="5">
        <v>55.0</v>
      </c>
      <c r="G61" s="7">
        <f t="shared" si="43"/>
        <v>208.92492</v>
      </c>
      <c r="H61" s="7">
        <f t="shared" si="44"/>
        <v>8.07651</v>
      </c>
      <c r="I61" s="7">
        <f t="shared" si="45"/>
        <v>40.095</v>
      </c>
      <c r="J61" s="7">
        <f t="shared" si="46"/>
        <v>100.7964</v>
      </c>
      <c r="K61" s="7">
        <f t="shared" si="47"/>
        <v>2.2923</v>
      </c>
      <c r="L61" s="7">
        <f t="shared" si="48"/>
        <v>454.32513</v>
      </c>
      <c r="M61" s="7">
        <f t="shared" si="49"/>
        <v>95.4082773</v>
      </c>
      <c r="N61" s="7">
        <f t="shared" si="50"/>
        <v>549.7334073</v>
      </c>
    </row>
    <row r="62" ht="15.75" hidden="1" customHeight="1">
      <c r="A62" s="5" t="s">
        <v>18</v>
      </c>
      <c r="B62" s="5">
        <v>284.0</v>
      </c>
      <c r="C62" s="6">
        <v>389.0</v>
      </c>
      <c r="D62" s="5">
        <f t="shared" si="41"/>
        <v>0.105</v>
      </c>
      <c r="E62" s="5">
        <f t="shared" si="42"/>
        <v>39.14</v>
      </c>
      <c r="F62" s="5">
        <v>55.0</v>
      </c>
      <c r="G62" s="7">
        <f t="shared" si="43"/>
        <v>270.8286</v>
      </c>
      <c r="H62" s="7">
        <f t="shared" si="44"/>
        <v>10.46955</v>
      </c>
      <c r="I62" s="7">
        <f t="shared" si="45"/>
        <v>51.975</v>
      </c>
      <c r="J62" s="7">
        <f t="shared" si="46"/>
        <v>130.662</v>
      </c>
      <c r="K62" s="7">
        <f t="shared" si="47"/>
        <v>2.9715</v>
      </c>
      <c r="L62" s="7">
        <f t="shared" si="48"/>
        <v>561.04665</v>
      </c>
      <c r="M62" s="7">
        <f t="shared" si="49"/>
        <v>117.8197965</v>
      </c>
      <c r="N62" s="7">
        <f t="shared" si="50"/>
        <v>678.8664465</v>
      </c>
    </row>
    <row r="63" ht="15.75" hidden="1" customHeight="1">
      <c r="A63" s="5" t="s">
        <v>19</v>
      </c>
      <c r="B63" s="5">
        <v>31518.0</v>
      </c>
      <c r="C63" s="6">
        <v>33054.0</v>
      </c>
      <c r="D63" s="5">
        <f t="shared" si="41"/>
        <v>1.536</v>
      </c>
      <c r="E63" s="5">
        <v>169.69</v>
      </c>
      <c r="F63" s="5">
        <v>78.05</v>
      </c>
      <c r="G63" s="7">
        <f t="shared" si="43"/>
        <v>3961.83552</v>
      </c>
      <c r="H63" s="7">
        <f t="shared" si="44"/>
        <v>153.15456</v>
      </c>
      <c r="I63" s="7">
        <f t="shared" si="45"/>
        <v>760.32</v>
      </c>
      <c r="J63" s="7">
        <f t="shared" si="46"/>
        <v>1911.3984</v>
      </c>
      <c r="K63" s="7">
        <f t="shared" si="47"/>
        <v>43.4688</v>
      </c>
      <c r="L63" s="7">
        <f t="shared" si="48"/>
        <v>7077.91728</v>
      </c>
      <c r="M63" s="7">
        <f t="shared" si="49"/>
        <v>1486.362629</v>
      </c>
      <c r="N63" s="7">
        <f t="shared" si="50"/>
        <v>8564.279909</v>
      </c>
    </row>
    <row r="64" ht="15.75" hidden="1" customHeight="1">
      <c r="A64" s="5" t="s">
        <v>20</v>
      </c>
      <c r="B64" s="5">
        <v>7881.0</v>
      </c>
      <c r="C64" s="6">
        <v>8526.0</v>
      </c>
      <c r="D64" s="5">
        <f t="shared" si="41"/>
        <v>0.645</v>
      </c>
      <c r="E64" s="5">
        <f>29.8+9.34</f>
        <v>39.14</v>
      </c>
      <c r="F64" s="5">
        <v>55.0</v>
      </c>
      <c r="G64" s="7">
        <f t="shared" si="43"/>
        <v>1663.6614</v>
      </c>
      <c r="H64" s="7">
        <f t="shared" si="44"/>
        <v>64.31295</v>
      </c>
      <c r="I64" s="7">
        <f t="shared" si="45"/>
        <v>319.275</v>
      </c>
      <c r="J64" s="7">
        <f t="shared" si="46"/>
        <v>802.638</v>
      </c>
      <c r="K64" s="7">
        <f t="shared" si="47"/>
        <v>18.2535</v>
      </c>
      <c r="L64" s="7">
        <f t="shared" si="48"/>
        <v>2962.28085</v>
      </c>
      <c r="M64" s="7">
        <f t="shared" si="49"/>
        <v>622.0789785</v>
      </c>
      <c r="N64" s="7">
        <f t="shared" si="50"/>
        <v>3584.359829</v>
      </c>
    </row>
    <row r="65" ht="15.75" hidden="1" customHeight="1">
      <c r="A65" s="5"/>
      <c r="C65" s="4"/>
      <c r="D65" s="5"/>
      <c r="G65" s="5"/>
      <c r="L65" s="7">
        <f>SUM(L55:L64)</f>
        <v>13621.43841</v>
      </c>
      <c r="M65" s="7">
        <f t="shared" si="49"/>
        <v>2860.502066</v>
      </c>
      <c r="N65" s="7">
        <f t="shared" si="50"/>
        <v>16481.94048</v>
      </c>
      <c r="O65" s="7">
        <f>N65/26.5</f>
        <v>621.960018</v>
      </c>
    </row>
    <row r="66" ht="15.75" hidden="1" customHeight="1">
      <c r="A66" s="5" t="s">
        <v>25</v>
      </c>
      <c r="C66" s="4"/>
      <c r="D66" s="5"/>
      <c r="G66" s="5"/>
    </row>
    <row r="67" ht="15.75" hidden="1" customHeight="1">
      <c r="A67" s="5"/>
      <c r="C67" s="4"/>
      <c r="D67" s="5"/>
      <c r="G67" s="5"/>
    </row>
    <row r="68" ht="15.75" hidden="1" customHeight="1">
      <c r="A68" s="5" t="s">
        <v>11</v>
      </c>
      <c r="B68" s="5">
        <v>571.0</v>
      </c>
      <c r="C68" s="6">
        <v>680.0</v>
      </c>
      <c r="D68" s="5">
        <f t="shared" ref="D68:D77" si="51">(C68-B68)/1000</f>
        <v>0.109</v>
      </c>
      <c r="E68" s="5">
        <f t="shared" ref="E68:E75" si="52">29.8+9.34</f>
        <v>39.14</v>
      </c>
      <c r="F68" s="5">
        <v>55.0</v>
      </c>
      <c r="G68" s="7">
        <f t="shared" ref="G68:G77" si="53">D68*$G$2</f>
        <v>281.14588</v>
      </c>
      <c r="H68" s="7">
        <f t="shared" ref="H68:H77" si="54">D68*$H$2</f>
        <v>10.86839</v>
      </c>
      <c r="I68" s="7">
        <f t="shared" ref="I68:I77" si="55">D68*$I$2</f>
        <v>53.955</v>
      </c>
      <c r="J68" s="7">
        <f t="shared" ref="J68:J77" si="56">D68*$J$2</f>
        <v>135.6396</v>
      </c>
      <c r="K68" s="7">
        <f t="shared" ref="K68:K77" si="57">D68*$K$2</f>
        <v>3.0847</v>
      </c>
      <c r="L68" s="7">
        <f t="shared" ref="L68:L77" si="58">SUM(E68:K68)</f>
        <v>578.83357</v>
      </c>
      <c r="M68" s="7">
        <f t="shared" ref="M68:M77" si="59">L68*0.21</f>
        <v>121.5550497</v>
      </c>
      <c r="N68" s="7">
        <f t="shared" ref="N68:N77" si="60">L68+M68</f>
        <v>700.3886197</v>
      </c>
    </row>
    <row r="69" ht="15.75" hidden="1" customHeight="1">
      <c r="A69" s="5" t="s">
        <v>12</v>
      </c>
      <c r="B69" s="5">
        <v>518.0</v>
      </c>
      <c r="C69" s="6">
        <v>585.0</v>
      </c>
      <c r="D69" s="5">
        <f t="shared" si="51"/>
        <v>0.067</v>
      </c>
      <c r="E69" s="5">
        <f t="shared" si="52"/>
        <v>39.14</v>
      </c>
      <c r="F69" s="5">
        <v>55.0</v>
      </c>
      <c r="G69" s="7">
        <f t="shared" si="53"/>
        <v>172.81444</v>
      </c>
      <c r="H69" s="7">
        <f t="shared" si="54"/>
        <v>6.68057</v>
      </c>
      <c r="I69" s="7">
        <f t="shared" si="55"/>
        <v>33.165</v>
      </c>
      <c r="J69" s="7">
        <f t="shared" si="56"/>
        <v>83.3748</v>
      </c>
      <c r="K69" s="7">
        <f t="shared" si="57"/>
        <v>1.8961</v>
      </c>
      <c r="L69" s="7">
        <f t="shared" si="58"/>
        <v>392.07091</v>
      </c>
      <c r="M69" s="7">
        <f t="shared" si="59"/>
        <v>82.3348911</v>
      </c>
      <c r="N69" s="7">
        <f t="shared" si="60"/>
        <v>474.4058011</v>
      </c>
    </row>
    <row r="70" ht="15.75" hidden="1" customHeight="1">
      <c r="A70" s="5" t="s">
        <v>13</v>
      </c>
      <c r="B70" s="5">
        <v>544.0</v>
      </c>
      <c r="C70" s="6">
        <v>628.0</v>
      </c>
      <c r="D70" s="5">
        <f t="shared" si="51"/>
        <v>0.084</v>
      </c>
      <c r="E70" s="5">
        <f t="shared" si="52"/>
        <v>39.14</v>
      </c>
      <c r="F70" s="5">
        <v>55.0</v>
      </c>
      <c r="G70" s="7">
        <f t="shared" si="53"/>
        <v>216.66288</v>
      </c>
      <c r="H70" s="7">
        <f t="shared" si="54"/>
        <v>8.37564</v>
      </c>
      <c r="I70" s="7">
        <f t="shared" si="55"/>
        <v>41.58</v>
      </c>
      <c r="J70" s="7">
        <f t="shared" si="56"/>
        <v>104.5296</v>
      </c>
      <c r="K70" s="7">
        <f t="shared" si="57"/>
        <v>2.3772</v>
      </c>
      <c r="L70" s="7">
        <f t="shared" si="58"/>
        <v>467.66532</v>
      </c>
      <c r="M70" s="7">
        <f t="shared" si="59"/>
        <v>98.2097172</v>
      </c>
      <c r="N70" s="7">
        <f t="shared" si="60"/>
        <v>565.8750372</v>
      </c>
    </row>
    <row r="71" ht="15.75" hidden="1" customHeight="1">
      <c r="A71" s="5" t="s">
        <v>14</v>
      </c>
      <c r="B71" s="5">
        <v>390.0</v>
      </c>
      <c r="C71" s="6">
        <v>441.0</v>
      </c>
      <c r="D71" s="5">
        <f t="shared" si="51"/>
        <v>0.051</v>
      </c>
      <c r="E71" s="5">
        <f t="shared" si="52"/>
        <v>39.14</v>
      </c>
      <c r="F71" s="5">
        <v>55.0</v>
      </c>
      <c r="G71" s="7">
        <f t="shared" si="53"/>
        <v>131.54532</v>
      </c>
      <c r="H71" s="7">
        <f t="shared" si="54"/>
        <v>5.08521</v>
      </c>
      <c r="I71" s="7">
        <f t="shared" si="55"/>
        <v>25.245</v>
      </c>
      <c r="J71" s="7">
        <f t="shared" si="56"/>
        <v>63.4644</v>
      </c>
      <c r="K71" s="7">
        <f t="shared" si="57"/>
        <v>1.4433</v>
      </c>
      <c r="L71" s="7">
        <f t="shared" si="58"/>
        <v>320.92323</v>
      </c>
      <c r="M71" s="7">
        <f t="shared" si="59"/>
        <v>67.3938783</v>
      </c>
      <c r="N71" s="7">
        <f t="shared" si="60"/>
        <v>388.3171083</v>
      </c>
    </row>
    <row r="72" ht="15.75" hidden="1" customHeight="1">
      <c r="A72" s="5" t="s">
        <v>15</v>
      </c>
      <c r="B72" s="5">
        <v>488.0</v>
      </c>
      <c r="C72" s="6">
        <v>559.0</v>
      </c>
      <c r="D72" s="5">
        <f t="shared" si="51"/>
        <v>0.071</v>
      </c>
      <c r="E72" s="5">
        <f t="shared" si="52"/>
        <v>39.14</v>
      </c>
      <c r="F72" s="5">
        <v>55.0</v>
      </c>
      <c r="G72" s="7">
        <f t="shared" si="53"/>
        <v>183.13172</v>
      </c>
      <c r="H72" s="7">
        <f t="shared" si="54"/>
        <v>7.07941</v>
      </c>
      <c r="I72" s="7">
        <f t="shared" si="55"/>
        <v>35.145</v>
      </c>
      <c r="J72" s="7">
        <f t="shared" si="56"/>
        <v>88.3524</v>
      </c>
      <c r="K72" s="7">
        <f t="shared" si="57"/>
        <v>2.0093</v>
      </c>
      <c r="L72" s="7">
        <f t="shared" si="58"/>
        <v>409.85783</v>
      </c>
      <c r="M72" s="7">
        <f t="shared" si="59"/>
        <v>86.0701443</v>
      </c>
      <c r="N72" s="7">
        <f t="shared" si="60"/>
        <v>495.9279743</v>
      </c>
    </row>
    <row r="73" ht="15.75" hidden="1" customHeight="1">
      <c r="A73" s="5" t="s">
        <v>16</v>
      </c>
      <c r="B73" s="5">
        <v>360.0</v>
      </c>
      <c r="C73" s="6">
        <v>423.0</v>
      </c>
      <c r="D73" s="5">
        <f t="shared" si="51"/>
        <v>0.063</v>
      </c>
      <c r="E73" s="5">
        <f t="shared" si="52"/>
        <v>39.14</v>
      </c>
      <c r="F73" s="5">
        <v>55.0</v>
      </c>
      <c r="G73" s="7">
        <f t="shared" si="53"/>
        <v>162.49716</v>
      </c>
      <c r="H73" s="7">
        <f t="shared" si="54"/>
        <v>6.28173</v>
      </c>
      <c r="I73" s="7">
        <f t="shared" si="55"/>
        <v>31.185</v>
      </c>
      <c r="J73" s="7">
        <f t="shared" si="56"/>
        <v>78.3972</v>
      </c>
      <c r="K73" s="7">
        <f t="shared" si="57"/>
        <v>1.7829</v>
      </c>
      <c r="L73" s="7">
        <f t="shared" si="58"/>
        <v>374.28399</v>
      </c>
      <c r="M73" s="7">
        <f t="shared" si="59"/>
        <v>78.5996379</v>
      </c>
      <c r="N73" s="7">
        <f t="shared" si="60"/>
        <v>452.8836279</v>
      </c>
    </row>
    <row r="74" ht="15.75" hidden="1" customHeight="1">
      <c r="A74" s="5" t="s">
        <v>17</v>
      </c>
      <c r="B74" s="5">
        <v>350.0</v>
      </c>
      <c r="C74" s="6">
        <v>462.0</v>
      </c>
      <c r="D74" s="5">
        <f t="shared" si="51"/>
        <v>0.112</v>
      </c>
      <c r="E74" s="5">
        <f t="shared" si="52"/>
        <v>39.14</v>
      </c>
      <c r="F74" s="5">
        <v>55.0</v>
      </c>
      <c r="G74" s="7">
        <f t="shared" si="53"/>
        <v>288.88384</v>
      </c>
      <c r="H74" s="7">
        <f t="shared" si="54"/>
        <v>11.16752</v>
      </c>
      <c r="I74" s="7">
        <f t="shared" si="55"/>
        <v>55.44</v>
      </c>
      <c r="J74" s="7">
        <f t="shared" si="56"/>
        <v>139.3728</v>
      </c>
      <c r="K74" s="7">
        <f t="shared" si="57"/>
        <v>3.1696</v>
      </c>
      <c r="L74" s="7">
        <f t="shared" si="58"/>
        <v>592.17376</v>
      </c>
      <c r="M74" s="7">
        <f t="shared" si="59"/>
        <v>124.3564896</v>
      </c>
      <c r="N74" s="7">
        <f t="shared" si="60"/>
        <v>716.5302496</v>
      </c>
    </row>
    <row r="75" ht="15.75" hidden="1" customHeight="1">
      <c r="A75" s="5" t="s">
        <v>18</v>
      </c>
      <c r="B75" s="5">
        <v>389.0</v>
      </c>
      <c r="C75" s="6">
        <v>494.0</v>
      </c>
      <c r="D75" s="5">
        <f t="shared" si="51"/>
        <v>0.105</v>
      </c>
      <c r="E75" s="5">
        <f t="shared" si="52"/>
        <v>39.14</v>
      </c>
      <c r="F75" s="5">
        <v>55.0</v>
      </c>
      <c r="G75" s="7">
        <f t="shared" si="53"/>
        <v>270.8286</v>
      </c>
      <c r="H75" s="7">
        <f t="shared" si="54"/>
        <v>10.46955</v>
      </c>
      <c r="I75" s="7">
        <f t="shared" si="55"/>
        <v>51.975</v>
      </c>
      <c r="J75" s="7">
        <f t="shared" si="56"/>
        <v>130.662</v>
      </c>
      <c r="K75" s="7">
        <f t="shared" si="57"/>
        <v>2.9715</v>
      </c>
      <c r="L75" s="7">
        <f t="shared" si="58"/>
        <v>561.04665</v>
      </c>
      <c r="M75" s="7">
        <f t="shared" si="59"/>
        <v>117.8197965</v>
      </c>
      <c r="N75" s="7">
        <f t="shared" si="60"/>
        <v>678.8664465</v>
      </c>
    </row>
    <row r="76" ht="15.75" hidden="1" customHeight="1">
      <c r="A76" s="5" t="s">
        <v>19</v>
      </c>
      <c r="B76" s="5">
        <v>33054.0</v>
      </c>
      <c r="C76" s="6">
        <v>34838.0</v>
      </c>
      <c r="D76" s="5">
        <f t="shared" si="51"/>
        <v>1.784</v>
      </c>
      <c r="E76" s="5">
        <v>169.69</v>
      </c>
      <c r="F76" s="5">
        <v>78.05</v>
      </c>
      <c r="G76" s="7">
        <f t="shared" si="53"/>
        <v>4601.50688</v>
      </c>
      <c r="H76" s="7">
        <f t="shared" si="54"/>
        <v>177.88264</v>
      </c>
      <c r="I76" s="7">
        <f t="shared" si="55"/>
        <v>883.08</v>
      </c>
      <c r="J76" s="7">
        <f t="shared" si="56"/>
        <v>2220.0096</v>
      </c>
      <c r="K76" s="7">
        <f t="shared" si="57"/>
        <v>50.4872</v>
      </c>
      <c r="L76" s="7">
        <f t="shared" si="58"/>
        <v>8180.70632</v>
      </c>
      <c r="M76" s="7">
        <f t="shared" si="59"/>
        <v>1717.948327</v>
      </c>
      <c r="N76" s="7">
        <f t="shared" si="60"/>
        <v>9898.654647</v>
      </c>
    </row>
    <row r="77" ht="15.75" hidden="1" customHeight="1">
      <c r="A77" s="5" t="s">
        <v>20</v>
      </c>
      <c r="B77" s="5">
        <v>8526.0</v>
      </c>
      <c r="C77" s="6">
        <v>8601.0</v>
      </c>
      <c r="D77" s="5">
        <f t="shared" si="51"/>
        <v>0.075</v>
      </c>
      <c r="E77" s="5">
        <f>29.8+9.34</f>
        <v>39.14</v>
      </c>
      <c r="F77" s="5">
        <v>55.0</v>
      </c>
      <c r="G77" s="7">
        <f t="shared" si="53"/>
        <v>193.449</v>
      </c>
      <c r="H77" s="7">
        <f t="shared" si="54"/>
        <v>7.47825</v>
      </c>
      <c r="I77" s="7">
        <f t="shared" si="55"/>
        <v>37.125</v>
      </c>
      <c r="J77" s="7">
        <f t="shared" si="56"/>
        <v>93.33</v>
      </c>
      <c r="K77" s="7">
        <f t="shared" si="57"/>
        <v>2.1225</v>
      </c>
      <c r="L77" s="7">
        <f t="shared" si="58"/>
        <v>427.64475</v>
      </c>
      <c r="M77" s="7">
        <f t="shared" si="59"/>
        <v>89.8053975</v>
      </c>
      <c r="N77" s="7">
        <f t="shared" si="60"/>
        <v>517.4501475</v>
      </c>
    </row>
    <row r="78" ht="15.75" hidden="1" customHeight="1">
      <c r="A78" s="5"/>
      <c r="C78" s="4"/>
      <c r="D78" s="5"/>
      <c r="G78" s="5"/>
      <c r="L78" s="7">
        <f t="shared" ref="L78:N78" si="61">SUM(L68:L77)</f>
        <v>12305.20633</v>
      </c>
      <c r="M78" s="7">
        <f t="shared" si="61"/>
        <v>2584.093329</v>
      </c>
      <c r="N78" s="7">
        <f t="shared" si="61"/>
        <v>14889.29966</v>
      </c>
      <c r="O78" s="5">
        <f>L78/26.5</f>
        <v>464.3474087</v>
      </c>
    </row>
    <row r="79" ht="15.75" hidden="1" customHeight="1">
      <c r="A79" s="5"/>
      <c r="C79" s="4"/>
      <c r="D79" s="5"/>
      <c r="G79" s="5"/>
    </row>
    <row r="80" ht="15.75" hidden="1" customHeight="1">
      <c r="A80" s="5"/>
      <c r="C80" s="4"/>
      <c r="D80" s="5"/>
      <c r="G80" s="5"/>
    </row>
    <row r="81" ht="15.75" hidden="1" customHeight="1">
      <c r="A81" s="5" t="s">
        <v>26</v>
      </c>
      <c r="C81" s="4"/>
      <c r="D81" s="5"/>
      <c r="G81" s="5"/>
    </row>
    <row r="82" ht="15.75" hidden="1" customHeight="1">
      <c r="A82" s="5"/>
      <c r="C82" s="4"/>
      <c r="D82" s="5"/>
      <c r="G82" s="5"/>
    </row>
    <row r="83" ht="15.75" hidden="1" customHeight="1">
      <c r="A83" s="5" t="s">
        <v>11</v>
      </c>
      <c r="B83" s="5">
        <v>680.0</v>
      </c>
      <c r="C83" s="6">
        <v>766.0</v>
      </c>
      <c r="D83" s="5">
        <f t="shared" ref="D83:D92" si="62">(C83-B83)/1000</f>
        <v>0.086</v>
      </c>
      <c r="E83" s="5">
        <f t="shared" ref="E83:E90" si="63">29.8+9.34</f>
        <v>39.14</v>
      </c>
      <c r="F83" s="5">
        <v>55.0</v>
      </c>
      <c r="G83" s="7">
        <f t="shared" ref="G83:G92" si="64">D83*$G$2</f>
        <v>221.82152</v>
      </c>
      <c r="H83" s="7">
        <f t="shared" ref="H83:H92" si="65">D83*$H$2</f>
        <v>8.57506</v>
      </c>
      <c r="I83" s="7">
        <f t="shared" ref="I83:I92" si="66">D83*$I$2</f>
        <v>42.57</v>
      </c>
      <c r="J83" s="7">
        <f t="shared" ref="J83:J92" si="67">D83*$J$2</f>
        <v>107.0184</v>
      </c>
      <c r="K83" s="7">
        <f t="shared" ref="K83:K92" si="68">D83*$K$2</f>
        <v>2.4338</v>
      </c>
      <c r="L83" s="7">
        <f t="shared" ref="L83:L92" si="69">SUM(E83:K83)</f>
        <v>476.55878</v>
      </c>
      <c r="M83" s="7">
        <f t="shared" ref="M83:M92" si="70">L83*0.21</f>
        <v>100.0773438</v>
      </c>
      <c r="N83" s="7">
        <f t="shared" ref="N83:N92" si="71">L83+M83</f>
        <v>576.6361238</v>
      </c>
    </row>
    <row r="84" ht="15.75" hidden="1" customHeight="1">
      <c r="A84" s="5" t="s">
        <v>12</v>
      </c>
      <c r="B84" s="5">
        <v>585.0</v>
      </c>
      <c r="C84" s="6">
        <v>649.0</v>
      </c>
      <c r="D84" s="5">
        <f t="shared" si="62"/>
        <v>0.064</v>
      </c>
      <c r="E84" s="5">
        <f t="shared" si="63"/>
        <v>39.14</v>
      </c>
      <c r="F84" s="5">
        <v>55.0</v>
      </c>
      <c r="G84" s="7">
        <f t="shared" si="64"/>
        <v>165.07648</v>
      </c>
      <c r="H84" s="7">
        <f t="shared" si="65"/>
        <v>6.38144</v>
      </c>
      <c r="I84" s="7">
        <f t="shared" si="66"/>
        <v>31.68</v>
      </c>
      <c r="J84" s="7">
        <f t="shared" si="67"/>
        <v>79.6416</v>
      </c>
      <c r="K84" s="7">
        <f t="shared" si="68"/>
        <v>1.8112</v>
      </c>
      <c r="L84" s="7">
        <f t="shared" si="69"/>
        <v>378.73072</v>
      </c>
      <c r="M84" s="7">
        <f t="shared" si="70"/>
        <v>79.5334512</v>
      </c>
      <c r="N84" s="7">
        <f t="shared" si="71"/>
        <v>458.2641712</v>
      </c>
    </row>
    <row r="85" ht="15.75" hidden="1" customHeight="1">
      <c r="A85" s="5" t="s">
        <v>13</v>
      </c>
      <c r="B85" s="5">
        <v>628.0</v>
      </c>
      <c r="C85" s="6">
        <v>708.0</v>
      </c>
      <c r="D85" s="5">
        <f t="shared" si="62"/>
        <v>0.08</v>
      </c>
      <c r="E85" s="5">
        <f t="shared" si="63"/>
        <v>39.14</v>
      </c>
      <c r="F85" s="5">
        <v>55.0</v>
      </c>
      <c r="G85" s="7">
        <f t="shared" si="64"/>
        <v>206.3456</v>
      </c>
      <c r="H85" s="7">
        <f t="shared" si="65"/>
        <v>7.9768</v>
      </c>
      <c r="I85" s="7">
        <f t="shared" si="66"/>
        <v>39.6</v>
      </c>
      <c r="J85" s="7">
        <f t="shared" si="67"/>
        <v>99.552</v>
      </c>
      <c r="K85" s="7">
        <f t="shared" si="68"/>
        <v>2.264</v>
      </c>
      <c r="L85" s="7">
        <f t="shared" si="69"/>
        <v>449.8784</v>
      </c>
      <c r="M85" s="7">
        <f t="shared" si="70"/>
        <v>94.474464</v>
      </c>
      <c r="N85" s="7">
        <f t="shared" si="71"/>
        <v>544.352864</v>
      </c>
    </row>
    <row r="86" ht="15.75" hidden="1" customHeight="1">
      <c r="A86" s="5" t="s">
        <v>14</v>
      </c>
      <c r="B86" s="5">
        <v>441.0</v>
      </c>
      <c r="C86" s="6">
        <v>533.0</v>
      </c>
      <c r="D86" s="5">
        <f t="shared" si="62"/>
        <v>0.092</v>
      </c>
      <c r="E86" s="5">
        <f t="shared" si="63"/>
        <v>39.14</v>
      </c>
      <c r="F86" s="5">
        <v>55.0</v>
      </c>
      <c r="G86" s="7">
        <f t="shared" si="64"/>
        <v>237.29744</v>
      </c>
      <c r="H86" s="7">
        <f t="shared" si="65"/>
        <v>9.17332</v>
      </c>
      <c r="I86" s="7">
        <f t="shared" si="66"/>
        <v>45.54</v>
      </c>
      <c r="J86" s="7">
        <f t="shared" si="67"/>
        <v>114.4848</v>
      </c>
      <c r="K86" s="7">
        <f t="shared" si="68"/>
        <v>2.6036</v>
      </c>
      <c r="L86" s="7">
        <f t="shared" si="69"/>
        <v>503.23916</v>
      </c>
      <c r="M86" s="7">
        <f t="shared" si="70"/>
        <v>105.6802236</v>
      </c>
      <c r="N86" s="7">
        <f t="shared" si="71"/>
        <v>608.9193836</v>
      </c>
    </row>
    <row r="87" ht="15.75" hidden="1" customHeight="1">
      <c r="A87" s="5" t="s">
        <v>15</v>
      </c>
      <c r="B87" s="5">
        <v>559.0</v>
      </c>
      <c r="C87" s="6">
        <v>628.0</v>
      </c>
      <c r="D87" s="5">
        <f t="shared" si="62"/>
        <v>0.069</v>
      </c>
      <c r="E87" s="5">
        <f t="shared" si="63"/>
        <v>39.14</v>
      </c>
      <c r="F87" s="5">
        <v>55.0</v>
      </c>
      <c r="G87" s="7">
        <f t="shared" si="64"/>
        <v>177.97308</v>
      </c>
      <c r="H87" s="7">
        <f t="shared" si="65"/>
        <v>6.87999</v>
      </c>
      <c r="I87" s="7">
        <f t="shared" si="66"/>
        <v>34.155</v>
      </c>
      <c r="J87" s="7">
        <f t="shared" si="67"/>
        <v>85.8636</v>
      </c>
      <c r="K87" s="7">
        <f t="shared" si="68"/>
        <v>1.9527</v>
      </c>
      <c r="L87" s="7">
        <f t="shared" si="69"/>
        <v>400.96437</v>
      </c>
      <c r="M87" s="7">
        <f t="shared" si="70"/>
        <v>84.2025177</v>
      </c>
      <c r="N87" s="7">
        <f t="shared" si="71"/>
        <v>485.1668877</v>
      </c>
    </row>
    <row r="88" ht="15.75" hidden="1" customHeight="1">
      <c r="A88" s="5" t="s">
        <v>16</v>
      </c>
      <c r="B88" s="5">
        <v>423.0</v>
      </c>
      <c r="C88" s="6">
        <v>482.0</v>
      </c>
      <c r="D88" s="5">
        <f t="shared" si="62"/>
        <v>0.059</v>
      </c>
      <c r="E88" s="5">
        <f t="shared" si="63"/>
        <v>39.14</v>
      </c>
      <c r="F88" s="5">
        <v>55.0</v>
      </c>
      <c r="G88" s="7">
        <f t="shared" si="64"/>
        <v>152.17988</v>
      </c>
      <c r="H88" s="7">
        <f t="shared" si="65"/>
        <v>5.88289</v>
      </c>
      <c r="I88" s="7">
        <f t="shared" si="66"/>
        <v>29.205</v>
      </c>
      <c r="J88" s="7">
        <f t="shared" si="67"/>
        <v>73.4196</v>
      </c>
      <c r="K88" s="7">
        <f t="shared" si="68"/>
        <v>1.6697</v>
      </c>
      <c r="L88" s="7">
        <f t="shared" si="69"/>
        <v>356.49707</v>
      </c>
      <c r="M88" s="7">
        <f t="shared" si="70"/>
        <v>74.8643847</v>
      </c>
      <c r="N88" s="7">
        <f t="shared" si="71"/>
        <v>431.3614547</v>
      </c>
    </row>
    <row r="89" ht="15.75" hidden="1" customHeight="1">
      <c r="A89" s="5" t="s">
        <v>17</v>
      </c>
      <c r="B89" s="5">
        <v>462.0</v>
      </c>
      <c r="C89" s="6">
        <v>502.0</v>
      </c>
      <c r="D89" s="5">
        <f t="shared" si="62"/>
        <v>0.04</v>
      </c>
      <c r="E89" s="5">
        <f t="shared" si="63"/>
        <v>39.14</v>
      </c>
      <c r="F89" s="5">
        <v>55.0</v>
      </c>
      <c r="G89" s="7">
        <f t="shared" si="64"/>
        <v>103.1728</v>
      </c>
      <c r="H89" s="7">
        <f t="shared" si="65"/>
        <v>3.9884</v>
      </c>
      <c r="I89" s="7">
        <f t="shared" si="66"/>
        <v>19.8</v>
      </c>
      <c r="J89" s="7">
        <f t="shared" si="67"/>
        <v>49.776</v>
      </c>
      <c r="K89" s="7">
        <f t="shared" si="68"/>
        <v>1.132</v>
      </c>
      <c r="L89" s="7">
        <f t="shared" si="69"/>
        <v>272.0092</v>
      </c>
      <c r="M89" s="7">
        <f t="shared" si="70"/>
        <v>57.121932</v>
      </c>
      <c r="N89" s="7">
        <f t="shared" si="71"/>
        <v>329.131132</v>
      </c>
    </row>
    <row r="90" ht="15.75" hidden="1" customHeight="1">
      <c r="A90" s="5" t="s">
        <v>18</v>
      </c>
      <c r="B90" s="5">
        <v>494.0</v>
      </c>
      <c r="C90" s="6">
        <v>567.0</v>
      </c>
      <c r="D90" s="5">
        <f t="shared" si="62"/>
        <v>0.073</v>
      </c>
      <c r="E90" s="5">
        <f t="shared" si="63"/>
        <v>39.14</v>
      </c>
      <c r="F90" s="5">
        <v>55.0</v>
      </c>
      <c r="G90" s="7">
        <f t="shared" si="64"/>
        <v>188.29036</v>
      </c>
      <c r="H90" s="7">
        <f t="shared" si="65"/>
        <v>7.27883</v>
      </c>
      <c r="I90" s="7">
        <f t="shared" si="66"/>
        <v>36.135</v>
      </c>
      <c r="J90" s="7">
        <f t="shared" si="67"/>
        <v>90.8412</v>
      </c>
      <c r="K90" s="7">
        <f t="shared" si="68"/>
        <v>2.0659</v>
      </c>
      <c r="L90" s="7">
        <f t="shared" si="69"/>
        <v>418.75129</v>
      </c>
      <c r="M90" s="7">
        <f t="shared" si="70"/>
        <v>87.9377709</v>
      </c>
      <c r="N90" s="7">
        <f t="shared" si="71"/>
        <v>506.6890609</v>
      </c>
    </row>
    <row r="91" ht="15.75" hidden="1" customHeight="1">
      <c r="A91" s="5" t="s">
        <v>19</v>
      </c>
      <c r="B91" s="5">
        <v>34838.0</v>
      </c>
      <c r="C91" s="6">
        <v>36615.0</v>
      </c>
      <c r="D91" s="5">
        <f t="shared" si="62"/>
        <v>1.777</v>
      </c>
      <c r="E91" s="5">
        <v>169.69</v>
      </c>
      <c r="F91" s="5">
        <v>78.05</v>
      </c>
      <c r="G91" s="7">
        <f t="shared" si="64"/>
        <v>4583.45164</v>
      </c>
      <c r="H91" s="7">
        <f t="shared" si="65"/>
        <v>177.18467</v>
      </c>
      <c r="I91" s="7">
        <f t="shared" si="66"/>
        <v>879.615</v>
      </c>
      <c r="J91" s="7">
        <f t="shared" si="67"/>
        <v>2211.2988</v>
      </c>
      <c r="K91" s="7">
        <f t="shared" si="68"/>
        <v>50.2891</v>
      </c>
      <c r="L91" s="7">
        <f t="shared" si="69"/>
        <v>8149.57921</v>
      </c>
      <c r="M91" s="7">
        <f t="shared" si="70"/>
        <v>1711.411634</v>
      </c>
      <c r="N91" s="7">
        <f t="shared" si="71"/>
        <v>9860.990844</v>
      </c>
    </row>
    <row r="92" ht="15.75" hidden="1" customHeight="1">
      <c r="A92" s="5" t="s">
        <v>20</v>
      </c>
      <c r="B92" s="5">
        <v>8601.0</v>
      </c>
      <c r="C92" s="6">
        <v>8616.0</v>
      </c>
      <c r="D92" s="5">
        <f t="shared" si="62"/>
        <v>0.015</v>
      </c>
      <c r="E92" s="5">
        <f>29.8+9.34</f>
        <v>39.14</v>
      </c>
      <c r="F92" s="5">
        <v>55.0</v>
      </c>
      <c r="G92" s="7">
        <f t="shared" si="64"/>
        <v>38.6898</v>
      </c>
      <c r="H92" s="7">
        <f t="shared" si="65"/>
        <v>1.49565</v>
      </c>
      <c r="I92" s="7">
        <f t="shared" si="66"/>
        <v>7.425</v>
      </c>
      <c r="J92" s="7">
        <f t="shared" si="67"/>
        <v>18.666</v>
      </c>
      <c r="K92" s="7">
        <f t="shared" si="68"/>
        <v>0.4245</v>
      </c>
      <c r="L92" s="7">
        <f t="shared" si="69"/>
        <v>160.84095</v>
      </c>
      <c r="M92" s="7">
        <f t="shared" si="70"/>
        <v>33.7765995</v>
      </c>
      <c r="N92" s="7">
        <f t="shared" si="71"/>
        <v>194.6175495</v>
      </c>
    </row>
    <row r="93" ht="15.75" hidden="1" customHeight="1">
      <c r="A93" s="5"/>
      <c r="C93" s="4"/>
      <c r="D93" s="5">
        <f>SUM(D83:D92)</f>
        <v>2.355</v>
      </c>
      <c r="G93" s="5"/>
      <c r="L93" s="7">
        <f t="shared" ref="L93:N93" si="72">SUM(L83:L92)</f>
        <v>11567.04915</v>
      </c>
      <c r="M93" s="7">
        <f t="shared" si="72"/>
        <v>2429.080322</v>
      </c>
      <c r="N93" s="7">
        <f t="shared" si="72"/>
        <v>13996.12947</v>
      </c>
      <c r="O93" s="5">
        <f>L93/26.5</f>
        <v>436.4924208</v>
      </c>
    </row>
    <row r="94" ht="15.75" hidden="1" customHeight="1">
      <c r="A94" s="5"/>
      <c r="C94" s="4"/>
      <c r="D94" s="5"/>
      <c r="G94" s="5"/>
    </row>
    <row r="95" ht="15.75" hidden="1" customHeight="1">
      <c r="A95" s="5"/>
      <c r="C95" s="4"/>
      <c r="D95" s="5"/>
      <c r="G95" s="5"/>
    </row>
    <row r="96" ht="15.75" hidden="1" customHeight="1">
      <c r="A96" s="5" t="s">
        <v>27</v>
      </c>
      <c r="C96" s="4"/>
      <c r="D96" s="5"/>
      <c r="G96" s="5"/>
    </row>
    <row r="97" ht="15.75" hidden="1" customHeight="1">
      <c r="A97" s="5"/>
      <c r="C97" s="4"/>
      <c r="D97" s="5"/>
      <c r="G97" s="5"/>
    </row>
    <row r="98" ht="15.75" hidden="1" customHeight="1">
      <c r="A98" s="5" t="s">
        <v>11</v>
      </c>
      <c r="B98" s="5">
        <v>766.0</v>
      </c>
      <c r="C98" s="6">
        <v>862.0</v>
      </c>
      <c r="D98" s="5">
        <f t="shared" ref="D98:D107" si="73">(C98-B98)/1000</f>
        <v>0.096</v>
      </c>
      <c r="E98" s="5">
        <f t="shared" ref="E98:E105" si="74">29.8+9.34</f>
        <v>39.14</v>
      </c>
      <c r="F98" s="5">
        <v>55.0</v>
      </c>
      <c r="G98" s="7">
        <f t="shared" ref="G98:G107" si="75">D98*$G$2</f>
        <v>247.61472</v>
      </c>
      <c r="H98" s="7">
        <f t="shared" ref="H98:H107" si="76">D98*$H$2</f>
        <v>9.57216</v>
      </c>
      <c r="I98" s="7">
        <f t="shared" ref="I98:I107" si="77">D98*$I$2</f>
        <v>47.52</v>
      </c>
      <c r="J98" s="7">
        <f t="shared" ref="J98:J107" si="78">D98*$J$2</f>
        <v>119.4624</v>
      </c>
      <c r="K98" s="7">
        <f t="shared" ref="K98:K107" si="79">D98*$K$2</f>
        <v>2.7168</v>
      </c>
      <c r="L98" s="7">
        <f t="shared" ref="L98:L107" si="80">SUM(E98:K98)</f>
        <v>521.02608</v>
      </c>
      <c r="M98" s="7">
        <f t="shared" ref="M98:M107" si="81">L98*0.21</f>
        <v>109.4154768</v>
      </c>
      <c r="N98" s="7">
        <f t="shared" ref="N98:N107" si="82">L98+M98</f>
        <v>630.4415568</v>
      </c>
    </row>
    <row r="99" ht="15.75" hidden="1" customHeight="1">
      <c r="A99" s="5" t="s">
        <v>12</v>
      </c>
      <c r="B99" s="5">
        <v>649.0</v>
      </c>
      <c r="C99" s="6">
        <v>718.0</v>
      </c>
      <c r="D99" s="5">
        <f t="shared" si="73"/>
        <v>0.069</v>
      </c>
      <c r="E99" s="5">
        <f t="shared" si="74"/>
        <v>39.14</v>
      </c>
      <c r="F99" s="5">
        <v>55.0</v>
      </c>
      <c r="G99" s="7">
        <f t="shared" si="75"/>
        <v>177.97308</v>
      </c>
      <c r="H99" s="7">
        <f t="shared" si="76"/>
        <v>6.87999</v>
      </c>
      <c r="I99" s="7">
        <f t="shared" si="77"/>
        <v>34.155</v>
      </c>
      <c r="J99" s="7">
        <f t="shared" si="78"/>
        <v>85.8636</v>
      </c>
      <c r="K99" s="7">
        <f t="shared" si="79"/>
        <v>1.9527</v>
      </c>
      <c r="L99" s="7">
        <f t="shared" si="80"/>
        <v>400.96437</v>
      </c>
      <c r="M99" s="7">
        <f t="shared" si="81"/>
        <v>84.2025177</v>
      </c>
      <c r="N99" s="7">
        <f t="shared" si="82"/>
        <v>485.1668877</v>
      </c>
    </row>
    <row r="100" ht="15.75" hidden="1" customHeight="1">
      <c r="A100" s="5" t="s">
        <v>13</v>
      </c>
      <c r="B100" s="5">
        <v>708.0</v>
      </c>
      <c r="C100" s="6">
        <v>794.0</v>
      </c>
      <c r="D100" s="5">
        <f t="shared" si="73"/>
        <v>0.086</v>
      </c>
      <c r="E100" s="5">
        <f t="shared" si="74"/>
        <v>39.14</v>
      </c>
      <c r="F100" s="5">
        <v>55.0</v>
      </c>
      <c r="G100" s="7">
        <f t="shared" si="75"/>
        <v>221.82152</v>
      </c>
      <c r="H100" s="7">
        <f t="shared" si="76"/>
        <v>8.57506</v>
      </c>
      <c r="I100" s="7">
        <f t="shared" si="77"/>
        <v>42.57</v>
      </c>
      <c r="J100" s="7">
        <f t="shared" si="78"/>
        <v>107.0184</v>
      </c>
      <c r="K100" s="7">
        <f t="shared" si="79"/>
        <v>2.4338</v>
      </c>
      <c r="L100" s="7">
        <f t="shared" si="80"/>
        <v>476.55878</v>
      </c>
      <c r="M100" s="7">
        <f t="shared" si="81"/>
        <v>100.0773438</v>
      </c>
      <c r="N100" s="7">
        <f t="shared" si="82"/>
        <v>576.6361238</v>
      </c>
    </row>
    <row r="101" ht="15.75" hidden="1" customHeight="1">
      <c r="A101" s="5" t="s">
        <v>14</v>
      </c>
      <c r="B101" s="5">
        <v>533.0</v>
      </c>
      <c r="C101" s="6">
        <v>607.0</v>
      </c>
      <c r="D101" s="5">
        <f t="shared" si="73"/>
        <v>0.074</v>
      </c>
      <c r="E101" s="5">
        <f t="shared" si="74"/>
        <v>39.14</v>
      </c>
      <c r="F101" s="5">
        <v>55.0</v>
      </c>
      <c r="G101" s="7">
        <f t="shared" si="75"/>
        <v>190.86968</v>
      </c>
      <c r="H101" s="7">
        <f t="shared" si="76"/>
        <v>7.37854</v>
      </c>
      <c r="I101" s="7">
        <f t="shared" si="77"/>
        <v>36.63</v>
      </c>
      <c r="J101" s="7">
        <f t="shared" si="78"/>
        <v>92.0856</v>
      </c>
      <c r="K101" s="7">
        <f t="shared" si="79"/>
        <v>2.0942</v>
      </c>
      <c r="L101" s="7">
        <f t="shared" si="80"/>
        <v>423.19802</v>
      </c>
      <c r="M101" s="7">
        <f t="shared" si="81"/>
        <v>88.8715842</v>
      </c>
      <c r="N101" s="7">
        <f t="shared" si="82"/>
        <v>512.0696042</v>
      </c>
    </row>
    <row r="102" ht="15.75" hidden="1" customHeight="1">
      <c r="A102" s="5" t="s">
        <v>15</v>
      </c>
      <c r="B102" s="5">
        <v>628.0</v>
      </c>
      <c r="C102" s="6">
        <v>683.0</v>
      </c>
      <c r="D102" s="5">
        <f t="shared" si="73"/>
        <v>0.055</v>
      </c>
      <c r="E102" s="5">
        <f t="shared" si="74"/>
        <v>39.14</v>
      </c>
      <c r="F102" s="5">
        <v>55.0</v>
      </c>
      <c r="G102" s="7">
        <f t="shared" si="75"/>
        <v>141.8626</v>
      </c>
      <c r="H102" s="7">
        <f t="shared" si="76"/>
        <v>5.48405</v>
      </c>
      <c r="I102" s="7">
        <f t="shared" si="77"/>
        <v>27.225</v>
      </c>
      <c r="J102" s="7">
        <f t="shared" si="78"/>
        <v>68.442</v>
      </c>
      <c r="K102" s="7">
        <f t="shared" si="79"/>
        <v>1.5565</v>
      </c>
      <c r="L102" s="7">
        <f t="shared" si="80"/>
        <v>338.71015</v>
      </c>
      <c r="M102" s="7">
        <f t="shared" si="81"/>
        <v>71.1291315</v>
      </c>
      <c r="N102" s="7">
        <f t="shared" si="82"/>
        <v>409.8392815</v>
      </c>
    </row>
    <row r="103" ht="15.75" hidden="1" customHeight="1">
      <c r="A103" s="5" t="s">
        <v>16</v>
      </c>
      <c r="B103" s="5">
        <v>482.0</v>
      </c>
      <c r="C103" s="6">
        <v>543.0</v>
      </c>
      <c r="D103" s="5">
        <f t="shared" si="73"/>
        <v>0.061</v>
      </c>
      <c r="E103" s="5">
        <f t="shared" si="74"/>
        <v>39.14</v>
      </c>
      <c r="F103" s="5">
        <v>55.0</v>
      </c>
      <c r="G103" s="7">
        <f t="shared" si="75"/>
        <v>157.33852</v>
      </c>
      <c r="H103" s="7">
        <f t="shared" si="76"/>
        <v>6.08231</v>
      </c>
      <c r="I103" s="7">
        <f t="shared" si="77"/>
        <v>30.195</v>
      </c>
      <c r="J103" s="7">
        <f t="shared" si="78"/>
        <v>75.9084</v>
      </c>
      <c r="K103" s="7">
        <f t="shared" si="79"/>
        <v>1.7263</v>
      </c>
      <c r="L103" s="7">
        <f t="shared" si="80"/>
        <v>365.39053</v>
      </c>
      <c r="M103" s="7">
        <f t="shared" si="81"/>
        <v>76.7320113</v>
      </c>
      <c r="N103" s="7">
        <f t="shared" si="82"/>
        <v>442.1225413</v>
      </c>
    </row>
    <row r="104" ht="15.75" hidden="1" customHeight="1">
      <c r="A104" s="5" t="s">
        <v>17</v>
      </c>
      <c r="B104" s="5">
        <v>502.0</v>
      </c>
      <c r="C104" s="6">
        <v>588.0</v>
      </c>
      <c r="D104" s="5">
        <f t="shared" si="73"/>
        <v>0.086</v>
      </c>
      <c r="E104" s="5">
        <f t="shared" si="74"/>
        <v>39.14</v>
      </c>
      <c r="F104" s="5">
        <v>55.0</v>
      </c>
      <c r="G104" s="7">
        <f t="shared" si="75"/>
        <v>221.82152</v>
      </c>
      <c r="H104" s="7">
        <f t="shared" si="76"/>
        <v>8.57506</v>
      </c>
      <c r="I104" s="7">
        <f t="shared" si="77"/>
        <v>42.57</v>
      </c>
      <c r="J104" s="7">
        <f t="shared" si="78"/>
        <v>107.0184</v>
      </c>
      <c r="K104" s="7">
        <f t="shared" si="79"/>
        <v>2.4338</v>
      </c>
      <c r="L104" s="7">
        <f t="shared" si="80"/>
        <v>476.55878</v>
      </c>
      <c r="M104" s="7">
        <f t="shared" si="81"/>
        <v>100.0773438</v>
      </c>
      <c r="N104" s="7">
        <f t="shared" si="82"/>
        <v>576.6361238</v>
      </c>
    </row>
    <row r="105" ht="15.75" hidden="1" customHeight="1">
      <c r="A105" s="5" t="s">
        <v>18</v>
      </c>
      <c r="B105" s="5">
        <v>567.0</v>
      </c>
      <c r="C105" s="6">
        <v>631.0</v>
      </c>
      <c r="D105" s="5">
        <f t="shared" si="73"/>
        <v>0.064</v>
      </c>
      <c r="E105" s="5">
        <f t="shared" si="74"/>
        <v>39.14</v>
      </c>
      <c r="F105" s="5">
        <v>55.0</v>
      </c>
      <c r="G105" s="7">
        <f t="shared" si="75"/>
        <v>165.07648</v>
      </c>
      <c r="H105" s="7">
        <f t="shared" si="76"/>
        <v>6.38144</v>
      </c>
      <c r="I105" s="7">
        <f t="shared" si="77"/>
        <v>31.68</v>
      </c>
      <c r="J105" s="7">
        <f t="shared" si="78"/>
        <v>79.6416</v>
      </c>
      <c r="K105" s="7">
        <f t="shared" si="79"/>
        <v>1.8112</v>
      </c>
      <c r="L105" s="7">
        <f t="shared" si="80"/>
        <v>378.73072</v>
      </c>
      <c r="M105" s="7">
        <f t="shared" si="81"/>
        <v>79.5334512</v>
      </c>
      <c r="N105" s="7">
        <f t="shared" si="82"/>
        <v>458.2641712</v>
      </c>
    </row>
    <row r="106" ht="15.75" hidden="1" customHeight="1">
      <c r="A106" s="5" t="s">
        <v>19</v>
      </c>
      <c r="B106" s="5">
        <v>36615.0</v>
      </c>
      <c r="C106" s="6">
        <v>38122.0</v>
      </c>
      <c r="D106" s="5">
        <f t="shared" si="73"/>
        <v>1.507</v>
      </c>
      <c r="E106" s="5">
        <v>169.69</v>
      </c>
      <c r="F106" s="5">
        <v>78.05</v>
      </c>
      <c r="G106" s="7">
        <f t="shared" si="75"/>
        <v>3887.03524</v>
      </c>
      <c r="H106" s="7">
        <f t="shared" si="76"/>
        <v>150.26297</v>
      </c>
      <c r="I106" s="7">
        <f t="shared" si="77"/>
        <v>745.965</v>
      </c>
      <c r="J106" s="7">
        <f t="shared" si="78"/>
        <v>1875.3108</v>
      </c>
      <c r="K106" s="7">
        <f t="shared" si="79"/>
        <v>42.6481</v>
      </c>
      <c r="L106" s="7">
        <f t="shared" si="80"/>
        <v>6948.96211</v>
      </c>
      <c r="M106" s="7">
        <f t="shared" si="81"/>
        <v>1459.282043</v>
      </c>
      <c r="N106" s="7">
        <f t="shared" si="82"/>
        <v>8408.244153</v>
      </c>
    </row>
    <row r="107" ht="15.75" hidden="1" customHeight="1">
      <c r="A107" s="5" t="s">
        <v>20</v>
      </c>
      <c r="B107" s="5">
        <v>8616.0</v>
      </c>
      <c r="C107" s="6">
        <v>8625.0</v>
      </c>
      <c r="D107" s="5">
        <f t="shared" si="73"/>
        <v>0.009</v>
      </c>
      <c r="E107" s="5">
        <f>29.8+9.34</f>
        <v>39.14</v>
      </c>
      <c r="F107" s="5">
        <v>55.0</v>
      </c>
      <c r="G107" s="7">
        <f t="shared" si="75"/>
        <v>23.21388</v>
      </c>
      <c r="H107" s="7">
        <f t="shared" si="76"/>
        <v>0.89739</v>
      </c>
      <c r="I107" s="7">
        <f t="shared" si="77"/>
        <v>4.455</v>
      </c>
      <c r="J107" s="7">
        <f t="shared" si="78"/>
        <v>11.1996</v>
      </c>
      <c r="K107" s="7">
        <f t="shared" si="79"/>
        <v>0.2547</v>
      </c>
      <c r="L107" s="7">
        <f t="shared" si="80"/>
        <v>134.16057</v>
      </c>
      <c r="M107" s="7">
        <f t="shared" si="81"/>
        <v>28.1737197</v>
      </c>
      <c r="N107" s="7">
        <f t="shared" si="82"/>
        <v>162.3342897</v>
      </c>
    </row>
    <row r="108" ht="15.75" hidden="1" customHeight="1">
      <c r="A108" s="5"/>
      <c r="C108" s="4"/>
      <c r="D108" s="5">
        <f>SUM(D98:D107)</f>
        <v>2.107</v>
      </c>
      <c r="G108" s="5"/>
      <c r="L108" s="7">
        <f t="shared" ref="L108:N108" si="83">SUM(L98:L107)</f>
        <v>10464.26011</v>
      </c>
      <c r="M108" s="7">
        <f t="shared" si="83"/>
        <v>2197.494623</v>
      </c>
      <c r="N108" s="7">
        <f t="shared" si="83"/>
        <v>12661.75473</v>
      </c>
      <c r="O108" s="5">
        <f>L108/26.5</f>
        <v>394.87774</v>
      </c>
    </row>
    <row r="109" ht="15.75" hidden="1" customHeight="1">
      <c r="A109" s="5"/>
      <c r="C109" s="4"/>
      <c r="D109" s="5"/>
      <c r="G109" s="5"/>
    </row>
    <row r="110" ht="15.75" hidden="1" customHeight="1">
      <c r="A110" s="8">
        <v>42795.0</v>
      </c>
      <c r="C110" s="4"/>
      <c r="D110" s="5"/>
      <c r="G110" s="5"/>
    </row>
    <row r="111" ht="15.75" hidden="1" customHeight="1">
      <c r="A111" s="5"/>
      <c r="C111" s="4"/>
      <c r="D111" s="5"/>
      <c r="G111" s="5"/>
    </row>
    <row r="112" ht="15.75" hidden="1" customHeight="1">
      <c r="A112" s="5" t="s">
        <v>11</v>
      </c>
      <c r="B112" s="5">
        <v>862.0</v>
      </c>
      <c r="C112" s="6">
        <v>950.0</v>
      </c>
      <c r="D112" s="5">
        <f t="shared" ref="D112:D121" si="84">(C112-B112)/1000</f>
        <v>0.088</v>
      </c>
      <c r="E112" s="5">
        <f t="shared" ref="E112:E119" si="85">29.8+9.34</f>
        <v>39.14</v>
      </c>
      <c r="F112" s="5">
        <v>55.0</v>
      </c>
      <c r="G112" s="7">
        <f t="shared" ref="G112:G121" si="86">D112*$G$2</f>
        <v>226.98016</v>
      </c>
      <c r="H112" s="7">
        <f t="shared" ref="H112:H121" si="87">D112*$H$2</f>
        <v>8.77448</v>
      </c>
      <c r="I112" s="7">
        <f t="shared" ref="I112:I121" si="88">D112*$I$2</f>
        <v>43.56</v>
      </c>
      <c r="J112" s="7">
        <f t="shared" ref="J112:J121" si="89">D112*$J$2</f>
        <v>109.5072</v>
      </c>
      <c r="K112" s="7">
        <f t="shared" ref="K112:K121" si="90">D112*$K$2</f>
        <v>2.4904</v>
      </c>
      <c r="L112" s="7">
        <f t="shared" ref="L112:L121" si="91">SUM(E112:K112)</f>
        <v>485.45224</v>
      </c>
      <c r="M112" s="7">
        <f t="shared" ref="M112:M121" si="92">L112*0.21</f>
        <v>101.9449704</v>
      </c>
      <c r="N112" s="7">
        <f t="shared" ref="N112:N121" si="93">L112+M112</f>
        <v>587.3972104</v>
      </c>
    </row>
    <row r="113" ht="15.75" hidden="1" customHeight="1">
      <c r="A113" s="5" t="s">
        <v>12</v>
      </c>
      <c r="B113" s="5">
        <v>718.0</v>
      </c>
      <c r="C113" s="6">
        <v>786.0</v>
      </c>
      <c r="D113" s="5">
        <f t="shared" si="84"/>
        <v>0.068</v>
      </c>
      <c r="E113" s="5">
        <f t="shared" si="85"/>
        <v>39.14</v>
      </c>
      <c r="F113" s="5">
        <v>55.0</v>
      </c>
      <c r="G113" s="7">
        <f t="shared" si="86"/>
        <v>175.39376</v>
      </c>
      <c r="H113" s="7">
        <f t="shared" si="87"/>
        <v>6.78028</v>
      </c>
      <c r="I113" s="7">
        <f t="shared" si="88"/>
        <v>33.66</v>
      </c>
      <c r="J113" s="7">
        <f t="shared" si="89"/>
        <v>84.6192</v>
      </c>
      <c r="K113" s="7">
        <f t="shared" si="90"/>
        <v>1.9244</v>
      </c>
      <c r="L113" s="7">
        <f t="shared" si="91"/>
        <v>396.51764</v>
      </c>
      <c r="M113" s="7">
        <f t="shared" si="92"/>
        <v>83.2687044</v>
      </c>
      <c r="N113" s="7">
        <f t="shared" si="93"/>
        <v>479.7863444</v>
      </c>
    </row>
    <row r="114" ht="15.75" hidden="1" customHeight="1">
      <c r="A114" s="5" t="s">
        <v>13</v>
      </c>
      <c r="B114" s="5">
        <v>794.0</v>
      </c>
      <c r="C114" s="6">
        <v>888.0</v>
      </c>
      <c r="D114" s="5">
        <f t="shared" si="84"/>
        <v>0.094</v>
      </c>
      <c r="E114" s="5">
        <f t="shared" si="85"/>
        <v>39.14</v>
      </c>
      <c r="F114" s="5">
        <v>55.0</v>
      </c>
      <c r="G114" s="7">
        <f t="shared" si="86"/>
        <v>242.45608</v>
      </c>
      <c r="H114" s="7">
        <f t="shared" si="87"/>
        <v>9.37274</v>
      </c>
      <c r="I114" s="7">
        <f t="shared" si="88"/>
        <v>46.53</v>
      </c>
      <c r="J114" s="7">
        <f t="shared" si="89"/>
        <v>116.9736</v>
      </c>
      <c r="K114" s="7">
        <f t="shared" si="90"/>
        <v>2.6602</v>
      </c>
      <c r="L114" s="7">
        <f t="shared" si="91"/>
        <v>512.13262</v>
      </c>
      <c r="M114" s="7">
        <f t="shared" si="92"/>
        <v>107.5478502</v>
      </c>
      <c r="N114" s="7">
        <f t="shared" si="93"/>
        <v>619.6804702</v>
      </c>
    </row>
    <row r="115" ht="15.75" hidden="1" customHeight="1">
      <c r="A115" s="5" t="s">
        <v>14</v>
      </c>
      <c r="B115" s="5">
        <v>607.0</v>
      </c>
      <c r="C115" s="6">
        <v>726.0</v>
      </c>
      <c r="D115" s="5">
        <f t="shared" si="84"/>
        <v>0.119</v>
      </c>
      <c r="E115" s="5">
        <f t="shared" si="85"/>
        <v>39.14</v>
      </c>
      <c r="F115" s="5">
        <v>55.0</v>
      </c>
      <c r="G115" s="7">
        <f t="shared" si="86"/>
        <v>306.93908</v>
      </c>
      <c r="H115" s="7">
        <f t="shared" si="87"/>
        <v>11.86549</v>
      </c>
      <c r="I115" s="7">
        <f t="shared" si="88"/>
        <v>58.905</v>
      </c>
      <c r="J115" s="7">
        <f t="shared" si="89"/>
        <v>148.0836</v>
      </c>
      <c r="K115" s="7">
        <f t="shared" si="90"/>
        <v>3.3677</v>
      </c>
      <c r="L115" s="7">
        <f t="shared" si="91"/>
        <v>623.30087</v>
      </c>
      <c r="M115" s="7">
        <f t="shared" si="92"/>
        <v>130.8931827</v>
      </c>
      <c r="N115" s="7">
        <f t="shared" si="93"/>
        <v>754.1940527</v>
      </c>
    </row>
    <row r="116" ht="15.75" hidden="1" customHeight="1">
      <c r="A116" s="5" t="s">
        <v>15</v>
      </c>
      <c r="B116" s="5">
        <v>683.0</v>
      </c>
      <c r="C116" s="6">
        <v>762.0</v>
      </c>
      <c r="D116" s="5">
        <f t="shared" si="84"/>
        <v>0.079</v>
      </c>
      <c r="E116" s="5">
        <f t="shared" si="85"/>
        <v>39.14</v>
      </c>
      <c r="F116" s="5">
        <v>55.0</v>
      </c>
      <c r="G116" s="7">
        <f t="shared" si="86"/>
        <v>203.76628</v>
      </c>
      <c r="H116" s="7">
        <f t="shared" si="87"/>
        <v>7.87709</v>
      </c>
      <c r="I116" s="7">
        <f t="shared" si="88"/>
        <v>39.105</v>
      </c>
      <c r="J116" s="7">
        <f t="shared" si="89"/>
        <v>98.3076</v>
      </c>
      <c r="K116" s="7">
        <f t="shared" si="90"/>
        <v>2.2357</v>
      </c>
      <c r="L116" s="7">
        <f t="shared" si="91"/>
        <v>445.43167</v>
      </c>
      <c r="M116" s="7">
        <f t="shared" si="92"/>
        <v>93.5406507</v>
      </c>
      <c r="N116" s="7">
        <f t="shared" si="93"/>
        <v>538.9723207</v>
      </c>
    </row>
    <row r="117" ht="15.75" hidden="1" customHeight="1">
      <c r="A117" s="5" t="s">
        <v>16</v>
      </c>
      <c r="B117" s="5">
        <v>543.0</v>
      </c>
      <c r="C117" s="6">
        <v>587.0</v>
      </c>
      <c r="D117" s="5">
        <f t="shared" si="84"/>
        <v>0.044</v>
      </c>
      <c r="E117" s="5">
        <f t="shared" si="85"/>
        <v>39.14</v>
      </c>
      <c r="F117" s="5">
        <v>55.0</v>
      </c>
      <c r="G117" s="7">
        <f t="shared" si="86"/>
        <v>113.49008</v>
      </c>
      <c r="H117" s="7">
        <f t="shared" si="87"/>
        <v>4.38724</v>
      </c>
      <c r="I117" s="7">
        <f t="shared" si="88"/>
        <v>21.78</v>
      </c>
      <c r="J117" s="7">
        <f t="shared" si="89"/>
        <v>54.7536</v>
      </c>
      <c r="K117" s="7">
        <f t="shared" si="90"/>
        <v>1.2452</v>
      </c>
      <c r="L117" s="7">
        <f t="shared" si="91"/>
        <v>289.79612</v>
      </c>
      <c r="M117" s="7">
        <f t="shared" si="92"/>
        <v>60.8571852</v>
      </c>
      <c r="N117" s="7">
        <f t="shared" si="93"/>
        <v>350.6533052</v>
      </c>
    </row>
    <row r="118" ht="15.75" hidden="1" customHeight="1">
      <c r="A118" s="5" t="s">
        <v>17</v>
      </c>
      <c r="B118" s="5">
        <v>588.0</v>
      </c>
      <c r="C118" s="6">
        <v>657.0</v>
      </c>
      <c r="D118" s="5">
        <f t="shared" si="84"/>
        <v>0.069</v>
      </c>
      <c r="E118" s="5">
        <f t="shared" si="85"/>
        <v>39.14</v>
      </c>
      <c r="F118" s="5">
        <v>55.0</v>
      </c>
      <c r="G118" s="7">
        <f t="shared" si="86"/>
        <v>177.97308</v>
      </c>
      <c r="H118" s="7">
        <f t="shared" si="87"/>
        <v>6.87999</v>
      </c>
      <c r="I118" s="7">
        <f t="shared" si="88"/>
        <v>34.155</v>
      </c>
      <c r="J118" s="7">
        <f t="shared" si="89"/>
        <v>85.8636</v>
      </c>
      <c r="K118" s="7">
        <f t="shared" si="90"/>
        <v>1.9527</v>
      </c>
      <c r="L118" s="7">
        <f t="shared" si="91"/>
        <v>400.96437</v>
      </c>
      <c r="M118" s="7">
        <f t="shared" si="92"/>
        <v>84.2025177</v>
      </c>
      <c r="N118" s="7">
        <f t="shared" si="93"/>
        <v>485.1668877</v>
      </c>
    </row>
    <row r="119" ht="15.75" hidden="1" customHeight="1">
      <c r="A119" s="5" t="s">
        <v>18</v>
      </c>
      <c r="B119" s="5">
        <v>631.0</v>
      </c>
      <c r="C119" s="6">
        <v>688.0</v>
      </c>
      <c r="D119" s="5">
        <f t="shared" si="84"/>
        <v>0.057</v>
      </c>
      <c r="E119" s="5">
        <f t="shared" si="85"/>
        <v>39.14</v>
      </c>
      <c r="F119" s="5">
        <v>55.0</v>
      </c>
      <c r="G119" s="7">
        <f t="shared" si="86"/>
        <v>147.02124</v>
      </c>
      <c r="H119" s="7">
        <f t="shared" si="87"/>
        <v>5.68347</v>
      </c>
      <c r="I119" s="7">
        <f t="shared" si="88"/>
        <v>28.215</v>
      </c>
      <c r="J119" s="7">
        <f t="shared" si="89"/>
        <v>70.9308</v>
      </c>
      <c r="K119" s="7">
        <f t="shared" si="90"/>
        <v>1.6131</v>
      </c>
      <c r="L119" s="7">
        <f t="shared" si="91"/>
        <v>347.60361</v>
      </c>
      <c r="M119" s="7">
        <f t="shared" si="92"/>
        <v>72.9967581</v>
      </c>
      <c r="N119" s="7">
        <f t="shared" si="93"/>
        <v>420.6003681</v>
      </c>
    </row>
    <row r="120" ht="15.75" hidden="1" customHeight="1">
      <c r="A120" s="5" t="s">
        <v>19</v>
      </c>
      <c r="B120" s="5">
        <v>38122.0</v>
      </c>
      <c r="C120" s="6">
        <v>39637.0</v>
      </c>
      <c r="D120" s="5">
        <f t="shared" si="84"/>
        <v>1.515</v>
      </c>
      <c r="E120" s="5">
        <v>169.69</v>
      </c>
      <c r="F120" s="5">
        <v>78.05</v>
      </c>
      <c r="G120" s="7">
        <f t="shared" si="86"/>
        <v>3907.6698</v>
      </c>
      <c r="H120" s="7">
        <f t="shared" si="87"/>
        <v>151.06065</v>
      </c>
      <c r="I120" s="7">
        <f t="shared" si="88"/>
        <v>749.925</v>
      </c>
      <c r="J120" s="7">
        <f t="shared" si="89"/>
        <v>1885.266</v>
      </c>
      <c r="K120" s="7">
        <f t="shared" si="90"/>
        <v>42.8745</v>
      </c>
      <c r="L120" s="7">
        <f t="shared" si="91"/>
        <v>6984.53595</v>
      </c>
      <c r="M120" s="7">
        <f t="shared" si="92"/>
        <v>1466.75255</v>
      </c>
      <c r="N120" s="7">
        <f t="shared" si="93"/>
        <v>8451.2885</v>
      </c>
    </row>
    <row r="121" ht="15.75" hidden="1" customHeight="1">
      <c r="A121" s="5" t="s">
        <v>20</v>
      </c>
      <c r="B121" s="5">
        <v>8625.0</v>
      </c>
      <c r="C121" s="6">
        <v>8636.0</v>
      </c>
      <c r="D121" s="5">
        <f t="shared" si="84"/>
        <v>0.011</v>
      </c>
      <c r="E121" s="5">
        <f>29.8+9.34</f>
        <v>39.14</v>
      </c>
      <c r="F121" s="5">
        <v>55.0</v>
      </c>
      <c r="G121" s="7">
        <f t="shared" si="86"/>
        <v>28.37252</v>
      </c>
      <c r="H121" s="7">
        <f t="shared" si="87"/>
        <v>1.09681</v>
      </c>
      <c r="I121" s="7">
        <f t="shared" si="88"/>
        <v>5.445</v>
      </c>
      <c r="J121" s="7">
        <f t="shared" si="89"/>
        <v>13.6884</v>
      </c>
      <c r="K121" s="7">
        <f t="shared" si="90"/>
        <v>0.3113</v>
      </c>
      <c r="L121" s="7">
        <f t="shared" si="91"/>
        <v>143.05403</v>
      </c>
      <c r="M121" s="7">
        <f t="shared" si="92"/>
        <v>30.0413463</v>
      </c>
      <c r="N121" s="7">
        <f t="shared" si="93"/>
        <v>173.0953763</v>
      </c>
    </row>
    <row r="122" ht="15.75" hidden="1" customHeight="1">
      <c r="A122" s="5"/>
      <c r="C122" s="4"/>
      <c r="D122" s="5">
        <f>SUM(D112:D121)</f>
        <v>2.144</v>
      </c>
      <c r="G122" s="5"/>
      <c r="L122" s="7">
        <f t="shared" ref="L122:N122" si="94">SUM(L112:L121)</f>
        <v>10628.78912</v>
      </c>
      <c r="M122" s="7">
        <f t="shared" si="94"/>
        <v>2232.045715</v>
      </c>
      <c r="N122" s="7">
        <f t="shared" si="94"/>
        <v>12860.83484</v>
      </c>
      <c r="O122" s="5">
        <f>L122/26.5</f>
        <v>401.0863819</v>
      </c>
    </row>
    <row r="123" ht="15.75" hidden="1" customHeight="1">
      <c r="A123" s="5"/>
      <c r="C123" s="4"/>
      <c r="D123" s="5"/>
      <c r="G123" s="5"/>
    </row>
    <row r="124" ht="15.75" hidden="1" customHeight="1">
      <c r="A124" s="5"/>
      <c r="C124" s="4"/>
      <c r="D124" s="5"/>
      <c r="G124" s="5"/>
    </row>
    <row r="125" ht="15.75" hidden="1" customHeight="1">
      <c r="A125" s="9" t="s">
        <v>20</v>
      </c>
      <c r="B125" s="9">
        <v>36147.0</v>
      </c>
      <c r="C125" s="10">
        <v>39382.0</v>
      </c>
      <c r="D125" s="9">
        <f>(C125-B125)/1000</f>
        <v>3.235</v>
      </c>
      <c r="E125" s="9">
        <f>29.8+9.34</f>
        <v>39.14</v>
      </c>
      <c r="F125" s="9">
        <v>55.0</v>
      </c>
      <c r="G125" s="11">
        <f>D125*$G$2</f>
        <v>8344.1002</v>
      </c>
      <c r="H125" s="11">
        <f>D125*$H$2</f>
        <v>322.56185</v>
      </c>
      <c r="I125" s="11">
        <f>D125*$I$2</f>
        <v>1601.325</v>
      </c>
      <c r="J125" s="11">
        <f>D125*$J$2</f>
        <v>4025.634</v>
      </c>
      <c r="K125" s="11">
        <f>D125*$K$2</f>
        <v>91.5505</v>
      </c>
      <c r="L125" s="11">
        <f>SUM(E125:K125)</f>
        <v>14479.31155</v>
      </c>
      <c r="M125" s="11">
        <f>L125*0.21</f>
        <v>3040.655426</v>
      </c>
      <c r="N125" s="11">
        <f>L125+M125</f>
        <v>17519.96698</v>
      </c>
      <c r="O125" s="9" t="s">
        <v>28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hidden="1" customHeight="1">
      <c r="A126" s="5"/>
      <c r="C126" s="4"/>
      <c r="D126" s="5"/>
      <c r="G126" s="5"/>
    </row>
    <row r="127" ht="15.75" hidden="1" customHeight="1">
      <c r="A127" s="5"/>
      <c r="C127" s="4"/>
      <c r="D127" s="5"/>
      <c r="G127" s="5"/>
    </row>
    <row r="128" ht="15.75" hidden="1" customHeight="1">
      <c r="A128" s="5" t="s">
        <v>29</v>
      </c>
      <c r="C128" s="4"/>
      <c r="D128" s="5"/>
      <c r="G128" s="5"/>
    </row>
    <row r="129" ht="15.75" hidden="1" customHeight="1">
      <c r="A129" s="5"/>
      <c r="C129" s="4"/>
      <c r="D129" s="5"/>
      <c r="G129" s="5"/>
    </row>
    <row r="130" ht="15.75" hidden="1" customHeight="1">
      <c r="A130" s="5" t="s">
        <v>11</v>
      </c>
      <c r="B130" s="5">
        <v>950.0</v>
      </c>
      <c r="C130" s="6">
        <v>1038.0</v>
      </c>
      <c r="D130" s="5">
        <f t="shared" ref="D130:D140" si="95">(C130-B130)/1000</f>
        <v>0.088</v>
      </c>
      <c r="E130" s="5">
        <f t="shared" ref="E130:E137" si="96">29.8+9.34</f>
        <v>39.14</v>
      </c>
      <c r="F130" s="5">
        <v>55.0</v>
      </c>
      <c r="G130" s="7">
        <f t="shared" ref="G130:G140" si="97">D130*$G$2</f>
        <v>226.98016</v>
      </c>
      <c r="H130" s="7">
        <f t="shared" ref="H130:H140" si="98">D130*$H$2</f>
        <v>8.77448</v>
      </c>
      <c r="I130" s="7">
        <f t="shared" ref="I130:I140" si="99">D130*$I$2</f>
        <v>43.56</v>
      </c>
      <c r="J130" s="7">
        <f t="shared" ref="J130:J140" si="100">D130*$J$2</f>
        <v>109.5072</v>
      </c>
      <c r="K130" s="7">
        <f t="shared" ref="K130:K140" si="101">D130*$K$2</f>
        <v>2.4904</v>
      </c>
      <c r="L130" s="7">
        <f t="shared" ref="L130:L140" si="102">SUM(E130:K130)</f>
        <v>485.45224</v>
      </c>
      <c r="M130" s="7">
        <f t="shared" ref="M130:M140" si="103">L130*0.21</f>
        <v>101.9449704</v>
      </c>
      <c r="N130" s="7">
        <f t="shared" ref="N130:N140" si="104">L130+M130</f>
        <v>587.3972104</v>
      </c>
    </row>
    <row r="131" ht="15.75" hidden="1" customHeight="1">
      <c r="A131" s="5" t="s">
        <v>12</v>
      </c>
      <c r="B131" s="5">
        <v>786.0</v>
      </c>
      <c r="C131" s="6">
        <v>850.0</v>
      </c>
      <c r="D131" s="5">
        <f t="shared" si="95"/>
        <v>0.064</v>
      </c>
      <c r="E131" s="5">
        <f t="shared" si="96"/>
        <v>39.14</v>
      </c>
      <c r="F131" s="5">
        <v>55.0</v>
      </c>
      <c r="G131" s="7">
        <f t="shared" si="97"/>
        <v>165.07648</v>
      </c>
      <c r="H131" s="7">
        <f t="shared" si="98"/>
        <v>6.38144</v>
      </c>
      <c r="I131" s="7">
        <f t="shared" si="99"/>
        <v>31.68</v>
      </c>
      <c r="J131" s="7">
        <f t="shared" si="100"/>
        <v>79.6416</v>
      </c>
      <c r="K131" s="7">
        <f t="shared" si="101"/>
        <v>1.8112</v>
      </c>
      <c r="L131" s="7">
        <f t="shared" si="102"/>
        <v>378.73072</v>
      </c>
      <c r="M131" s="7">
        <f t="shared" si="103"/>
        <v>79.5334512</v>
      </c>
      <c r="N131" s="7">
        <f t="shared" si="104"/>
        <v>458.2641712</v>
      </c>
    </row>
    <row r="132" ht="15.75" hidden="1" customHeight="1">
      <c r="A132" s="5" t="s">
        <v>13</v>
      </c>
      <c r="B132" s="5">
        <v>888.0</v>
      </c>
      <c r="C132" s="6">
        <v>956.0</v>
      </c>
      <c r="D132" s="5">
        <f t="shared" si="95"/>
        <v>0.068</v>
      </c>
      <c r="E132" s="5">
        <f t="shared" si="96"/>
        <v>39.14</v>
      </c>
      <c r="F132" s="5">
        <v>55.0</v>
      </c>
      <c r="G132" s="7">
        <f t="shared" si="97"/>
        <v>175.39376</v>
      </c>
      <c r="H132" s="7">
        <f t="shared" si="98"/>
        <v>6.78028</v>
      </c>
      <c r="I132" s="7">
        <f t="shared" si="99"/>
        <v>33.66</v>
      </c>
      <c r="J132" s="7">
        <f t="shared" si="100"/>
        <v>84.6192</v>
      </c>
      <c r="K132" s="7">
        <f t="shared" si="101"/>
        <v>1.9244</v>
      </c>
      <c r="L132" s="7">
        <f t="shared" si="102"/>
        <v>396.51764</v>
      </c>
      <c r="M132" s="7">
        <f t="shared" si="103"/>
        <v>83.2687044</v>
      </c>
      <c r="N132" s="7">
        <f t="shared" si="104"/>
        <v>479.7863444</v>
      </c>
    </row>
    <row r="133" ht="15.75" hidden="1" customHeight="1">
      <c r="A133" s="5" t="s">
        <v>14</v>
      </c>
      <c r="B133" s="5">
        <v>726.0</v>
      </c>
      <c r="C133" s="6">
        <v>790.0</v>
      </c>
      <c r="D133" s="5">
        <f t="shared" si="95"/>
        <v>0.064</v>
      </c>
      <c r="E133" s="5">
        <f t="shared" si="96"/>
        <v>39.14</v>
      </c>
      <c r="F133" s="5">
        <v>55.0</v>
      </c>
      <c r="G133" s="7">
        <f t="shared" si="97"/>
        <v>165.07648</v>
      </c>
      <c r="H133" s="7">
        <f t="shared" si="98"/>
        <v>6.38144</v>
      </c>
      <c r="I133" s="7">
        <f t="shared" si="99"/>
        <v>31.68</v>
      </c>
      <c r="J133" s="7">
        <f t="shared" si="100"/>
        <v>79.6416</v>
      </c>
      <c r="K133" s="7">
        <f t="shared" si="101"/>
        <v>1.8112</v>
      </c>
      <c r="L133" s="7">
        <f t="shared" si="102"/>
        <v>378.73072</v>
      </c>
      <c r="M133" s="7">
        <f t="shared" si="103"/>
        <v>79.5334512</v>
      </c>
      <c r="N133" s="7">
        <f t="shared" si="104"/>
        <v>458.2641712</v>
      </c>
    </row>
    <row r="134" ht="15.75" hidden="1" customHeight="1">
      <c r="A134" s="5" t="s">
        <v>15</v>
      </c>
      <c r="B134" s="5">
        <v>762.0</v>
      </c>
      <c r="C134" s="6">
        <v>824.0</v>
      </c>
      <c r="D134" s="5">
        <f t="shared" si="95"/>
        <v>0.062</v>
      </c>
      <c r="E134" s="5">
        <f t="shared" si="96"/>
        <v>39.14</v>
      </c>
      <c r="F134" s="5">
        <v>55.0</v>
      </c>
      <c r="G134" s="7">
        <f t="shared" si="97"/>
        <v>159.91784</v>
      </c>
      <c r="H134" s="7">
        <f t="shared" si="98"/>
        <v>6.18202</v>
      </c>
      <c r="I134" s="7">
        <f t="shared" si="99"/>
        <v>30.69</v>
      </c>
      <c r="J134" s="7">
        <f t="shared" si="100"/>
        <v>77.1528</v>
      </c>
      <c r="K134" s="7">
        <f t="shared" si="101"/>
        <v>1.7546</v>
      </c>
      <c r="L134" s="7">
        <f t="shared" si="102"/>
        <v>369.83726</v>
      </c>
      <c r="M134" s="7">
        <f t="shared" si="103"/>
        <v>77.6658246</v>
      </c>
      <c r="N134" s="7">
        <f t="shared" si="104"/>
        <v>447.5030846</v>
      </c>
    </row>
    <row r="135" ht="15.75" hidden="1" customHeight="1">
      <c r="A135" s="5" t="s">
        <v>16</v>
      </c>
      <c r="B135" s="5">
        <v>587.0</v>
      </c>
      <c r="C135" s="6">
        <v>714.0</v>
      </c>
      <c r="D135" s="5">
        <f t="shared" si="95"/>
        <v>0.127</v>
      </c>
      <c r="E135" s="5">
        <f t="shared" si="96"/>
        <v>39.14</v>
      </c>
      <c r="F135" s="5">
        <v>55.0</v>
      </c>
      <c r="G135" s="7">
        <f t="shared" si="97"/>
        <v>327.57364</v>
      </c>
      <c r="H135" s="7">
        <f t="shared" si="98"/>
        <v>12.66317</v>
      </c>
      <c r="I135" s="7">
        <f t="shared" si="99"/>
        <v>62.865</v>
      </c>
      <c r="J135" s="7">
        <f t="shared" si="100"/>
        <v>158.0388</v>
      </c>
      <c r="K135" s="7">
        <f t="shared" si="101"/>
        <v>3.5941</v>
      </c>
      <c r="L135" s="7">
        <f t="shared" si="102"/>
        <v>658.87471</v>
      </c>
      <c r="M135" s="7">
        <f t="shared" si="103"/>
        <v>138.3636891</v>
      </c>
      <c r="N135" s="7">
        <f t="shared" si="104"/>
        <v>797.2383991</v>
      </c>
    </row>
    <row r="136" ht="15.75" hidden="1" customHeight="1">
      <c r="A136" s="5" t="s">
        <v>17</v>
      </c>
      <c r="B136" s="5">
        <v>657.0</v>
      </c>
      <c r="C136" s="6">
        <v>710.0</v>
      </c>
      <c r="D136" s="5">
        <f t="shared" si="95"/>
        <v>0.053</v>
      </c>
      <c r="E136" s="5">
        <f t="shared" si="96"/>
        <v>39.14</v>
      </c>
      <c r="F136" s="5">
        <v>55.0</v>
      </c>
      <c r="G136" s="7">
        <f t="shared" si="97"/>
        <v>136.70396</v>
      </c>
      <c r="H136" s="7">
        <f t="shared" si="98"/>
        <v>5.28463</v>
      </c>
      <c r="I136" s="7">
        <f t="shared" si="99"/>
        <v>26.235</v>
      </c>
      <c r="J136" s="7">
        <f t="shared" si="100"/>
        <v>65.9532</v>
      </c>
      <c r="K136" s="7">
        <f t="shared" si="101"/>
        <v>1.4999</v>
      </c>
      <c r="L136" s="7">
        <f t="shared" si="102"/>
        <v>329.81669</v>
      </c>
      <c r="M136" s="7">
        <f t="shared" si="103"/>
        <v>69.2615049</v>
      </c>
      <c r="N136" s="7">
        <f t="shared" si="104"/>
        <v>399.0781949</v>
      </c>
    </row>
    <row r="137" ht="15.75" hidden="1" customHeight="1">
      <c r="A137" s="5" t="s">
        <v>18</v>
      </c>
      <c r="B137" s="5">
        <v>688.0</v>
      </c>
      <c r="C137" s="6">
        <v>779.0</v>
      </c>
      <c r="D137" s="5">
        <f t="shared" si="95"/>
        <v>0.091</v>
      </c>
      <c r="E137" s="5">
        <f t="shared" si="96"/>
        <v>39.14</v>
      </c>
      <c r="F137" s="5">
        <v>55.0</v>
      </c>
      <c r="G137" s="7">
        <f t="shared" si="97"/>
        <v>234.71812</v>
      </c>
      <c r="H137" s="7">
        <f t="shared" si="98"/>
        <v>9.07361</v>
      </c>
      <c r="I137" s="7">
        <f t="shared" si="99"/>
        <v>45.045</v>
      </c>
      <c r="J137" s="7">
        <f t="shared" si="100"/>
        <v>113.2404</v>
      </c>
      <c r="K137" s="7">
        <f t="shared" si="101"/>
        <v>2.5753</v>
      </c>
      <c r="L137" s="7">
        <f t="shared" si="102"/>
        <v>498.79243</v>
      </c>
      <c r="M137" s="7">
        <f t="shared" si="103"/>
        <v>104.7464103</v>
      </c>
      <c r="N137" s="7">
        <f t="shared" si="104"/>
        <v>603.5388403</v>
      </c>
    </row>
    <row r="138" ht="15.75" hidden="1" customHeight="1">
      <c r="A138" s="5" t="s">
        <v>19</v>
      </c>
      <c r="B138" s="5">
        <v>39637.0</v>
      </c>
      <c r="C138" s="6">
        <v>41158.0</v>
      </c>
      <c r="D138" s="5">
        <f t="shared" si="95"/>
        <v>1.521</v>
      </c>
      <c r="E138" s="5">
        <v>169.69</v>
      </c>
      <c r="F138" s="5">
        <v>78.05</v>
      </c>
      <c r="G138" s="7">
        <f t="shared" si="97"/>
        <v>3923.14572</v>
      </c>
      <c r="H138" s="7">
        <f t="shared" si="98"/>
        <v>151.65891</v>
      </c>
      <c r="I138" s="7">
        <f t="shared" si="99"/>
        <v>752.895</v>
      </c>
      <c r="J138" s="7">
        <f t="shared" si="100"/>
        <v>1892.7324</v>
      </c>
      <c r="K138" s="7">
        <f t="shared" si="101"/>
        <v>43.0443</v>
      </c>
      <c r="L138" s="7">
        <f t="shared" si="102"/>
        <v>7011.21633</v>
      </c>
      <c r="M138" s="7">
        <f t="shared" si="103"/>
        <v>1472.355429</v>
      </c>
      <c r="N138" s="7">
        <f t="shared" si="104"/>
        <v>8483.571759</v>
      </c>
    </row>
    <row r="139" ht="15.75" hidden="1" customHeight="1">
      <c r="A139" s="5" t="s">
        <v>30</v>
      </c>
      <c r="B139" s="5">
        <v>8636.0</v>
      </c>
      <c r="C139" s="6">
        <v>8655.0</v>
      </c>
      <c r="D139" s="5">
        <f t="shared" si="95"/>
        <v>0.019</v>
      </c>
      <c r="E139" s="5">
        <f t="shared" ref="E139:E140" si="105">29.8+9.34</f>
        <v>39.14</v>
      </c>
      <c r="F139" s="5">
        <v>55.0</v>
      </c>
      <c r="G139" s="7">
        <f t="shared" si="97"/>
        <v>49.00708</v>
      </c>
      <c r="H139" s="7">
        <f t="shared" si="98"/>
        <v>1.89449</v>
      </c>
      <c r="I139" s="7">
        <f t="shared" si="99"/>
        <v>9.405</v>
      </c>
      <c r="J139" s="7">
        <f t="shared" si="100"/>
        <v>23.6436</v>
      </c>
      <c r="K139" s="7">
        <f t="shared" si="101"/>
        <v>0.5377</v>
      </c>
      <c r="L139" s="7">
        <f t="shared" si="102"/>
        <v>178.62787</v>
      </c>
      <c r="M139" s="7">
        <f t="shared" si="103"/>
        <v>37.5118527</v>
      </c>
      <c r="N139" s="7">
        <f t="shared" si="104"/>
        <v>216.1397227</v>
      </c>
    </row>
    <row r="140" ht="15.75" hidden="1" customHeight="1">
      <c r="A140" s="5" t="s">
        <v>31</v>
      </c>
      <c r="B140" s="5">
        <v>39382.0</v>
      </c>
      <c r="C140" s="6">
        <v>39708.0</v>
      </c>
      <c r="D140" s="5">
        <f t="shared" si="95"/>
        <v>0.326</v>
      </c>
      <c r="E140" s="5">
        <f t="shared" si="105"/>
        <v>39.14</v>
      </c>
      <c r="F140" s="5">
        <v>55.0</v>
      </c>
      <c r="G140" s="7">
        <f t="shared" si="97"/>
        <v>840.85832</v>
      </c>
      <c r="H140" s="7">
        <f t="shared" si="98"/>
        <v>32.50546</v>
      </c>
      <c r="I140" s="7">
        <f t="shared" si="99"/>
        <v>161.37</v>
      </c>
      <c r="J140" s="7">
        <f t="shared" si="100"/>
        <v>405.6744</v>
      </c>
      <c r="K140" s="7">
        <f t="shared" si="101"/>
        <v>9.2258</v>
      </c>
      <c r="L140" s="7">
        <f t="shared" si="102"/>
        <v>1543.77398</v>
      </c>
      <c r="M140" s="7">
        <f t="shared" si="103"/>
        <v>324.1925358</v>
      </c>
      <c r="N140" s="7">
        <f t="shared" si="104"/>
        <v>1867.966516</v>
      </c>
    </row>
    <row r="141" ht="15.75" hidden="1" customHeight="1">
      <c r="A141" s="5"/>
      <c r="C141" s="4"/>
      <c r="D141" s="5"/>
      <c r="G141" s="5"/>
      <c r="L141" s="7">
        <f>SUM(L130:L140)</f>
        <v>12230.37059</v>
      </c>
      <c r="M141" s="7">
        <f t="shared" ref="M141:N141" si="106">SUM(M130:M139)</f>
        <v>2244.185288</v>
      </c>
      <c r="N141" s="7">
        <f t="shared" si="106"/>
        <v>12930.7819</v>
      </c>
      <c r="O141" s="5">
        <f>L141/26.5</f>
        <v>461.5234185</v>
      </c>
    </row>
    <row r="142" ht="15.75" hidden="1" customHeight="1">
      <c r="A142" s="5" t="s">
        <v>32</v>
      </c>
      <c r="C142" s="4"/>
      <c r="D142" s="5"/>
      <c r="G142" s="5"/>
    </row>
    <row r="143" ht="15.75" hidden="1" customHeight="1">
      <c r="A143" s="5" t="s">
        <v>11</v>
      </c>
      <c r="B143" s="5">
        <v>1038.0</v>
      </c>
      <c r="C143" s="12">
        <v>1139.0</v>
      </c>
      <c r="D143" s="5">
        <f t="shared" ref="D143:D153" si="107">(C143-B143)/1000</f>
        <v>0.101</v>
      </c>
      <c r="E143" s="5">
        <f t="shared" ref="E143:E150" si="108">29.8+9.34</f>
        <v>39.14</v>
      </c>
      <c r="F143" s="5">
        <v>55.0</v>
      </c>
      <c r="G143" s="7">
        <f t="shared" ref="G143:G153" si="109">D143*$G$2</f>
        <v>260.51132</v>
      </c>
      <c r="H143" s="7">
        <f t="shared" ref="H143:H153" si="110">D143*$H$2</f>
        <v>10.07071</v>
      </c>
      <c r="I143" s="7">
        <f t="shared" ref="I143:I153" si="111">D143*$I$2</f>
        <v>49.995</v>
      </c>
      <c r="J143" s="7">
        <f t="shared" ref="J143:J153" si="112">D143*$J$2</f>
        <v>125.6844</v>
      </c>
      <c r="K143" s="7">
        <f t="shared" ref="K143:K153" si="113">D143*$K$2</f>
        <v>2.8583</v>
      </c>
      <c r="L143" s="7">
        <f t="shared" ref="L143:L153" si="114">SUM(E143:K143)</f>
        <v>543.25973</v>
      </c>
      <c r="M143" s="7">
        <f t="shared" ref="M143:M154" si="115">L143*0.21</f>
        <v>114.0845433</v>
      </c>
      <c r="N143" s="7">
        <f t="shared" ref="N143:N154" si="116">L143+M143</f>
        <v>657.3442733</v>
      </c>
    </row>
    <row r="144" ht="15.75" hidden="1" customHeight="1">
      <c r="A144" s="5" t="s">
        <v>12</v>
      </c>
      <c r="B144" s="5">
        <v>850.0</v>
      </c>
      <c r="C144" s="12">
        <v>902.0</v>
      </c>
      <c r="D144" s="5">
        <f t="shared" si="107"/>
        <v>0.052</v>
      </c>
      <c r="E144" s="5">
        <f t="shared" si="108"/>
        <v>39.14</v>
      </c>
      <c r="F144" s="5">
        <v>55.0</v>
      </c>
      <c r="G144" s="7">
        <f t="shared" si="109"/>
        <v>134.12464</v>
      </c>
      <c r="H144" s="7">
        <f t="shared" si="110"/>
        <v>5.18492</v>
      </c>
      <c r="I144" s="7">
        <f t="shared" si="111"/>
        <v>25.74</v>
      </c>
      <c r="J144" s="7">
        <f t="shared" si="112"/>
        <v>64.7088</v>
      </c>
      <c r="K144" s="7">
        <f t="shared" si="113"/>
        <v>1.4716</v>
      </c>
      <c r="L144" s="7">
        <f t="shared" si="114"/>
        <v>325.36996</v>
      </c>
      <c r="M144" s="7">
        <f t="shared" si="115"/>
        <v>68.3276916</v>
      </c>
      <c r="N144" s="7">
        <f t="shared" si="116"/>
        <v>393.6976516</v>
      </c>
    </row>
    <row r="145" ht="15.75" hidden="1" customHeight="1">
      <c r="A145" s="5" t="s">
        <v>13</v>
      </c>
      <c r="B145" s="5">
        <v>956.0</v>
      </c>
      <c r="C145" s="12">
        <v>1057.0</v>
      </c>
      <c r="D145" s="5">
        <f t="shared" si="107"/>
        <v>0.101</v>
      </c>
      <c r="E145" s="5">
        <f t="shared" si="108"/>
        <v>39.14</v>
      </c>
      <c r="F145" s="5">
        <v>55.0</v>
      </c>
      <c r="G145" s="7">
        <f t="shared" si="109"/>
        <v>260.51132</v>
      </c>
      <c r="H145" s="7">
        <f t="shared" si="110"/>
        <v>10.07071</v>
      </c>
      <c r="I145" s="7">
        <f t="shared" si="111"/>
        <v>49.995</v>
      </c>
      <c r="J145" s="7">
        <f t="shared" si="112"/>
        <v>125.6844</v>
      </c>
      <c r="K145" s="7">
        <f t="shared" si="113"/>
        <v>2.8583</v>
      </c>
      <c r="L145" s="7">
        <f t="shared" si="114"/>
        <v>543.25973</v>
      </c>
      <c r="M145" s="7">
        <f t="shared" si="115"/>
        <v>114.0845433</v>
      </c>
      <c r="N145" s="7">
        <f t="shared" si="116"/>
        <v>657.3442733</v>
      </c>
    </row>
    <row r="146" ht="15.75" hidden="1" customHeight="1">
      <c r="A146" s="5" t="s">
        <v>14</v>
      </c>
      <c r="B146" s="5">
        <v>790.0</v>
      </c>
      <c r="C146" s="12">
        <v>848.0</v>
      </c>
      <c r="D146" s="5">
        <f t="shared" si="107"/>
        <v>0.058</v>
      </c>
      <c r="E146" s="5">
        <f t="shared" si="108"/>
        <v>39.14</v>
      </c>
      <c r="F146" s="5">
        <v>55.0</v>
      </c>
      <c r="G146" s="7">
        <f t="shared" si="109"/>
        <v>149.60056</v>
      </c>
      <c r="H146" s="7">
        <f t="shared" si="110"/>
        <v>5.78318</v>
      </c>
      <c r="I146" s="7">
        <f t="shared" si="111"/>
        <v>28.71</v>
      </c>
      <c r="J146" s="7">
        <f t="shared" si="112"/>
        <v>72.1752</v>
      </c>
      <c r="K146" s="7">
        <f t="shared" si="113"/>
        <v>1.6414</v>
      </c>
      <c r="L146" s="7">
        <f t="shared" si="114"/>
        <v>352.05034</v>
      </c>
      <c r="M146" s="7">
        <f t="shared" si="115"/>
        <v>73.9305714</v>
      </c>
      <c r="N146" s="7">
        <f t="shared" si="116"/>
        <v>425.9809114</v>
      </c>
    </row>
    <row r="147" ht="15.75" hidden="1" customHeight="1">
      <c r="A147" s="5" t="s">
        <v>15</v>
      </c>
      <c r="B147" s="5">
        <v>824.0</v>
      </c>
      <c r="C147" s="12">
        <v>918.0</v>
      </c>
      <c r="D147" s="5">
        <f t="shared" si="107"/>
        <v>0.094</v>
      </c>
      <c r="E147" s="5">
        <f t="shared" si="108"/>
        <v>39.14</v>
      </c>
      <c r="F147" s="5">
        <v>55.0</v>
      </c>
      <c r="G147" s="7">
        <f t="shared" si="109"/>
        <v>242.45608</v>
      </c>
      <c r="H147" s="7">
        <f t="shared" si="110"/>
        <v>9.37274</v>
      </c>
      <c r="I147" s="7">
        <f t="shared" si="111"/>
        <v>46.53</v>
      </c>
      <c r="J147" s="7">
        <f t="shared" si="112"/>
        <v>116.9736</v>
      </c>
      <c r="K147" s="7">
        <f t="shared" si="113"/>
        <v>2.6602</v>
      </c>
      <c r="L147" s="7">
        <f t="shared" si="114"/>
        <v>512.13262</v>
      </c>
      <c r="M147" s="7">
        <f t="shared" si="115"/>
        <v>107.5478502</v>
      </c>
      <c r="N147" s="7">
        <f t="shared" si="116"/>
        <v>619.6804702</v>
      </c>
    </row>
    <row r="148" ht="15.75" hidden="1" customHeight="1">
      <c r="A148" s="5" t="s">
        <v>16</v>
      </c>
      <c r="B148" s="5">
        <v>714.0</v>
      </c>
      <c r="C148" s="12">
        <v>780.0</v>
      </c>
      <c r="D148" s="5">
        <f t="shared" si="107"/>
        <v>0.066</v>
      </c>
      <c r="E148" s="5">
        <f t="shared" si="108"/>
        <v>39.14</v>
      </c>
      <c r="F148" s="5">
        <v>55.0</v>
      </c>
      <c r="G148" s="7">
        <f t="shared" si="109"/>
        <v>170.23512</v>
      </c>
      <c r="H148" s="7">
        <f t="shared" si="110"/>
        <v>6.58086</v>
      </c>
      <c r="I148" s="7">
        <f t="shared" si="111"/>
        <v>32.67</v>
      </c>
      <c r="J148" s="7">
        <f t="shared" si="112"/>
        <v>82.1304</v>
      </c>
      <c r="K148" s="7">
        <f t="shared" si="113"/>
        <v>1.8678</v>
      </c>
      <c r="L148" s="7">
        <f t="shared" si="114"/>
        <v>387.62418</v>
      </c>
      <c r="M148" s="7">
        <f t="shared" si="115"/>
        <v>81.4010778</v>
      </c>
      <c r="N148" s="7">
        <f t="shared" si="116"/>
        <v>469.0252578</v>
      </c>
    </row>
    <row r="149" ht="15.75" hidden="1" customHeight="1">
      <c r="A149" s="5" t="s">
        <v>17</v>
      </c>
      <c r="B149" s="5">
        <v>710.0</v>
      </c>
      <c r="C149" s="12">
        <v>770.0</v>
      </c>
      <c r="D149" s="5">
        <f t="shared" si="107"/>
        <v>0.06</v>
      </c>
      <c r="E149" s="5">
        <f t="shared" si="108"/>
        <v>39.14</v>
      </c>
      <c r="F149" s="5">
        <v>55.0</v>
      </c>
      <c r="G149" s="7">
        <f t="shared" si="109"/>
        <v>154.7592</v>
      </c>
      <c r="H149" s="7">
        <f t="shared" si="110"/>
        <v>5.9826</v>
      </c>
      <c r="I149" s="7">
        <f t="shared" si="111"/>
        <v>29.7</v>
      </c>
      <c r="J149" s="7">
        <f t="shared" si="112"/>
        <v>74.664</v>
      </c>
      <c r="K149" s="7">
        <f t="shared" si="113"/>
        <v>1.698</v>
      </c>
      <c r="L149" s="7">
        <f t="shared" si="114"/>
        <v>360.9438</v>
      </c>
      <c r="M149" s="7">
        <f t="shared" si="115"/>
        <v>75.798198</v>
      </c>
      <c r="N149" s="7">
        <f t="shared" si="116"/>
        <v>436.741998</v>
      </c>
    </row>
    <row r="150" ht="15.75" hidden="1" customHeight="1">
      <c r="A150" s="5" t="s">
        <v>18</v>
      </c>
      <c r="B150" s="5">
        <v>779.0</v>
      </c>
      <c r="C150" s="12">
        <v>862.0</v>
      </c>
      <c r="D150" s="5">
        <f t="shared" si="107"/>
        <v>0.083</v>
      </c>
      <c r="E150" s="5">
        <f t="shared" si="108"/>
        <v>39.14</v>
      </c>
      <c r="F150" s="5">
        <v>55.0</v>
      </c>
      <c r="G150" s="7">
        <f t="shared" si="109"/>
        <v>214.08356</v>
      </c>
      <c r="H150" s="7">
        <f t="shared" si="110"/>
        <v>8.27593</v>
      </c>
      <c r="I150" s="7">
        <f t="shared" si="111"/>
        <v>41.085</v>
      </c>
      <c r="J150" s="7">
        <f t="shared" si="112"/>
        <v>103.2852</v>
      </c>
      <c r="K150" s="7">
        <f t="shared" si="113"/>
        <v>2.3489</v>
      </c>
      <c r="L150" s="7">
        <f t="shared" si="114"/>
        <v>463.21859</v>
      </c>
      <c r="M150" s="7">
        <f t="shared" si="115"/>
        <v>97.2759039</v>
      </c>
      <c r="N150" s="7">
        <f t="shared" si="116"/>
        <v>560.4944939</v>
      </c>
    </row>
    <row r="151" ht="15.75" hidden="1" customHeight="1">
      <c r="A151" s="5" t="s">
        <v>19</v>
      </c>
      <c r="B151" s="5">
        <v>41158.0</v>
      </c>
      <c r="C151" s="12">
        <v>42647.0</v>
      </c>
      <c r="D151" s="5">
        <f t="shared" si="107"/>
        <v>1.489</v>
      </c>
      <c r="E151" s="5">
        <v>169.69</v>
      </c>
      <c r="F151" s="5">
        <v>78.05</v>
      </c>
      <c r="G151" s="7">
        <f t="shared" si="109"/>
        <v>3840.60748</v>
      </c>
      <c r="H151" s="7">
        <f t="shared" si="110"/>
        <v>148.46819</v>
      </c>
      <c r="I151" s="7">
        <f t="shared" si="111"/>
        <v>737.055</v>
      </c>
      <c r="J151" s="7">
        <f t="shared" si="112"/>
        <v>1852.9116</v>
      </c>
      <c r="K151" s="7">
        <f t="shared" si="113"/>
        <v>42.1387</v>
      </c>
      <c r="L151" s="7">
        <f t="shared" si="114"/>
        <v>6868.92097</v>
      </c>
      <c r="M151" s="7">
        <f t="shared" si="115"/>
        <v>1442.473404</v>
      </c>
      <c r="N151" s="7">
        <f t="shared" si="116"/>
        <v>8311.394374</v>
      </c>
    </row>
    <row r="152" ht="15.75" hidden="1" customHeight="1">
      <c r="A152" s="5" t="s">
        <v>30</v>
      </c>
      <c r="B152" s="5">
        <v>8655.0</v>
      </c>
      <c r="C152" s="12">
        <v>8721.0</v>
      </c>
      <c r="D152" s="5">
        <f t="shared" si="107"/>
        <v>0.066</v>
      </c>
      <c r="E152" s="5">
        <f t="shared" ref="E152:E153" si="117">29.8+9.34</f>
        <v>39.14</v>
      </c>
      <c r="F152" s="5">
        <v>55.0</v>
      </c>
      <c r="G152" s="7">
        <f t="shared" si="109"/>
        <v>170.23512</v>
      </c>
      <c r="H152" s="7">
        <f t="shared" si="110"/>
        <v>6.58086</v>
      </c>
      <c r="I152" s="7">
        <f t="shared" si="111"/>
        <v>32.67</v>
      </c>
      <c r="J152" s="7">
        <f t="shared" si="112"/>
        <v>82.1304</v>
      </c>
      <c r="K152" s="7">
        <f t="shared" si="113"/>
        <v>1.8678</v>
      </c>
      <c r="L152" s="7">
        <f t="shared" si="114"/>
        <v>387.62418</v>
      </c>
      <c r="M152" s="7">
        <f t="shared" si="115"/>
        <v>81.4010778</v>
      </c>
      <c r="N152" s="7">
        <f t="shared" si="116"/>
        <v>469.0252578</v>
      </c>
    </row>
    <row r="153" ht="15.75" hidden="1" customHeight="1">
      <c r="A153" s="5" t="s">
        <v>31</v>
      </c>
      <c r="B153" s="5">
        <v>39708.0</v>
      </c>
      <c r="C153" s="12">
        <v>40164.0</v>
      </c>
      <c r="D153" s="5">
        <f t="shared" si="107"/>
        <v>0.456</v>
      </c>
      <c r="E153" s="5">
        <f t="shared" si="117"/>
        <v>39.14</v>
      </c>
      <c r="F153" s="5">
        <v>55.0</v>
      </c>
      <c r="G153" s="7">
        <f t="shared" si="109"/>
        <v>1176.16992</v>
      </c>
      <c r="H153" s="7">
        <f t="shared" si="110"/>
        <v>45.46776</v>
      </c>
      <c r="I153" s="7">
        <f t="shared" si="111"/>
        <v>225.72</v>
      </c>
      <c r="J153" s="7">
        <f t="shared" si="112"/>
        <v>567.4464</v>
      </c>
      <c r="K153" s="7">
        <f t="shared" si="113"/>
        <v>12.9048</v>
      </c>
      <c r="L153" s="13">
        <f t="shared" si="114"/>
        <v>2121.84888</v>
      </c>
      <c r="M153" s="7">
        <f t="shared" si="115"/>
        <v>445.5882648</v>
      </c>
      <c r="N153" s="7">
        <f t="shared" si="116"/>
        <v>2567.437145</v>
      </c>
    </row>
    <row r="154" ht="15.75" hidden="1" customHeight="1">
      <c r="A154" s="5"/>
      <c r="C154" s="4"/>
      <c r="D154" s="5"/>
      <c r="G154" s="5"/>
      <c r="L154" s="11">
        <f>SUM(L143:L153)</f>
        <v>12866.25298</v>
      </c>
      <c r="M154" s="7">
        <f t="shared" si="115"/>
        <v>2701.913126</v>
      </c>
      <c r="N154" s="7">
        <f t="shared" si="116"/>
        <v>15568.16611</v>
      </c>
    </row>
    <row r="155" ht="15.75" hidden="1" customHeight="1">
      <c r="A155" s="5"/>
      <c r="C155" s="4"/>
      <c r="D155" s="5"/>
      <c r="G155" s="5"/>
    </row>
    <row r="156" ht="15.75" hidden="1" customHeight="1">
      <c r="A156" s="5" t="s">
        <v>33</v>
      </c>
      <c r="C156" s="4"/>
      <c r="D156" s="5"/>
      <c r="G156" s="5"/>
    </row>
    <row r="157" ht="15.75" hidden="1" customHeight="1">
      <c r="A157" s="5" t="s">
        <v>11</v>
      </c>
      <c r="B157" s="14">
        <v>1139.0</v>
      </c>
      <c r="C157" s="12">
        <v>1241.0</v>
      </c>
      <c r="D157" s="5">
        <f t="shared" ref="D157:D167" si="118">(C157-B157)/1000</f>
        <v>0.102</v>
      </c>
      <c r="E157" s="5">
        <f t="shared" ref="E157:E164" si="119">29.8+9.34</f>
        <v>39.14</v>
      </c>
      <c r="F157" s="5">
        <v>55.0</v>
      </c>
      <c r="G157" s="7">
        <f t="shared" ref="G157:G167" si="120">D157*$G$2</f>
        <v>263.09064</v>
      </c>
      <c r="H157" s="7">
        <f t="shared" ref="H157:H167" si="121">D157*$H$2</f>
        <v>10.17042</v>
      </c>
      <c r="I157" s="7">
        <f t="shared" ref="I157:I167" si="122">D157*$I$2</f>
        <v>50.49</v>
      </c>
      <c r="J157" s="7">
        <f t="shared" ref="J157:J167" si="123">D157*$J$2</f>
        <v>126.9288</v>
      </c>
      <c r="K157" s="7">
        <f t="shared" ref="K157:K167" si="124">D157*$K$2</f>
        <v>2.8866</v>
      </c>
      <c r="L157" s="7">
        <f t="shared" ref="L157:L167" si="125">SUM(E157:K157)</f>
        <v>547.70646</v>
      </c>
      <c r="M157" s="7">
        <f t="shared" ref="M157:M168" si="126">L157*0.21</f>
        <v>115.0183566</v>
      </c>
      <c r="N157" s="7">
        <f t="shared" ref="N157:N168" si="127">L157+M157</f>
        <v>662.7248166</v>
      </c>
      <c r="P157" s="15">
        <v>4990.0</v>
      </c>
      <c r="R157" s="16">
        <f>L168</f>
        <v>12875.14644</v>
      </c>
    </row>
    <row r="158" ht="15.75" hidden="1" customHeight="1">
      <c r="A158" s="5" t="s">
        <v>12</v>
      </c>
      <c r="B158" s="14">
        <v>902.0</v>
      </c>
      <c r="C158" s="12">
        <v>958.0</v>
      </c>
      <c r="D158" s="5">
        <f t="shared" si="118"/>
        <v>0.056</v>
      </c>
      <c r="E158" s="5">
        <f t="shared" si="119"/>
        <v>39.14</v>
      </c>
      <c r="F158" s="5">
        <v>55.0</v>
      </c>
      <c r="G158" s="7">
        <f t="shared" si="120"/>
        <v>144.44192</v>
      </c>
      <c r="H158" s="7">
        <f t="shared" si="121"/>
        <v>5.58376</v>
      </c>
      <c r="I158" s="7">
        <f t="shared" si="122"/>
        <v>27.72</v>
      </c>
      <c r="J158" s="7">
        <f t="shared" si="123"/>
        <v>69.6864</v>
      </c>
      <c r="K158" s="7">
        <f t="shared" si="124"/>
        <v>1.5848</v>
      </c>
      <c r="L158" s="7">
        <f t="shared" si="125"/>
        <v>343.15688</v>
      </c>
      <c r="M158" s="7">
        <f t="shared" si="126"/>
        <v>72.0629448</v>
      </c>
      <c r="N158" s="7">
        <f t="shared" si="127"/>
        <v>415.2198248</v>
      </c>
      <c r="P158" s="15">
        <v>4658.0</v>
      </c>
      <c r="R158" s="16">
        <f>L154</f>
        <v>12866.25298</v>
      </c>
    </row>
    <row r="159" ht="15.75" hidden="1" customHeight="1">
      <c r="A159" s="5" t="s">
        <v>13</v>
      </c>
      <c r="B159" s="14">
        <v>1057.0</v>
      </c>
      <c r="C159" s="12">
        <v>1121.0</v>
      </c>
      <c r="D159" s="5">
        <f t="shared" si="118"/>
        <v>0.064</v>
      </c>
      <c r="E159" s="5">
        <f t="shared" si="119"/>
        <v>39.14</v>
      </c>
      <c r="F159" s="5">
        <v>55.0</v>
      </c>
      <c r="G159" s="7">
        <f t="shared" si="120"/>
        <v>165.07648</v>
      </c>
      <c r="H159" s="7">
        <f t="shared" si="121"/>
        <v>6.38144</v>
      </c>
      <c r="I159" s="7">
        <f t="shared" si="122"/>
        <v>31.68</v>
      </c>
      <c r="J159" s="7">
        <f t="shared" si="123"/>
        <v>79.6416</v>
      </c>
      <c r="K159" s="7">
        <f t="shared" si="124"/>
        <v>1.8112</v>
      </c>
      <c r="L159" s="7">
        <f t="shared" si="125"/>
        <v>378.73072</v>
      </c>
      <c r="M159" s="7">
        <f t="shared" si="126"/>
        <v>79.5334512</v>
      </c>
      <c r="N159" s="7">
        <f t="shared" si="127"/>
        <v>458.2641712</v>
      </c>
      <c r="P159" s="15">
        <v>4565.0</v>
      </c>
      <c r="R159" s="16">
        <f>L141</f>
        <v>12230.37059</v>
      </c>
    </row>
    <row r="160" ht="15.75" hidden="1" customHeight="1">
      <c r="A160" s="5" t="s">
        <v>14</v>
      </c>
      <c r="B160" s="14">
        <v>848.0</v>
      </c>
      <c r="C160" s="12">
        <v>910.0</v>
      </c>
      <c r="D160" s="5">
        <f t="shared" si="118"/>
        <v>0.062</v>
      </c>
      <c r="E160" s="5">
        <f t="shared" si="119"/>
        <v>39.14</v>
      </c>
      <c r="F160" s="5">
        <v>55.0</v>
      </c>
      <c r="G160" s="7">
        <f t="shared" si="120"/>
        <v>159.91784</v>
      </c>
      <c r="H160" s="7">
        <f t="shared" si="121"/>
        <v>6.18202</v>
      </c>
      <c r="I160" s="7">
        <f t="shared" si="122"/>
        <v>30.69</v>
      </c>
      <c r="J160" s="7">
        <f t="shared" si="123"/>
        <v>77.1528</v>
      </c>
      <c r="K160" s="7">
        <f t="shared" si="124"/>
        <v>1.7546</v>
      </c>
      <c r="L160" s="7">
        <f t="shared" si="125"/>
        <v>369.83726</v>
      </c>
      <c r="M160" s="7">
        <f t="shared" si="126"/>
        <v>77.6658246</v>
      </c>
      <c r="N160" s="7">
        <f t="shared" si="127"/>
        <v>447.5030846</v>
      </c>
      <c r="P160" s="15">
        <v>5335.0</v>
      </c>
      <c r="R160" s="16">
        <f>L125</f>
        <v>14479.31155</v>
      </c>
    </row>
    <row r="161" ht="15.75" hidden="1" customHeight="1">
      <c r="A161" s="5" t="s">
        <v>15</v>
      </c>
      <c r="B161" s="14">
        <v>918.0</v>
      </c>
      <c r="C161" s="12">
        <v>1017.0</v>
      </c>
      <c r="D161" s="5">
        <f t="shared" si="118"/>
        <v>0.099</v>
      </c>
      <c r="E161" s="5">
        <f t="shared" si="119"/>
        <v>39.14</v>
      </c>
      <c r="F161" s="5">
        <v>55.0</v>
      </c>
      <c r="G161" s="7">
        <f t="shared" si="120"/>
        <v>255.35268</v>
      </c>
      <c r="H161" s="7">
        <f t="shared" si="121"/>
        <v>9.87129</v>
      </c>
      <c r="I161" s="7">
        <f t="shared" si="122"/>
        <v>49.005</v>
      </c>
      <c r="J161" s="7">
        <f t="shared" si="123"/>
        <v>123.1956</v>
      </c>
      <c r="K161" s="7">
        <f t="shared" si="124"/>
        <v>2.8017</v>
      </c>
      <c r="L161" s="7">
        <f t="shared" si="125"/>
        <v>534.36627</v>
      </c>
      <c r="M161" s="7">
        <f t="shared" si="126"/>
        <v>112.2169167</v>
      </c>
      <c r="N161" s="7">
        <f t="shared" si="127"/>
        <v>646.5831867</v>
      </c>
      <c r="P161" s="15">
        <v>4853.0</v>
      </c>
      <c r="R161" s="16">
        <f>L108</f>
        <v>10464.26011</v>
      </c>
    </row>
    <row r="162" ht="15.75" hidden="1" customHeight="1">
      <c r="A162" s="5" t="s">
        <v>16</v>
      </c>
      <c r="B162" s="14">
        <v>780.0</v>
      </c>
      <c r="C162" s="12">
        <v>841.0</v>
      </c>
      <c r="D162" s="5">
        <f t="shared" si="118"/>
        <v>0.061</v>
      </c>
      <c r="E162" s="5">
        <f t="shared" si="119"/>
        <v>39.14</v>
      </c>
      <c r="F162" s="5">
        <v>55.0</v>
      </c>
      <c r="G162" s="7">
        <f t="shared" si="120"/>
        <v>157.33852</v>
      </c>
      <c r="H162" s="7">
        <f t="shared" si="121"/>
        <v>6.08231</v>
      </c>
      <c r="I162" s="7">
        <f t="shared" si="122"/>
        <v>30.195</v>
      </c>
      <c r="J162" s="7">
        <f t="shared" si="123"/>
        <v>75.9084</v>
      </c>
      <c r="K162" s="7">
        <f t="shared" si="124"/>
        <v>1.7263</v>
      </c>
      <c r="L162" s="7">
        <f t="shared" si="125"/>
        <v>365.39053</v>
      </c>
      <c r="M162" s="7">
        <f t="shared" si="126"/>
        <v>76.7320113</v>
      </c>
      <c r="N162" s="7">
        <f t="shared" si="127"/>
        <v>442.1225413</v>
      </c>
      <c r="P162" s="15">
        <v>6243.0</v>
      </c>
      <c r="R162" s="16">
        <f>L93</f>
        <v>11567.04915</v>
      </c>
    </row>
    <row r="163" ht="15.75" hidden="1" customHeight="1">
      <c r="A163" s="5" t="s">
        <v>17</v>
      </c>
      <c r="B163" s="14">
        <v>770.0</v>
      </c>
      <c r="C163" s="12">
        <v>855.0</v>
      </c>
      <c r="D163" s="5">
        <f t="shared" si="118"/>
        <v>0.085</v>
      </c>
      <c r="E163" s="5">
        <f t="shared" si="119"/>
        <v>39.14</v>
      </c>
      <c r="F163" s="5">
        <v>55.0</v>
      </c>
      <c r="G163" s="7">
        <f t="shared" si="120"/>
        <v>219.2422</v>
      </c>
      <c r="H163" s="7">
        <f t="shared" si="121"/>
        <v>8.47535</v>
      </c>
      <c r="I163" s="7">
        <f t="shared" si="122"/>
        <v>42.075</v>
      </c>
      <c r="J163" s="7">
        <f t="shared" si="123"/>
        <v>105.774</v>
      </c>
      <c r="K163" s="7">
        <f t="shared" si="124"/>
        <v>2.4055</v>
      </c>
      <c r="L163" s="7">
        <f t="shared" si="125"/>
        <v>472.11205</v>
      </c>
      <c r="M163" s="7">
        <f t="shared" si="126"/>
        <v>99.1435305</v>
      </c>
      <c r="N163" s="7">
        <f t="shared" si="127"/>
        <v>571.2555805</v>
      </c>
      <c r="P163" s="15">
        <v>5008.0</v>
      </c>
      <c r="R163" s="16">
        <f>L93</f>
        <v>11567.04915</v>
      </c>
    </row>
    <row r="164" ht="15.75" hidden="1" customHeight="1">
      <c r="A164" s="5" t="s">
        <v>18</v>
      </c>
      <c r="B164" s="14">
        <v>862.0</v>
      </c>
      <c r="C164" s="12">
        <v>929.0</v>
      </c>
      <c r="D164" s="5">
        <f t="shared" si="118"/>
        <v>0.067</v>
      </c>
      <c r="E164" s="5">
        <f t="shared" si="119"/>
        <v>39.14</v>
      </c>
      <c r="F164" s="5">
        <v>55.0</v>
      </c>
      <c r="G164" s="7">
        <f t="shared" si="120"/>
        <v>172.81444</v>
      </c>
      <c r="H164" s="7">
        <f t="shared" si="121"/>
        <v>6.68057</v>
      </c>
      <c r="I164" s="7">
        <f t="shared" si="122"/>
        <v>33.165</v>
      </c>
      <c r="J164" s="7">
        <f t="shared" si="123"/>
        <v>83.3748</v>
      </c>
      <c r="K164" s="7">
        <f t="shared" si="124"/>
        <v>1.8961</v>
      </c>
      <c r="L164" s="7">
        <f t="shared" si="125"/>
        <v>392.07091</v>
      </c>
      <c r="M164" s="7">
        <f t="shared" si="126"/>
        <v>82.3348911</v>
      </c>
      <c r="N164" s="7">
        <f t="shared" si="127"/>
        <v>474.4058011</v>
      </c>
      <c r="P164" s="15">
        <v>65574.0</v>
      </c>
      <c r="R164" s="16">
        <f>L78</f>
        <v>12305.20633</v>
      </c>
    </row>
    <row r="165" ht="15.75" hidden="1" customHeight="1">
      <c r="A165" s="5" t="s">
        <v>19</v>
      </c>
      <c r="B165" s="14">
        <v>42647.0</v>
      </c>
      <c r="C165" s="12">
        <v>43950.0</v>
      </c>
      <c r="D165" s="5">
        <f t="shared" si="118"/>
        <v>1.303</v>
      </c>
      <c r="E165" s="5">
        <v>169.69</v>
      </c>
      <c r="F165" s="5">
        <v>78.05</v>
      </c>
      <c r="G165" s="7">
        <f t="shared" si="120"/>
        <v>3360.85396</v>
      </c>
      <c r="H165" s="7">
        <f t="shared" si="121"/>
        <v>129.92213</v>
      </c>
      <c r="I165" s="7">
        <f t="shared" si="122"/>
        <v>644.985</v>
      </c>
      <c r="J165" s="7">
        <f t="shared" si="123"/>
        <v>1621.4532</v>
      </c>
      <c r="K165" s="7">
        <f t="shared" si="124"/>
        <v>36.8749</v>
      </c>
      <c r="L165" s="7">
        <f t="shared" si="125"/>
        <v>6041.82919</v>
      </c>
      <c r="M165" s="7">
        <f t="shared" si="126"/>
        <v>1268.78413</v>
      </c>
      <c r="N165" s="7">
        <f t="shared" si="127"/>
        <v>7310.61332</v>
      </c>
      <c r="P165" s="15">
        <v>31908.0</v>
      </c>
      <c r="R165" s="16">
        <f>L65</f>
        <v>13621.43841</v>
      </c>
    </row>
    <row r="166" ht="15.75" hidden="1" customHeight="1">
      <c r="A166" s="5" t="s">
        <v>30</v>
      </c>
      <c r="B166" s="14">
        <v>8721.0</v>
      </c>
      <c r="C166" s="12">
        <v>8824.0</v>
      </c>
      <c r="D166" s="5">
        <f t="shared" si="118"/>
        <v>0.103</v>
      </c>
      <c r="E166" s="5">
        <f t="shared" ref="E166:E167" si="128">29.8+9.34</f>
        <v>39.14</v>
      </c>
      <c r="F166" s="5">
        <v>55.0</v>
      </c>
      <c r="G166" s="7">
        <f t="shared" si="120"/>
        <v>265.66996</v>
      </c>
      <c r="H166" s="7">
        <f t="shared" si="121"/>
        <v>10.27013</v>
      </c>
      <c r="I166" s="7">
        <f t="shared" si="122"/>
        <v>50.985</v>
      </c>
      <c r="J166" s="7">
        <f t="shared" si="123"/>
        <v>128.1732</v>
      </c>
      <c r="K166" s="7">
        <f t="shared" si="124"/>
        <v>2.9149</v>
      </c>
      <c r="L166" s="7">
        <f t="shared" si="125"/>
        <v>552.15319</v>
      </c>
      <c r="M166" s="7">
        <f t="shared" si="126"/>
        <v>115.9521699</v>
      </c>
      <c r="N166" s="7">
        <f t="shared" si="127"/>
        <v>668.1053599</v>
      </c>
      <c r="P166" s="15">
        <v>5707.0</v>
      </c>
      <c r="R166" s="16">
        <f>L52</f>
        <v>10886.69946</v>
      </c>
    </row>
    <row r="167" ht="15.75" hidden="1" customHeight="1">
      <c r="A167" s="5" t="s">
        <v>31</v>
      </c>
      <c r="B167" s="14">
        <v>40164.0</v>
      </c>
      <c r="C167" s="12">
        <v>40790.0</v>
      </c>
      <c r="D167" s="5">
        <f t="shared" si="118"/>
        <v>0.626</v>
      </c>
      <c r="E167" s="5">
        <f t="shared" si="128"/>
        <v>39.14</v>
      </c>
      <c r="F167" s="5">
        <v>55.0</v>
      </c>
      <c r="G167" s="7">
        <f t="shared" si="120"/>
        <v>1614.65432</v>
      </c>
      <c r="H167" s="7">
        <f t="shared" si="121"/>
        <v>62.41846</v>
      </c>
      <c r="I167" s="7">
        <f t="shared" si="122"/>
        <v>309.87</v>
      </c>
      <c r="J167" s="7">
        <f t="shared" si="123"/>
        <v>778.9944</v>
      </c>
      <c r="K167" s="7">
        <f t="shared" si="124"/>
        <v>17.7158</v>
      </c>
      <c r="L167" s="13">
        <f t="shared" si="125"/>
        <v>2877.79298</v>
      </c>
      <c r="M167" s="7">
        <f t="shared" si="126"/>
        <v>604.3365258</v>
      </c>
      <c r="N167" s="7">
        <f t="shared" si="127"/>
        <v>3482.129506</v>
      </c>
      <c r="P167" s="15">
        <v>-2411.0</v>
      </c>
      <c r="R167" s="16">
        <f>L39</f>
        <v>8890.11769</v>
      </c>
    </row>
    <row r="168" ht="15.75" hidden="1" customHeight="1">
      <c r="A168" s="5"/>
      <c r="C168" s="4"/>
      <c r="D168" s="5"/>
      <c r="G168" s="5"/>
      <c r="L168" s="11">
        <f>SUM(L157:L167)</f>
        <v>12875.14644</v>
      </c>
      <c r="M168" s="7">
        <f t="shared" si="126"/>
        <v>2703.780752</v>
      </c>
      <c r="N168" s="7">
        <f t="shared" si="127"/>
        <v>15578.92719</v>
      </c>
      <c r="P168" s="17">
        <f>SUM(P157:P167)</f>
        <v>136430</v>
      </c>
      <c r="R168" s="16">
        <f>L25</f>
        <v>9574.91411</v>
      </c>
    </row>
    <row r="169" ht="15.75" hidden="1" customHeight="1">
      <c r="A169" s="5"/>
      <c r="C169" s="4"/>
      <c r="D169" s="5"/>
      <c r="G169" s="5"/>
      <c r="R169" s="16">
        <f>SUM(R157:R168)</f>
        <v>141327.816</v>
      </c>
    </row>
    <row r="170" ht="15.75" hidden="1" customHeight="1">
      <c r="A170" s="5"/>
      <c r="C170" s="4"/>
      <c r="D170" s="5"/>
      <c r="G170" s="5"/>
    </row>
    <row r="171" ht="15.75" hidden="1" customHeight="1">
      <c r="A171" s="5" t="s">
        <v>34</v>
      </c>
      <c r="C171" s="4"/>
      <c r="D171" s="5"/>
      <c r="G171" s="5"/>
    </row>
    <row r="172" ht="15.75" hidden="1" customHeight="1">
      <c r="A172" s="5" t="s">
        <v>11</v>
      </c>
      <c r="B172" s="14">
        <v>1241.0</v>
      </c>
      <c r="C172" s="12">
        <v>1359.0</v>
      </c>
      <c r="D172" s="5">
        <f t="shared" ref="D172:D182" si="129">(C172-B172)/1000</f>
        <v>0.118</v>
      </c>
      <c r="E172" s="5">
        <f t="shared" ref="E172:E179" si="130">29.8+9.34</f>
        <v>39.14</v>
      </c>
      <c r="F172" s="5">
        <v>55.0</v>
      </c>
      <c r="G172" s="7">
        <f t="shared" ref="G172:G182" si="131">D172*$G$2</f>
        <v>304.35976</v>
      </c>
      <c r="H172" s="7">
        <f t="shared" ref="H172:H182" si="132">D172*$H$2</f>
        <v>11.76578</v>
      </c>
      <c r="I172" s="7">
        <f t="shared" ref="I172:I182" si="133">D172*$I$2</f>
        <v>58.41</v>
      </c>
      <c r="J172" s="7">
        <f t="shared" ref="J172:J182" si="134">D172*$J$2</f>
        <v>146.8392</v>
      </c>
      <c r="K172" s="7">
        <f t="shared" ref="K172:K182" si="135">D172*$K$2</f>
        <v>3.3394</v>
      </c>
      <c r="L172" s="7">
        <f t="shared" ref="L172:L182" si="136">SUM(E172:K172)</f>
        <v>618.85414</v>
      </c>
      <c r="M172" s="7">
        <f t="shared" ref="M172:M183" si="137">L172*0.21</f>
        <v>129.9593694</v>
      </c>
      <c r="N172" s="7">
        <f t="shared" ref="N172:N183" si="138">L172+M172</f>
        <v>748.8135094</v>
      </c>
    </row>
    <row r="173" ht="15.75" hidden="1" customHeight="1">
      <c r="A173" s="5" t="s">
        <v>12</v>
      </c>
      <c r="B173" s="14">
        <v>958.0</v>
      </c>
      <c r="C173" s="12">
        <v>1054.0</v>
      </c>
      <c r="D173" s="5">
        <f t="shared" si="129"/>
        <v>0.096</v>
      </c>
      <c r="E173" s="5">
        <f t="shared" si="130"/>
        <v>39.14</v>
      </c>
      <c r="F173" s="5">
        <v>55.0</v>
      </c>
      <c r="G173" s="7">
        <f t="shared" si="131"/>
        <v>247.61472</v>
      </c>
      <c r="H173" s="7">
        <f t="shared" si="132"/>
        <v>9.57216</v>
      </c>
      <c r="I173" s="7">
        <f t="shared" si="133"/>
        <v>47.52</v>
      </c>
      <c r="J173" s="7">
        <f t="shared" si="134"/>
        <v>119.4624</v>
      </c>
      <c r="K173" s="7">
        <f t="shared" si="135"/>
        <v>2.7168</v>
      </c>
      <c r="L173" s="7">
        <f t="shared" si="136"/>
        <v>521.02608</v>
      </c>
      <c r="M173" s="7">
        <f t="shared" si="137"/>
        <v>109.4154768</v>
      </c>
      <c r="N173" s="7">
        <f t="shared" si="138"/>
        <v>630.4415568</v>
      </c>
    </row>
    <row r="174" ht="15.75" hidden="1" customHeight="1">
      <c r="A174" s="5" t="s">
        <v>13</v>
      </c>
      <c r="B174" s="14">
        <v>1121.0</v>
      </c>
      <c r="C174" s="12">
        <v>1224.0</v>
      </c>
      <c r="D174" s="5">
        <f t="shared" si="129"/>
        <v>0.103</v>
      </c>
      <c r="E174" s="5">
        <f t="shared" si="130"/>
        <v>39.14</v>
      </c>
      <c r="F174" s="5">
        <v>55.0</v>
      </c>
      <c r="G174" s="7">
        <f t="shared" si="131"/>
        <v>265.66996</v>
      </c>
      <c r="H174" s="7">
        <f t="shared" si="132"/>
        <v>10.27013</v>
      </c>
      <c r="I174" s="7">
        <f t="shared" si="133"/>
        <v>50.985</v>
      </c>
      <c r="J174" s="7">
        <f t="shared" si="134"/>
        <v>128.1732</v>
      </c>
      <c r="K174" s="7">
        <f t="shared" si="135"/>
        <v>2.9149</v>
      </c>
      <c r="L174" s="7">
        <f t="shared" si="136"/>
        <v>552.15319</v>
      </c>
      <c r="M174" s="7">
        <f t="shared" si="137"/>
        <v>115.9521699</v>
      </c>
      <c r="N174" s="7">
        <f t="shared" si="138"/>
        <v>668.1053599</v>
      </c>
    </row>
    <row r="175" ht="15.75" hidden="1" customHeight="1">
      <c r="A175" s="5" t="s">
        <v>14</v>
      </c>
      <c r="B175" s="14">
        <v>910.0</v>
      </c>
      <c r="C175" s="12">
        <v>989.0</v>
      </c>
      <c r="D175" s="5">
        <f t="shared" si="129"/>
        <v>0.079</v>
      </c>
      <c r="E175" s="5">
        <f t="shared" si="130"/>
        <v>39.14</v>
      </c>
      <c r="F175" s="5">
        <v>55.0</v>
      </c>
      <c r="G175" s="7">
        <f t="shared" si="131"/>
        <v>203.76628</v>
      </c>
      <c r="H175" s="7">
        <f t="shared" si="132"/>
        <v>7.87709</v>
      </c>
      <c r="I175" s="7">
        <f t="shared" si="133"/>
        <v>39.105</v>
      </c>
      <c r="J175" s="7">
        <f t="shared" si="134"/>
        <v>98.3076</v>
      </c>
      <c r="K175" s="7">
        <f t="shared" si="135"/>
        <v>2.2357</v>
      </c>
      <c r="L175" s="7">
        <f t="shared" si="136"/>
        <v>445.43167</v>
      </c>
      <c r="M175" s="7">
        <f t="shared" si="137"/>
        <v>93.5406507</v>
      </c>
      <c r="N175" s="7">
        <f t="shared" si="138"/>
        <v>538.9723207</v>
      </c>
    </row>
    <row r="176" ht="15.75" hidden="1" customHeight="1">
      <c r="A176" s="5" t="s">
        <v>15</v>
      </c>
      <c r="B176" s="14">
        <v>1017.0</v>
      </c>
      <c r="C176" s="12">
        <v>1125.0</v>
      </c>
      <c r="D176" s="5">
        <f t="shared" si="129"/>
        <v>0.108</v>
      </c>
      <c r="E176" s="5">
        <f t="shared" si="130"/>
        <v>39.14</v>
      </c>
      <c r="F176" s="5">
        <v>55.0</v>
      </c>
      <c r="G176" s="7">
        <f t="shared" si="131"/>
        <v>278.56656</v>
      </c>
      <c r="H176" s="7">
        <f t="shared" si="132"/>
        <v>10.76868</v>
      </c>
      <c r="I176" s="7">
        <f t="shared" si="133"/>
        <v>53.46</v>
      </c>
      <c r="J176" s="7">
        <f t="shared" si="134"/>
        <v>134.3952</v>
      </c>
      <c r="K176" s="7">
        <f t="shared" si="135"/>
        <v>3.0564</v>
      </c>
      <c r="L176" s="7">
        <f t="shared" si="136"/>
        <v>574.38684</v>
      </c>
      <c r="M176" s="7">
        <f t="shared" si="137"/>
        <v>120.6212364</v>
      </c>
      <c r="N176" s="7">
        <f t="shared" si="138"/>
        <v>695.0080764</v>
      </c>
    </row>
    <row r="177" ht="15.75" hidden="1" customHeight="1">
      <c r="A177" s="5" t="s">
        <v>16</v>
      </c>
      <c r="B177" s="14">
        <v>841.0</v>
      </c>
      <c r="C177" s="12">
        <v>896.0</v>
      </c>
      <c r="D177" s="5">
        <f t="shared" si="129"/>
        <v>0.055</v>
      </c>
      <c r="E177" s="5">
        <f t="shared" si="130"/>
        <v>39.14</v>
      </c>
      <c r="F177" s="5">
        <v>55.0</v>
      </c>
      <c r="G177" s="7">
        <f t="shared" si="131"/>
        <v>141.8626</v>
      </c>
      <c r="H177" s="7">
        <f t="shared" si="132"/>
        <v>5.48405</v>
      </c>
      <c r="I177" s="7">
        <f t="shared" si="133"/>
        <v>27.225</v>
      </c>
      <c r="J177" s="7">
        <f t="shared" si="134"/>
        <v>68.442</v>
      </c>
      <c r="K177" s="7">
        <f t="shared" si="135"/>
        <v>1.5565</v>
      </c>
      <c r="L177" s="7">
        <f t="shared" si="136"/>
        <v>338.71015</v>
      </c>
      <c r="M177" s="7">
        <f t="shared" si="137"/>
        <v>71.1291315</v>
      </c>
      <c r="N177" s="7">
        <f t="shared" si="138"/>
        <v>409.8392815</v>
      </c>
    </row>
    <row r="178" ht="15.75" hidden="1" customHeight="1">
      <c r="A178" s="5" t="s">
        <v>17</v>
      </c>
      <c r="B178" s="14">
        <v>855.0</v>
      </c>
      <c r="C178" s="12">
        <v>936.0</v>
      </c>
      <c r="D178" s="5">
        <f t="shared" si="129"/>
        <v>0.081</v>
      </c>
      <c r="E178" s="5">
        <f t="shared" si="130"/>
        <v>39.14</v>
      </c>
      <c r="F178" s="5">
        <v>55.0</v>
      </c>
      <c r="G178" s="7">
        <f t="shared" si="131"/>
        <v>208.92492</v>
      </c>
      <c r="H178" s="7">
        <f t="shared" si="132"/>
        <v>8.07651</v>
      </c>
      <c r="I178" s="7">
        <f t="shared" si="133"/>
        <v>40.095</v>
      </c>
      <c r="J178" s="7">
        <f t="shared" si="134"/>
        <v>100.7964</v>
      </c>
      <c r="K178" s="7">
        <f t="shared" si="135"/>
        <v>2.2923</v>
      </c>
      <c r="L178" s="7">
        <f t="shared" si="136"/>
        <v>454.32513</v>
      </c>
      <c r="M178" s="7">
        <f t="shared" si="137"/>
        <v>95.4082773</v>
      </c>
      <c r="N178" s="7">
        <f t="shared" si="138"/>
        <v>549.7334073</v>
      </c>
    </row>
    <row r="179" ht="15.75" hidden="1" customHeight="1">
      <c r="A179" s="5" t="s">
        <v>18</v>
      </c>
      <c r="B179" s="14">
        <v>929.0</v>
      </c>
      <c r="C179" s="12">
        <v>1006.0</v>
      </c>
      <c r="D179" s="5">
        <f t="shared" si="129"/>
        <v>0.077</v>
      </c>
      <c r="E179" s="5">
        <f t="shared" si="130"/>
        <v>39.14</v>
      </c>
      <c r="F179" s="5">
        <v>55.0</v>
      </c>
      <c r="G179" s="7">
        <f t="shared" si="131"/>
        <v>198.60764</v>
      </c>
      <c r="H179" s="7">
        <f t="shared" si="132"/>
        <v>7.67767</v>
      </c>
      <c r="I179" s="7">
        <f t="shared" si="133"/>
        <v>38.115</v>
      </c>
      <c r="J179" s="7">
        <f t="shared" si="134"/>
        <v>95.8188</v>
      </c>
      <c r="K179" s="7">
        <f t="shared" si="135"/>
        <v>2.1791</v>
      </c>
      <c r="L179" s="7">
        <f t="shared" si="136"/>
        <v>436.53821</v>
      </c>
      <c r="M179" s="7">
        <f t="shared" si="137"/>
        <v>91.6730241</v>
      </c>
      <c r="N179" s="7">
        <f t="shared" si="138"/>
        <v>528.2112341</v>
      </c>
    </row>
    <row r="180" ht="15.75" hidden="1" customHeight="1">
      <c r="A180" s="5" t="s">
        <v>19</v>
      </c>
      <c r="B180" s="14">
        <v>43950.0</v>
      </c>
      <c r="C180" s="12">
        <v>45356.0</v>
      </c>
      <c r="D180" s="5">
        <f t="shared" si="129"/>
        <v>1.406</v>
      </c>
      <c r="E180" s="5">
        <v>169.69</v>
      </c>
      <c r="F180" s="5">
        <v>78.05</v>
      </c>
      <c r="G180" s="7">
        <f t="shared" si="131"/>
        <v>3626.52392</v>
      </c>
      <c r="H180" s="7">
        <f t="shared" si="132"/>
        <v>140.19226</v>
      </c>
      <c r="I180" s="7">
        <f t="shared" si="133"/>
        <v>695.97</v>
      </c>
      <c r="J180" s="7">
        <f t="shared" si="134"/>
        <v>1749.6264</v>
      </c>
      <c r="K180" s="7">
        <f t="shared" si="135"/>
        <v>39.7898</v>
      </c>
      <c r="L180" s="7">
        <f t="shared" si="136"/>
        <v>6499.84238</v>
      </c>
      <c r="M180" s="7">
        <f t="shared" si="137"/>
        <v>1364.9669</v>
      </c>
      <c r="N180" s="7">
        <f t="shared" si="138"/>
        <v>7864.80928</v>
      </c>
    </row>
    <row r="181" ht="15.75" hidden="1" customHeight="1">
      <c r="A181" s="5" t="s">
        <v>30</v>
      </c>
      <c r="B181" s="14">
        <v>8824.0</v>
      </c>
      <c r="C181" s="12">
        <v>8848.0</v>
      </c>
      <c r="D181" s="5">
        <f t="shared" si="129"/>
        <v>0.024</v>
      </c>
      <c r="E181" s="5">
        <f t="shared" ref="E181:E182" si="139">29.8+9.34</f>
        <v>39.14</v>
      </c>
      <c r="F181" s="5">
        <v>55.0</v>
      </c>
      <c r="G181" s="7">
        <f t="shared" si="131"/>
        <v>61.90368</v>
      </c>
      <c r="H181" s="7">
        <f t="shared" si="132"/>
        <v>2.39304</v>
      </c>
      <c r="I181" s="7">
        <f t="shared" si="133"/>
        <v>11.88</v>
      </c>
      <c r="J181" s="7">
        <f t="shared" si="134"/>
        <v>29.8656</v>
      </c>
      <c r="K181" s="7">
        <f t="shared" si="135"/>
        <v>0.6792</v>
      </c>
      <c r="L181" s="7">
        <f t="shared" si="136"/>
        <v>200.86152</v>
      </c>
      <c r="M181" s="7">
        <f t="shared" si="137"/>
        <v>42.1809192</v>
      </c>
      <c r="N181" s="7">
        <f t="shared" si="138"/>
        <v>243.0424392</v>
      </c>
    </row>
    <row r="182" ht="15.75" hidden="1" customHeight="1">
      <c r="A182" s="5" t="s">
        <v>31</v>
      </c>
      <c r="B182" s="14">
        <v>40790.0</v>
      </c>
      <c r="C182" s="12">
        <v>40953.0</v>
      </c>
      <c r="D182" s="5">
        <f t="shared" si="129"/>
        <v>0.163</v>
      </c>
      <c r="E182" s="5">
        <f t="shared" si="139"/>
        <v>39.14</v>
      </c>
      <c r="F182" s="5">
        <v>55.0</v>
      </c>
      <c r="G182" s="7">
        <f t="shared" si="131"/>
        <v>420.42916</v>
      </c>
      <c r="H182" s="7">
        <f t="shared" si="132"/>
        <v>16.25273</v>
      </c>
      <c r="I182" s="7">
        <f t="shared" si="133"/>
        <v>80.685</v>
      </c>
      <c r="J182" s="7">
        <f t="shared" si="134"/>
        <v>202.8372</v>
      </c>
      <c r="K182" s="7">
        <f t="shared" si="135"/>
        <v>4.6129</v>
      </c>
      <c r="L182" s="13">
        <f t="shared" si="136"/>
        <v>818.95699</v>
      </c>
      <c r="M182" s="7">
        <f t="shared" si="137"/>
        <v>171.9809679</v>
      </c>
      <c r="N182" s="7">
        <f t="shared" si="138"/>
        <v>990.9379579</v>
      </c>
    </row>
    <row r="183" ht="15.75" hidden="1" customHeight="1">
      <c r="A183" s="5"/>
      <c r="C183" s="4"/>
      <c r="D183" s="5"/>
      <c r="G183" s="5"/>
      <c r="L183" s="11">
        <f>SUM(L172:L182)</f>
        <v>11461.0863</v>
      </c>
      <c r="M183" s="7">
        <f t="shared" si="137"/>
        <v>2406.828123</v>
      </c>
      <c r="N183" s="7">
        <f t="shared" si="138"/>
        <v>13867.91442</v>
      </c>
    </row>
    <row r="184" ht="15.75" hidden="1" customHeight="1">
      <c r="A184" s="5"/>
      <c r="C184" s="4"/>
      <c r="D184" s="5"/>
      <c r="G184" s="5"/>
    </row>
    <row r="185" ht="15.75" hidden="1" customHeight="1">
      <c r="A185" s="5"/>
      <c r="C185" s="4"/>
      <c r="D185" s="5"/>
      <c r="G185" s="5"/>
    </row>
    <row r="186" ht="15.75" hidden="1" customHeight="1">
      <c r="A186" s="5" t="s">
        <v>35</v>
      </c>
      <c r="C186" s="4"/>
      <c r="D186" s="5"/>
      <c r="G186" s="5"/>
    </row>
    <row r="187" ht="15.75" hidden="1" customHeight="1">
      <c r="A187" s="5" t="s">
        <v>11</v>
      </c>
      <c r="B187" s="14">
        <v>1359.0</v>
      </c>
      <c r="C187" s="12">
        <v>1462.0</v>
      </c>
      <c r="D187" s="5">
        <f t="shared" ref="D187:D197" si="140">(C187-B187)/1000</f>
        <v>0.103</v>
      </c>
      <c r="E187" s="5">
        <f t="shared" ref="E187:E194" si="141">29.8+9.34</f>
        <v>39.14</v>
      </c>
      <c r="F187" s="5">
        <v>55.0</v>
      </c>
      <c r="G187" s="7">
        <f t="shared" ref="G187:G197" si="142">D187*$G$2</f>
        <v>265.66996</v>
      </c>
      <c r="H187" s="7">
        <f t="shared" ref="H187:H197" si="143">D187*$H$2</f>
        <v>10.27013</v>
      </c>
      <c r="I187" s="7">
        <f t="shared" ref="I187:I197" si="144">D187*$I$2</f>
        <v>50.985</v>
      </c>
      <c r="J187" s="7">
        <f t="shared" ref="J187:J197" si="145">D187*$J$2</f>
        <v>128.1732</v>
      </c>
      <c r="K187" s="7">
        <f t="shared" ref="K187:K197" si="146">D187*$K$2</f>
        <v>2.9149</v>
      </c>
      <c r="L187" s="7">
        <f t="shared" ref="L187:L197" si="147">SUM(E187:K187)</f>
        <v>552.15319</v>
      </c>
      <c r="M187" s="7">
        <f t="shared" ref="M187:M198" si="148">L187*0.21</f>
        <v>115.9521699</v>
      </c>
      <c r="N187" s="7">
        <f t="shared" ref="N187:N198" si="149">L187+M187</f>
        <v>668.1053599</v>
      </c>
    </row>
    <row r="188" ht="15.75" hidden="1" customHeight="1">
      <c r="A188" s="5" t="s">
        <v>12</v>
      </c>
      <c r="B188" s="14">
        <v>1054.0</v>
      </c>
      <c r="C188" s="12">
        <v>1146.0</v>
      </c>
      <c r="D188" s="5">
        <f t="shared" si="140"/>
        <v>0.092</v>
      </c>
      <c r="E188" s="5">
        <f t="shared" si="141"/>
        <v>39.14</v>
      </c>
      <c r="F188" s="5">
        <v>55.0</v>
      </c>
      <c r="G188" s="7">
        <f t="shared" si="142"/>
        <v>237.29744</v>
      </c>
      <c r="H188" s="7">
        <f t="shared" si="143"/>
        <v>9.17332</v>
      </c>
      <c r="I188" s="7">
        <f t="shared" si="144"/>
        <v>45.54</v>
      </c>
      <c r="J188" s="7">
        <f t="shared" si="145"/>
        <v>114.4848</v>
      </c>
      <c r="K188" s="7">
        <f t="shared" si="146"/>
        <v>2.6036</v>
      </c>
      <c r="L188" s="7">
        <f t="shared" si="147"/>
        <v>503.23916</v>
      </c>
      <c r="M188" s="7">
        <f t="shared" si="148"/>
        <v>105.6802236</v>
      </c>
      <c r="N188" s="7">
        <f t="shared" si="149"/>
        <v>608.9193836</v>
      </c>
    </row>
    <row r="189" ht="15.75" hidden="1" customHeight="1">
      <c r="A189" s="5" t="s">
        <v>13</v>
      </c>
      <c r="B189" s="14">
        <v>1224.0</v>
      </c>
      <c r="C189" s="12">
        <v>1325.0</v>
      </c>
      <c r="D189" s="5">
        <f t="shared" si="140"/>
        <v>0.101</v>
      </c>
      <c r="E189" s="5">
        <f t="shared" si="141"/>
        <v>39.14</v>
      </c>
      <c r="F189" s="5">
        <v>55.0</v>
      </c>
      <c r="G189" s="7">
        <f t="shared" si="142"/>
        <v>260.51132</v>
      </c>
      <c r="H189" s="7">
        <f t="shared" si="143"/>
        <v>10.07071</v>
      </c>
      <c r="I189" s="7">
        <f t="shared" si="144"/>
        <v>49.995</v>
      </c>
      <c r="J189" s="7">
        <f t="shared" si="145"/>
        <v>125.6844</v>
      </c>
      <c r="K189" s="7">
        <f t="shared" si="146"/>
        <v>2.8583</v>
      </c>
      <c r="L189" s="7">
        <f t="shared" si="147"/>
        <v>543.25973</v>
      </c>
      <c r="M189" s="7">
        <f t="shared" si="148"/>
        <v>114.0845433</v>
      </c>
      <c r="N189" s="7">
        <f t="shared" si="149"/>
        <v>657.3442733</v>
      </c>
    </row>
    <row r="190" ht="15.75" hidden="1" customHeight="1">
      <c r="A190" s="5" t="s">
        <v>14</v>
      </c>
      <c r="B190" s="14">
        <v>989.0</v>
      </c>
      <c r="C190" s="12">
        <v>1065.0</v>
      </c>
      <c r="D190" s="5">
        <f t="shared" si="140"/>
        <v>0.076</v>
      </c>
      <c r="E190" s="5">
        <f t="shared" si="141"/>
        <v>39.14</v>
      </c>
      <c r="F190" s="5">
        <v>55.0</v>
      </c>
      <c r="G190" s="7">
        <f t="shared" si="142"/>
        <v>196.02832</v>
      </c>
      <c r="H190" s="7">
        <f t="shared" si="143"/>
        <v>7.57796</v>
      </c>
      <c r="I190" s="7">
        <f t="shared" si="144"/>
        <v>37.62</v>
      </c>
      <c r="J190" s="7">
        <f t="shared" si="145"/>
        <v>94.5744</v>
      </c>
      <c r="K190" s="7">
        <f t="shared" si="146"/>
        <v>2.1508</v>
      </c>
      <c r="L190" s="7">
        <f t="shared" si="147"/>
        <v>432.09148</v>
      </c>
      <c r="M190" s="7">
        <f t="shared" si="148"/>
        <v>90.7392108</v>
      </c>
      <c r="N190" s="7">
        <f t="shared" si="149"/>
        <v>522.8306908</v>
      </c>
    </row>
    <row r="191" ht="15.75" hidden="1" customHeight="1">
      <c r="A191" s="5" t="s">
        <v>15</v>
      </c>
      <c r="B191" s="14">
        <v>1125.0</v>
      </c>
      <c r="C191" s="12">
        <v>1205.0</v>
      </c>
      <c r="D191" s="5">
        <f t="shared" si="140"/>
        <v>0.08</v>
      </c>
      <c r="E191" s="5">
        <f t="shared" si="141"/>
        <v>39.14</v>
      </c>
      <c r="F191" s="5">
        <v>55.0</v>
      </c>
      <c r="G191" s="7">
        <f t="shared" si="142"/>
        <v>206.3456</v>
      </c>
      <c r="H191" s="7">
        <f t="shared" si="143"/>
        <v>7.9768</v>
      </c>
      <c r="I191" s="7">
        <f t="shared" si="144"/>
        <v>39.6</v>
      </c>
      <c r="J191" s="7">
        <f t="shared" si="145"/>
        <v>99.552</v>
      </c>
      <c r="K191" s="7">
        <f t="shared" si="146"/>
        <v>2.264</v>
      </c>
      <c r="L191" s="7">
        <f t="shared" si="147"/>
        <v>449.8784</v>
      </c>
      <c r="M191" s="7">
        <f t="shared" si="148"/>
        <v>94.474464</v>
      </c>
      <c r="N191" s="7">
        <f t="shared" si="149"/>
        <v>544.352864</v>
      </c>
    </row>
    <row r="192" ht="15.75" hidden="1" customHeight="1">
      <c r="A192" s="5" t="s">
        <v>16</v>
      </c>
      <c r="B192" s="14">
        <v>896.0</v>
      </c>
      <c r="C192" s="12">
        <v>978.0</v>
      </c>
      <c r="D192" s="5">
        <f t="shared" si="140"/>
        <v>0.082</v>
      </c>
      <c r="E192" s="5">
        <f t="shared" si="141"/>
        <v>39.14</v>
      </c>
      <c r="F192" s="5">
        <v>55.0</v>
      </c>
      <c r="G192" s="7">
        <f t="shared" si="142"/>
        <v>211.50424</v>
      </c>
      <c r="H192" s="7">
        <f t="shared" si="143"/>
        <v>8.17622</v>
      </c>
      <c r="I192" s="7">
        <f t="shared" si="144"/>
        <v>40.59</v>
      </c>
      <c r="J192" s="7">
        <f t="shared" si="145"/>
        <v>102.0408</v>
      </c>
      <c r="K192" s="7">
        <f t="shared" si="146"/>
        <v>2.3206</v>
      </c>
      <c r="L192" s="7">
        <f t="shared" si="147"/>
        <v>458.77186</v>
      </c>
      <c r="M192" s="7">
        <f t="shared" si="148"/>
        <v>96.3420906</v>
      </c>
      <c r="N192" s="7">
        <f t="shared" si="149"/>
        <v>555.1139506</v>
      </c>
    </row>
    <row r="193" ht="15.75" hidden="1" customHeight="1">
      <c r="A193" s="5" t="s">
        <v>17</v>
      </c>
      <c r="B193" s="14">
        <v>936.0</v>
      </c>
      <c r="C193" s="12">
        <v>1011.0</v>
      </c>
      <c r="D193" s="5">
        <f t="shared" si="140"/>
        <v>0.075</v>
      </c>
      <c r="E193" s="5">
        <f t="shared" si="141"/>
        <v>39.14</v>
      </c>
      <c r="F193" s="5">
        <v>55.0</v>
      </c>
      <c r="G193" s="7">
        <f t="shared" si="142"/>
        <v>193.449</v>
      </c>
      <c r="H193" s="7">
        <f t="shared" si="143"/>
        <v>7.47825</v>
      </c>
      <c r="I193" s="7">
        <f t="shared" si="144"/>
        <v>37.125</v>
      </c>
      <c r="J193" s="7">
        <f t="shared" si="145"/>
        <v>93.33</v>
      </c>
      <c r="K193" s="7">
        <f t="shared" si="146"/>
        <v>2.1225</v>
      </c>
      <c r="L193" s="7">
        <f t="shared" si="147"/>
        <v>427.64475</v>
      </c>
      <c r="M193" s="7">
        <f t="shared" si="148"/>
        <v>89.8053975</v>
      </c>
      <c r="N193" s="7">
        <f t="shared" si="149"/>
        <v>517.4501475</v>
      </c>
    </row>
    <row r="194" ht="15.75" hidden="1" customHeight="1">
      <c r="A194" s="5" t="s">
        <v>18</v>
      </c>
      <c r="B194" s="14">
        <v>1006.0</v>
      </c>
      <c r="C194" s="12">
        <v>1088.0</v>
      </c>
      <c r="D194" s="5">
        <f t="shared" si="140"/>
        <v>0.082</v>
      </c>
      <c r="E194" s="5">
        <f t="shared" si="141"/>
        <v>39.14</v>
      </c>
      <c r="F194" s="5">
        <v>55.0</v>
      </c>
      <c r="G194" s="7">
        <f t="shared" si="142"/>
        <v>211.50424</v>
      </c>
      <c r="H194" s="7">
        <f t="shared" si="143"/>
        <v>8.17622</v>
      </c>
      <c r="I194" s="7">
        <f t="shared" si="144"/>
        <v>40.59</v>
      </c>
      <c r="J194" s="7">
        <f t="shared" si="145"/>
        <v>102.0408</v>
      </c>
      <c r="K194" s="7">
        <f t="shared" si="146"/>
        <v>2.3206</v>
      </c>
      <c r="L194" s="7">
        <f t="shared" si="147"/>
        <v>458.77186</v>
      </c>
      <c r="M194" s="7">
        <f t="shared" si="148"/>
        <v>96.3420906</v>
      </c>
      <c r="N194" s="7">
        <f t="shared" si="149"/>
        <v>555.1139506</v>
      </c>
    </row>
    <row r="195" ht="15.75" hidden="1" customHeight="1">
      <c r="A195" s="5" t="s">
        <v>19</v>
      </c>
      <c r="B195" s="14">
        <v>45356.0</v>
      </c>
      <c r="C195" s="12">
        <v>46855.0</v>
      </c>
      <c r="D195" s="5">
        <f t="shared" si="140"/>
        <v>1.499</v>
      </c>
      <c r="E195" s="5">
        <v>169.69</v>
      </c>
      <c r="F195" s="5">
        <v>78.05</v>
      </c>
      <c r="G195" s="7">
        <f t="shared" si="142"/>
        <v>3866.40068</v>
      </c>
      <c r="H195" s="7">
        <f t="shared" si="143"/>
        <v>149.46529</v>
      </c>
      <c r="I195" s="7">
        <f t="shared" si="144"/>
        <v>742.005</v>
      </c>
      <c r="J195" s="7">
        <f t="shared" si="145"/>
        <v>1865.3556</v>
      </c>
      <c r="K195" s="7">
        <f t="shared" si="146"/>
        <v>42.4217</v>
      </c>
      <c r="L195" s="7">
        <f t="shared" si="147"/>
        <v>6913.38827</v>
      </c>
      <c r="M195" s="7">
        <f t="shared" si="148"/>
        <v>1451.811537</v>
      </c>
      <c r="N195" s="7">
        <f t="shared" si="149"/>
        <v>8365.199807</v>
      </c>
    </row>
    <row r="196" ht="15.75" hidden="1" customHeight="1">
      <c r="A196" s="5" t="s">
        <v>30</v>
      </c>
      <c r="B196" s="14">
        <v>8848.0</v>
      </c>
      <c r="C196" s="12">
        <v>8871.0</v>
      </c>
      <c r="D196" s="5">
        <f t="shared" si="140"/>
        <v>0.023</v>
      </c>
      <c r="E196" s="5">
        <f t="shared" ref="E196:E197" si="150">29.8+9.34</f>
        <v>39.14</v>
      </c>
      <c r="F196" s="5">
        <v>55.0</v>
      </c>
      <c r="G196" s="7">
        <f t="shared" si="142"/>
        <v>59.32436</v>
      </c>
      <c r="H196" s="7">
        <f t="shared" si="143"/>
        <v>2.29333</v>
      </c>
      <c r="I196" s="7">
        <f t="shared" si="144"/>
        <v>11.385</v>
      </c>
      <c r="J196" s="7">
        <f t="shared" si="145"/>
        <v>28.6212</v>
      </c>
      <c r="K196" s="7">
        <f t="shared" si="146"/>
        <v>0.6509</v>
      </c>
      <c r="L196" s="7">
        <f t="shared" si="147"/>
        <v>196.41479</v>
      </c>
      <c r="M196" s="7">
        <f t="shared" si="148"/>
        <v>41.2471059</v>
      </c>
      <c r="N196" s="7">
        <f t="shared" si="149"/>
        <v>237.6618959</v>
      </c>
    </row>
    <row r="197" ht="15.75" hidden="1" customHeight="1">
      <c r="A197" s="5" t="s">
        <v>31</v>
      </c>
      <c r="B197" s="14">
        <v>40953.0</v>
      </c>
      <c r="C197" s="12">
        <v>41084.0</v>
      </c>
      <c r="D197" s="5">
        <f t="shared" si="140"/>
        <v>0.131</v>
      </c>
      <c r="E197" s="5">
        <f t="shared" si="150"/>
        <v>39.14</v>
      </c>
      <c r="F197" s="5">
        <v>55.0</v>
      </c>
      <c r="G197" s="7">
        <f t="shared" si="142"/>
        <v>337.89092</v>
      </c>
      <c r="H197" s="7">
        <f t="shared" si="143"/>
        <v>13.06201</v>
      </c>
      <c r="I197" s="7">
        <f t="shared" si="144"/>
        <v>64.845</v>
      </c>
      <c r="J197" s="7">
        <f t="shared" si="145"/>
        <v>163.0164</v>
      </c>
      <c r="K197" s="7">
        <f t="shared" si="146"/>
        <v>3.7073</v>
      </c>
      <c r="L197" s="13">
        <f t="shared" si="147"/>
        <v>676.66163</v>
      </c>
      <c r="M197" s="7">
        <f t="shared" si="148"/>
        <v>142.0989423</v>
      </c>
      <c r="N197" s="7">
        <f t="shared" si="149"/>
        <v>818.7605723</v>
      </c>
    </row>
    <row r="198" ht="15.75" hidden="1" customHeight="1">
      <c r="A198" s="5"/>
      <c r="C198" s="4"/>
      <c r="D198" s="5"/>
      <c r="G198" s="5"/>
      <c r="L198" s="11">
        <f>SUM(L187:L197)</f>
        <v>11612.27512</v>
      </c>
      <c r="M198" s="7">
        <f t="shared" si="148"/>
        <v>2438.577775</v>
      </c>
      <c r="N198" s="7">
        <f t="shared" si="149"/>
        <v>14050.8529</v>
      </c>
    </row>
    <row r="199" ht="15.75" hidden="1" customHeight="1">
      <c r="A199" s="5"/>
      <c r="C199" s="4"/>
      <c r="D199" s="5"/>
      <c r="G199" s="5"/>
    </row>
    <row r="200" ht="15.75" hidden="1" customHeight="1">
      <c r="A200" s="5" t="s">
        <v>36</v>
      </c>
      <c r="C200" s="4"/>
      <c r="D200" s="5"/>
      <c r="G200" s="5"/>
    </row>
    <row r="201" ht="15.75" hidden="1" customHeight="1">
      <c r="A201" s="5" t="s">
        <v>11</v>
      </c>
      <c r="B201" s="14">
        <v>1462.0</v>
      </c>
      <c r="C201" s="12">
        <v>1608.0</v>
      </c>
      <c r="D201" s="5">
        <f t="shared" ref="D201:D211" si="151">(C201-B201)/1000</f>
        <v>0.146</v>
      </c>
      <c r="E201" s="5">
        <f t="shared" ref="E201:E208" si="152">29.8+9.34</f>
        <v>39.14</v>
      </c>
      <c r="F201" s="5">
        <v>55.0</v>
      </c>
      <c r="G201" s="7">
        <f t="shared" ref="G201:G211" si="153">D201*$G$2</f>
        <v>376.58072</v>
      </c>
      <c r="H201" s="7">
        <f t="shared" ref="H201:H211" si="154">D201*$H$2</f>
        <v>14.55766</v>
      </c>
      <c r="I201" s="7">
        <f t="shared" ref="I201:I211" si="155">D201*$I$2</f>
        <v>72.27</v>
      </c>
      <c r="J201" s="7">
        <f t="shared" ref="J201:J211" si="156">D201*$J$2</f>
        <v>181.6824</v>
      </c>
      <c r="K201" s="7">
        <f t="shared" ref="K201:K211" si="157">D201*$K$2</f>
        <v>4.1318</v>
      </c>
      <c r="L201" s="7">
        <f t="shared" ref="L201:L211" si="158">SUM(E201:K201)</f>
        <v>743.36258</v>
      </c>
      <c r="M201" s="7">
        <f t="shared" ref="M201:M212" si="159">L201*0.21</f>
        <v>156.1061418</v>
      </c>
      <c r="N201" s="7">
        <f t="shared" ref="N201:N212" si="160">L201+M201</f>
        <v>899.4687218</v>
      </c>
    </row>
    <row r="202" ht="15.75" hidden="1" customHeight="1">
      <c r="A202" s="5" t="s">
        <v>12</v>
      </c>
      <c r="B202" s="14">
        <v>1146.0</v>
      </c>
      <c r="C202" s="12">
        <v>1232.0</v>
      </c>
      <c r="D202" s="5">
        <f t="shared" si="151"/>
        <v>0.086</v>
      </c>
      <c r="E202" s="5">
        <f t="shared" si="152"/>
        <v>39.14</v>
      </c>
      <c r="F202" s="5">
        <v>55.0</v>
      </c>
      <c r="G202" s="7">
        <f t="shared" si="153"/>
        <v>221.82152</v>
      </c>
      <c r="H202" s="7">
        <f t="shared" si="154"/>
        <v>8.57506</v>
      </c>
      <c r="I202" s="7">
        <f t="shared" si="155"/>
        <v>42.57</v>
      </c>
      <c r="J202" s="7">
        <f t="shared" si="156"/>
        <v>107.0184</v>
      </c>
      <c r="K202" s="7">
        <f t="shared" si="157"/>
        <v>2.4338</v>
      </c>
      <c r="L202" s="7">
        <f t="shared" si="158"/>
        <v>476.55878</v>
      </c>
      <c r="M202" s="7">
        <f t="shared" si="159"/>
        <v>100.0773438</v>
      </c>
      <c r="N202" s="7">
        <f t="shared" si="160"/>
        <v>576.6361238</v>
      </c>
    </row>
    <row r="203" ht="15.75" hidden="1" customHeight="1">
      <c r="A203" s="5" t="s">
        <v>13</v>
      </c>
      <c r="B203" s="14">
        <v>1325.0</v>
      </c>
      <c r="C203" s="12">
        <v>1410.0</v>
      </c>
      <c r="D203" s="5">
        <f t="shared" si="151"/>
        <v>0.085</v>
      </c>
      <c r="E203" s="5">
        <f t="shared" si="152"/>
        <v>39.14</v>
      </c>
      <c r="F203" s="5">
        <v>55.0</v>
      </c>
      <c r="G203" s="7">
        <f t="shared" si="153"/>
        <v>219.2422</v>
      </c>
      <c r="H203" s="7">
        <f t="shared" si="154"/>
        <v>8.47535</v>
      </c>
      <c r="I203" s="7">
        <f t="shared" si="155"/>
        <v>42.075</v>
      </c>
      <c r="J203" s="7">
        <f t="shared" si="156"/>
        <v>105.774</v>
      </c>
      <c r="K203" s="7">
        <f t="shared" si="157"/>
        <v>2.4055</v>
      </c>
      <c r="L203" s="7">
        <f t="shared" si="158"/>
        <v>472.11205</v>
      </c>
      <c r="M203" s="7">
        <f t="shared" si="159"/>
        <v>99.1435305</v>
      </c>
      <c r="N203" s="7">
        <f t="shared" si="160"/>
        <v>571.2555805</v>
      </c>
    </row>
    <row r="204" ht="15.75" hidden="1" customHeight="1">
      <c r="A204" s="5" t="s">
        <v>14</v>
      </c>
      <c r="B204" s="14">
        <v>1065.0</v>
      </c>
      <c r="C204" s="12">
        <v>1133.0</v>
      </c>
      <c r="D204" s="5">
        <f t="shared" si="151"/>
        <v>0.068</v>
      </c>
      <c r="E204" s="5">
        <f t="shared" si="152"/>
        <v>39.14</v>
      </c>
      <c r="F204" s="5">
        <v>55.0</v>
      </c>
      <c r="G204" s="7">
        <f t="shared" si="153"/>
        <v>175.39376</v>
      </c>
      <c r="H204" s="7">
        <f t="shared" si="154"/>
        <v>6.78028</v>
      </c>
      <c r="I204" s="7">
        <f t="shared" si="155"/>
        <v>33.66</v>
      </c>
      <c r="J204" s="7">
        <f t="shared" si="156"/>
        <v>84.6192</v>
      </c>
      <c r="K204" s="7">
        <f t="shared" si="157"/>
        <v>1.9244</v>
      </c>
      <c r="L204" s="7">
        <f t="shared" si="158"/>
        <v>396.51764</v>
      </c>
      <c r="M204" s="7">
        <f t="shared" si="159"/>
        <v>83.2687044</v>
      </c>
      <c r="N204" s="7">
        <f t="shared" si="160"/>
        <v>479.7863444</v>
      </c>
    </row>
    <row r="205" ht="15.75" hidden="1" customHeight="1">
      <c r="A205" s="5" t="s">
        <v>15</v>
      </c>
      <c r="B205" s="14">
        <v>1205.0</v>
      </c>
      <c r="C205" s="12">
        <v>1267.0</v>
      </c>
      <c r="D205" s="5">
        <f t="shared" si="151"/>
        <v>0.062</v>
      </c>
      <c r="E205" s="5">
        <f t="shared" si="152"/>
        <v>39.14</v>
      </c>
      <c r="F205" s="5">
        <v>55.0</v>
      </c>
      <c r="G205" s="7">
        <f t="shared" si="153"/>
        <v>159.91784</v>
      </c>
      <c r="H205" s="7">
        <f t="shared" si="154"/>
        <v>6.18202</v>
      </c>
      <c r="I205" s="7">
        <f t="shared" si="155"/>
        <v>30.69</v>
      </c>
      <c r="J205" s="7">
        <f t="shared" si="156"/>
        <v>77.1528</v>
      </c>
      <c r="K205" s="7">
        <f t="shared" si="157"/>
        <v>1.7546</v>
      </c>
      <c r="L205" s="7">
        <f t="shared" si="158"/>
        <v>369.83726</v>
      </c>
      <c r="M205" s="7">
        <f t="shared" si="159"/>
        <v>77.6658246</v>
      </c>
      <c r="N205" s="7">
        <f t="shared" si="160"/>
        <v>447.5030846</v>
      </c>
    </row>
    <row r="206" ht="15.75" hidden="1" customHeight="1">
      <c r="A206" s="5" t="s">
        <v>16</v>
      </c>
      <c r="B206" s="14">
        <v>978.0</v>
      </c>
      <c r="C206" s="12">
        <v>1046.0</v>
      </c>
      <c r="D206" s="5">
        <f t="shared" si="151"/>
        <v>0.068</v>
      </c>
      <c r="E206" s="5">
        <f t="shared" si="152"/>
        <v>39.14</v>
      </c>
      <c r="F206" s="5">
        <v>55.0</v>
      </c>
      <c r="G206" s="7">
        <f t="shared" si="153"/>
        <v>175.39376</v>
      </c>
      <c r="H206" s="7">
        <f t="shared" si="154"/>
        <v>6.78028</v>
      </c>
      <c r="I206" s="7">
        <f t="shared" si="155"/>
        <v>33.66</v>
      </c>
      <c r="J206" s="7">
        <f t="shared" si="156"/>
        <v>84.6192</v>
      </c>
      <c r="K206" s="7">
        <f t="shared" si="157"/>
        <v>1.9244</v>
      </c>
      <c r="L206" s="7">
        <f t="shared" si="158"/>
        <v>396.51764</v>
      </c>
      <c r="M206" s="7">
        <f t="shared" si="159"/>
        <v>83.2687044</v>
      </c>
      <c r="N206" s="7">
        <f t="shared" si="160"/>
        <v>479.7863444</v>
      </c>
    </row>
    <row r="207" ht="15.75" hidden="1" customHeight="1">
      <c r="A207" s="5" t="s">
        <v>17</v>
      </c>
      <c r="B207" s="14">
        <v>1011.0</v>
      </c>
      <c r="C207" s="12">
        <v>1087.0</v>
      </c>
      <c r="D207" s="5">
        <f t="shared" si="151"/>
        <v>0.076</v>
      </c>
      <c r="E207" s="5">
        <f t="shared" si="152"/>
        <v>39.14</v>
      </c>
      <c r="F207" s="5">
        <v>55.0</v>
      </c>
      <c r="G207" s="7">
        <f t="shared" si="153"/>
        <v>196.02832</v>
      </c>
      <c r="H207" s="7">
        <f t="shared" si="154"/>
        <v>7.57796</v>
      </c>
      <c r="I207" s="7">
        <f t="shared" si="155"/>
        <v>37.62</v>
      </c>
      <c r="J207" s="7">
        <f t="shared" si="156"/>
        <v>94.5744</v>
      </c>
      <c r="K207" s="7">
        <f t="shared" si="157"/>
        <v>2.1508</v>
      </c>
      <c r="L207" s="7">
        <f t="shared" si="158"/>
        <v>432.09148</v>
      </c>
      <c r="M207" s="7">
        <f t="shared" si="159"/>
        <v>90.7392108</v>
      </c>
      <c r="N207" s="7">
        <f t="shared" si="160"/>
        <v>522.8306908</v>
      </c>
    </row>
    <row r="208" ht="15.75" hidden="1" customHeight="1">
      <c r="A208" s="5" t="s">
        <v>18</v>
      </c>
      <c r="B208" s="14">
        <v>1088.0</v>
      </c>
      <c r="C208" s="12">
        <v>1178.0</v>
      </c>
      <c r="D208" s="5">
        <f t="shared" si="151"/>
        <v>0.09</v>
      </c>
      <c r="E208" s="5">
        <f t="shared" si="152"/>
        <v>39.14</v>
      </c>
      <c r="F208" s="5">
        <v>55.0</v>
      </c>
      <c r="G208" s="7">
        <f t="shared" si="153"/>
        <v>232.1388</v>
      </c>
      <c r="H208" s="7">
        <f t="shared" si="154"/>
        <v>8.9739</v>
      </c>
      <c r="I208" s="7">
        <f t="shared" si="155"/>
        <v>44.55</v>
      </c>
      <c r="J208" s="7">
        <f t="shared" si="156"/>
        <v>111.996</v>
      </c>
      <c r="K208" s="7">
        <f t="shared" si="157"/>
        <v>2.547</v>
      </c>
      <c r="L208" s="7">
        <f t="shared" si="158"/>
        <v>494.3457</v>
      </c>
      <c r="M208" s="7">
        <f t="shared" si="159"/>
        <v>103.812597</v>
      </c>
      <c r="N208" s="7">
        <f t="shared" si="160"/>
        <v>598.158297</v>
      </c>
    </row>
    <row r="209" ht="15.75" hidden="1" customHeight="1">
      <c r="A209" s="5" t="s">
        <v>19</v>
      </c>
      <c r="B209" s="14">
        <v>46855.0</v>
      </c>
      <c r="C209" s="12">
        <v>48154.0</v>
      </c>
      <c r="D209" s="5">
        <f t="shared" si="151"/>
        <v>1.299</v>
      </c>
      <c r="E209" s="5">
        <v>169.69</v>
      </c>
      <c r="F209" s="5">
        <v>78.05</v>
      </c>
      <c r="G209" s="7">
        <f t="shared" si="153"/>
        <v>3350.53668</v>
      </c>
      <c r="H209" s="7">
        <f t="shared" si="154"/>
        <v>129.52329</v>
      </c>
      <c r="I209" s="7">
        <f t="shared" si="155"/>
        <v>643.005</v>
      </c>
      <c r="J209" s="7">
        <f t="shared" si="156"/>
        <v>1616.4756</v>
      </c>
      <c r="K209" s="7">
        <f t="shared" si="157"/>
        <v>36.7617</v>
      </c>
      <c r="L209" s="7">
        <f t="shared" si="158"/>
        <v>6024.04227</v>
      </c>
      <c r="M209" s="7">
        <f t="shared" si="159"/>
        <v>1265.048877</v>
      </c>
      <c r="N209" s="7">
        <f t="shared" si="160"/>
        <v>7289.091147</v>
      </c>
    </row>
    <row r="210" ht="15.75" hidden="1" customHeight="1">
      <c r="A210" s="5" t="s">
        <v>30</v>
      </c>
      <c r="B210" s="14">
        <v>8871.0</v>
      </c>
      <c r="C210" s="12">
        <v>8905.0</v>
      </c>
      <c r="D210" s="5">
        <f t="shared" si="151"/>
        <v>0.034</v>
      </c>
      <c r="E210" s="5">
        <f t="shared" ref="E210:E211" si="161">29.8+9.34</f>
        <v>39.14</v>
      </c>
      <c r="F210" s="5">
        <v>55.0</v>
      </c>
      <c r="G210" s="7">
        <f t="shared" si="153"/>
        <v>87.69688</v>
      </c>
      <c r="H210" s="7">
        <f t="shared" si="154"/>
        <v>3.39014</v>
      </c>
      <c r="I210" s="7">
        <f t="shared" si="155"/>
        <v>16.83</v>
      </c>
      <c r="J210" s="7">
        <f t="shared" si="156"/>
        <v>42.3096</v>
      </c>
      <c r="K210" s="7">
        <f t="shared" si="157"/>
        <v>0.9622</v>
      </c>
      <c r="L210" s="7">
        <f t="shared" si="158"/>
        <v>245.32882</v>
      </c>
      <c r="M210" s="7">
        <f t="shared" si="159"/>
        <v>51.5190522</v>
      </c>
      <c r="N210" s="7">
        <f t="shared" si="160"/>
        <v>296.8478722</v>
      </c>
    </row>
    <row r="211" ht="15.75" hidden="1" customHeight="1">
      <c r="A211" s="5" t="s">
        <v>31</v>
      </c>
      <c r="B211" s="14">
        <v>41084.0</v>
      </c>
      <c r="C211" s="12">
        <v>41247.0</v>
      </c>
      <c r="D211" s="5">
        <f t="shared" si="151"/>
        <v>0.163</v>
      </c>
      <c r="E211" s="5">
        <f t="shared" si="161"/>
        <v>39.14</v>
      </c>
      <c r="F211" s="5">
        <v>55.0</v>
      </c>
      <c r="G211" s="7">
        <f t="shared" si="153"/>
        <v>420.42916</v>
      </c>
      <c r="H211" s="7">
        <f t="shared" si="154"/>
        <v>16.25273</v>
      </c>
      <c r="I211" s="7">
        <f t="shared" si="155"/>
        <v>80.685</v>
      </c>
      <c r="J211" s="7">
        <f t="shared" si="156"/>
        <v>202.8372</v>
      </c>
      <c r="K211" s="7">
        <f t="shared" si="157"/>
        <v>4.6129</v>
      </c>
      <c r="L211" s="13">
        <f t="shared" si="158"/>
        <v>818.95699</v>
      </c>
      <c r="M211" s="7">
        <f t="shared" si="159"/>
        <v>171.9809679</v>
      </c>
      <c r="N211" s="7">
        <f t="shared" si="160"/>
        <v>990.9379579</v>
      </c>
    </row>
    <row r="212" ht="15.75" hidden="1" customHeight="1">
      <c r="A212" s="5"/>
      <c r="C212" s="4"/>
      <c r="D212" s="5"/>
      <c r="G212" s="5"/>
      <c r="L212" s="11">
        <f>SUM(L201:L211)</f>
        <v>10869.67121</v>
      </c>
      <c r="M212" s="7">
        <f t="shared" si="159"/>
        <v>2282.630954</v>
      </c>
      <c r="N212" s="7">
        <f t="shared" si="160"/>
        <v>13152.30216</v>
      </c>
    </row>
    <row r="213" ht="15.75" hidden="1" customHeight="1">
      <c r="A213" s="5"/>
      <c r="C213" s="4"/>
      <c r="D213" s="5"/>
      <c r="G213" s="5"/>
    </row>
    <row r="214" ht="15.75" hidden="1" customHeight="1">
      <c r="A214" s="5" t="s">
        <v>37</v>
      </c>
      <c r="C214" s="4"/>
      <c r="D214" s="5"/>
      <c r="G214" s="5"/>
    </row>
    <row r="215" ht="15.75" hidden="1" customHeight="1">
      <c r="A215" s="5" t="s">
        <v>11</v>
      </c>
      <c r="B215" s="14">
        <v>1608.0</v>
      </c>
      <c r="C215" s="12">
        <v>1724.0</v>
      </c>
      <c r="D215" s="5">
        <f t="shared" ref="D215:D225" si="162">(C215-B215)/1000</f>
        <v>0.116</v>
      </c>
      <c r="E215" s="5">
        <f t="shared" ref="E215:E222" si="163">29.8+9.34</f>
        <v>39.14</v>
      </c>
      <c r="F215" s="5">
        <v>55.0</v>
      </c>
      <c r="G215" s="7">
        <f t="shared" ref="G215:G225" si="164">D215*$G$2</f>
        <v>299.20112</v>
      </c>
      <c r="H215" s="7">
        <f t="shared" ref="H215:H225" si="165">D215*$H$2</f>
        <v>11.56636</v>
      </c>
      <c r="I215" s="7">
        <f t="shared" ref="I215:I225" si="166">D215*$I$2</f>
        <v>57.42</v>
      </c>
      <c r="J215" s="7">
        <f t="shared" ref="J215:J225" si="167">D215*$J$2</f>
        <v>144.3504</v>
      </c>
      <c r="K215" s="7">
        <f t="shared" ref="K215:K225" si="168">D215*$K$2</f>
        <v>3.2828</v>
      </c>
      <c r="L215" s="7">
        <f t="shared" ref="L215:L225" si="169">SUM(E215:K215)</f>
        <v>609.96068</v>
      </c>
      <c r="M215" s="7">
        <f t="shared" ref="M215:M226" si="170">L215*0.21</f>
        <v>128.0917428</v>
      </c>
      <c r="N215" s="7">
        <f t="shared" ref="N215:N226" si="171">L215+M215</f>
        <v>738.0524228</v>
      </c>
    </row>
    <row r="216" ht="15.75" hidden="1" customHeight="1">
      <c r="A216" s="5" t="s">
        <v>12</v>
      </c>
      <c r="B216" s="14">
        <v>1232.0</v>
      </c>
      <c r="C216" s="12">
        <v>1323.0</v>
      </c>
      <c r="D216" s="5">
        <f t="shared" si="162"/>
        <v>0.091</v>
      </c>
      <c r="E216" s="5">
        <f t="shared" si="163"/>
        <v>39.14</v>
      </c>
      <c r="F216" s="5">
        <v>55.0</v>
      </c>
      <c r="G216" s="7">
        <f t="shared" si="164"/>
        <v>234.71812</v>
      </c>
      <c r="H216" s="7">
        <f t="shared" si="165"/>
        <v>9.07361</v>
      </c>
      <c r="I216" s="7">
        <f t="shared" si="166"/>
        <v>45.045</v>
      </c>
      <c r="J216" s="7">
        <f t="shared" si="167"/>
        <v>113.2404</v>
      </c>
      <c r="K216" s="7">
        <f t="shared" si="168"/>
        <v>2.5753</v>
      </c>
      <c r="L216" s="7">
        <f t="shared" si="169"/>
        <v>498.79243</v>
      </c>
      <c r="M216" s="7">
        <f t="shared" si="170"/>
        <v>104.7464103</v>
      </c>
      <c r="N216" s="7">
        <f t="shared" si="171"/>
        <v>603.5388403</v>
      </c>
    </row>
    <row r="217" ht="15.75" hidden="1" customHeight="1">
      <c r="A217" s="5" t="s">
        <v>13</v>
      </c>
      <c r="B217" s="14">
        <v>1410.0</v>
      </c>
      <c r="C217" s="12">
        <v>1511.0</v>
      </c>
      <c r="D217" s="5">
        <f t="shared" si="162"/>
        <v>0.101</v>
      </c>
      <c r="E217" s="5">
        <f t="shared" si="163"/>
        <v>39.14</v>
      </c>
      <c r="F217" s="5">
        <v>55.0</v>
      </c>
      <c r="G217" s="7">
        <f t="shared" si="164"/>
        <v>260.51132</v>
      </c>
      <c r="H217" s="7">
        <f t="shared" si="165"/>
        <v>10.07071</v>
      </c>
      <c r="I217" s="7">
        <f t="shared" si="166"/>
        <v>49.995</v>
      </c>
      <c r="J217" s="7">
        <f t="shared" si="167"/>
        <v>125.6844</v>
      </c>
      <c r="K217" s="7">
        <f t="shared" si="168"/>
        <v>2.8583</v>
      </c>
      <c r="L217" s="7">
        <f t="shared" si="169"/>
        <v>543.25973</v>
      </c>
      <c r="M217" s="7">
        <f t="shared" si="170"/>
        <v>114.0845433</v>
      </c>
      <c r="N217" s="7">
        <f t="shared" si="171"/>
        <v>657.3442733</v>
      </c>
    </row>
    <row r="218" ht="15.75" hidden="1" customHeight="1">
      <c r="A218" s="5" t="s">
        <v>14</v>
      </c>
      <c r="B218" s="14">
        <v>1133.0</v>
      </c>
      <c r="C218" s="12">
        <v>1264.0</v>
      </c>
      <c r="D218" s="5">
        <f t="shared" si="162"/>
        <v>0.131</v>
      </c>
      <c r="E218" s="5">
        <f t="shared" si="163"/>
        <v>39.14</v>
      </c>
      <c r="F218" s="5">
        <v>55.0</v>
      </c>
      <c r="G218" s="7">
        <f t="shared" si="164"/>
        <v>337.89092</v>
      </c>
      <c r="H218" s="7">
        <f t="shared" si="165"/>
        <v>13.06201</v>
      </c>
      <c r="I218" s="7">
        <f t="shared" si="166"/>
        <v>64.845</v>
      </c>
      <c r="J218" s="7">
        <f t="shared" si="167"/>
        <v>163.0164</v>
      </c>
      <c r="K218" s="7">
        <f t="shared" si="168"/>
        <v>3.7073</v>
      </c>
      <c r="L218" s="7">
        <f t="shared" si="169"/>
        <v>676.66163</v>
      </c>
      <c r="M218" s="7">
        <f t="shared" si="170"/>
        <v>142.0989423</v>
      </c>
      <c r="N218" s="7">
        <f t="shared" si="171"/>
        <v>818.7605723</v>
      </c>
    </row>
    <row r="219" ht="15.75" hidden="1" customHeight="1">
      <c r="A219" s="5" t="s">
        <v>15</v>
      </c>
      <c r="B219" s="14">
        <v>1267.0</v>
      </c>
      <c r="C219" s="12">
        <v>1345.0</v>
      </c>
      <c r="D219" s="5">
        <f t="shared" si="162"/>
        <v>0.078</v>
      </c>
      <c r="E219" s="5">
        <f t="shared" si="163"/>
        <v>39.14</v>
      </c>
      <c r="F219" s="5">
        <v>55.0</v>
      </c>
      <c r="G219" s="7">
        <f t="shared" si="164"/>
        <v>201.18696</v>
      </c>
      <c r="H219" s="7">
        <f t="shared" si="165"/>
        <v>7.77738</v>
      </c>
      <c r="I219" s="7">
        <f t="shared" si="166"/>
        <v>38.61</v>
      </c>
      <c r="J219" s="7">
        <f t="shared" si="167"/>
        <v>97.0632</v>
      </c>
      <c r="K219" s="7">
        <f t="shared" si="168"/>
        <v>2.2074</v>
      </c>
      <c r="L219" s="7">
        <f t="shared" si="169"/>
        <v>440.98494</v>
      </c>
      <c r="M219" s="7">
        <f t="shared" si="170"/>
        <v>92.6068374</v>
      </c>
      <c r="N219" s="7">
        <f t="shared" si="171"/>
        <v>533.5917774</v>
      </c>
    </row>
    <row r="220" ht="15.75" hidden="1" customHeight="1">
      <c r="A220" s="5" t="s">
        <v>16</v>
      </c>
      <c r="B220" s="14">
        <v>1046.0</v>
      </c>
      <c r="C220" s="12">
        <v>1116.0</v>
      </c>
      <c r="D220" s="5">
        <f t="shared" si="162"/>
        <v>0.07</v>
      </c>
      <c r="E220" s="5">
        <f t="shared" si="163"/>
        <v>39.14</v>
      </c>
      <c r="F220" s="5">
        <v>55.0</v>
      </c>
      <c r="G220" s="7">
        <f t="shared" si="164"/>
        <v>180.5524</v>
      </c>
      <c r="H220" s="7">
        <f t="shared" si="165"/>
        <v>6.9797</v>
      </c>
      <c r="I220" s="7">
        <f t="shared" si="166"/>
        <v>34.65</v>
      </c>
      <c r="J220" s="7">
        <f t="shared" si="167"/>
        <v>87.108</v>
      </c>
      <c r="K220" s="7">
        <f t="shared" si="168"/>
        <v>1.981</v>
      </c>
      <c r="L220" s="7">
        <f t="shared" si="169"/>
        <v>405.4111</v>
      </c>
      <c r="M220" s="7">
        <f t="shared" si="170"/>
        <v>85.136331</v>
      </c>
      <c r="N220" s="7">
        <f t="shared" si="171"/>
        <v>490.547431</v>
      </c>
    </row>
    <row r="221" ht="15.75" hidden="1" customHeight="1">
      <c r="A221" s="5" t="s">
        <v>17</v>
      </c>
      <c r="B221" s="14">
        <v>1087.0</v>
      </c>
      <c r="C221" s="12">
        <v>1173.0</v>
      </c>
      <c r="D221" s="5">
        <f t="shared" si="162"/>
        <v>0.086</v>
      </c>
      <c r="E221" s="5">
        <f t="shared" si="163"/>
        <v>39.14</v>
      </c>
      <c r="F221" s="5">
        <v>55.0</v>
      </c>
      <c r="G221" s="7">
        <f t="shared" si="164"/>
        <v>221.82152</v>
      </c>
      <c r="H221" s="7">
        <f t="shared" si="165"/>
        <v>8.57506</v>
      </c>
      <c r="I221" s="7">
        <f t="shared" si="166"/>
        <v>42.57</v>
      </c>
      <c r="J221" s="7">
        <f t="shared" si="167"/>
        <v>107.0184</v>
      </c>
      <c r="K221" s="7">
        <f t="shared" si="168"/>
        <v>2.4338</v>
      </c>
      <c r="L221" s="7">
        <f t="shared" si="169"/>
        <v>476.55878</v>
      </c>
      <c r="M221" s="7">
        <f t="shared" si="170"/>
        <v>100.0773438</v>
      </c>
      <c r="N221" s="7">
        <f t="shared" si="171"/>
        <v>576.6361238</v>
      </c>
    </row>
    <row r="222" ht="15.75" hidden="1" customHeight="1">
      <c r="A222" s="5" t="s">
        <v>18</v>
      </c>
      <c r="B222" s="14">
        <v>1178.0</v>
      </c>
      <c r="C222" s="12">
        <v>1255.0</v>
      </c>
      <c r="D222" s="5">
        <f t="shared" si="162"/>
        <v>0.077</v>
      </c>
      <c r="E222" s="5">
        <f t="shared" si="163"/>
        <v>39.14</v>
      </c>
      <c r="F222" s="5">
        <v>55.0</v>
      </c>
      <c r="G222" s="7">
        <f t="shared" si="164"/>
        <v>198.60764</v>
      </c>
      <c r="H222" s="7">
        <f t="shared" si="165"/>
        <v>7.67767</v>
      </c>
      <c r="I222" s="7">
        <f t="shared" si="166"/>
        <v>38.115</v>
      </c>
      <c r="J222" s="7">
        <f t="shared" si="167"/>
        <v>95.8188</v>
      </c>
      <c r="K222" s="7">
        <f t="shared" si="168"/>
        <v>2.1791</v>
      </c>
      <c r="L222" s="7">
        <f t="shared" si="169"/>
        <v>436.53821</v>
      </c>
      <c r="M222" s="7">
        <f t="shared" si="170"/>
        <v>91.6730241</v>
      </c>
      <c r="N222" s="7">
        <f t="shared" si="171"/>
        <v>528.2112341</v>
      </c>
    </row>
    <row r="223" ht="15.75" hidden="1" customHeight="1">
      <c r="A223" s="5" t="s">
        <v>19</v>
      </c>
      <c r="B223" s="14">
        <v>48154.0</v>
      </c>
      <c r="C223" s="12">
        <v>49739.0</v>
      </c>
      <c r="D223" s="5">
        <f t="shared" si="162"/>
        <v>1.585</v>
      </c>
      <c r="E223" s="5">
        <v>169.69</v>
      </c>
      <c r="F223" s="5">
        <v>78.05</v>
      </c>
      <c r="G223" s="7">
        <f t="shared" si="164"/>
        <v>4088.2222</v>
      </c>
      <c r="H223" s="7">
        <f t="shared" si="165"/>
        <v>158.04035</v>
      </c>
      <c r="I223" s="7">
        <f t="shared" si="166"/>
        <v>784.575</v>
      </c>
      <c r="J223" s="7">
        <f t="shared" si="167"/>
        <v>1972.374</v>
      </c>
      <c r="K223" s="7">
        <f t="shared" si="168"/>
        <v>44.8555</v>
      </c>
      <c r="L223" s="7">
        <f t="shared" si="169"/>
        <v>7295.80705</v>
      </c>
      <c r="M223" s="7">
        <f t="shared" si="170"/>
        <v>1532.119481</v>
      </c>
      <c r="N223" s="7">
        <f t="shared" si="171"/>
        <v>8827.926531</v>
      </c>
    </row>
    <row r="224" ht="15.75" hidden="1" customHeight="1">
      <c r="A224" s="5" t="s">
        <v>30</v>
      </c>
      <c r="B224" s="14">
        <v>8905.0</v>
      </c>
      <c r="C224" s="12">
        <v>8975.0</v>
      </c>
      <c r="D224" s="5">
        <f t="shared" si="162"/>
        <v>0.07</v>
      </c>
      <c r="E224" s="5">
        <f t="shared" ref="E224:E225" si="172">29.8+9.34</f>
        <v>39.14</v>
      </c>
      <c r="F224" s="5">
        <v>55.0</v>
      </c>
      <c r="G224" s="7">
        <f t="shared" si="164"/>
        <v>180.5524</v>
      </c>
      <c r="H224" s="7">
        <f t="shared" si="165"/>
        <v>6.9797</v>
      </c>
      <c r="I224" s="7">
        <f t="shared" si="166"/>
        <v>34.65</v>
      </c>
      <c r="J224" s="7">
        <f t="shared" si="167"/>
        <v>87.108</v>
      </c>
      <c r="K224" s="7">
        <f t="shared" si="168"/>
        <v>1.981</v>
      </c>
      <c r="L224" s="7">
        <f t="shared" si="169"/>
        <v>405.4111</v>
      </c>
      <c r="M224" s="7">
        <f t="shared" si="170"/>
        <v>85.136331</v>
      </c>
      <c r="N224" s="7">
        <f t="shared" si="171"/>
        <v>490.547431</v>
      </c>
    </row>
    <row r="225" ht="15.75" hidden="1" customHeight="1">
      <c r="A225" s="5" t="s">
        <v>31</v>
      </c>
      <c r="B225" s="14">
        <v>41247.0</v>
      </c>
      <c r="C225" s="12">
        <v>41561.0</v>
      </c>
      <c r="D225" s="5">
        <f t="shared" si="162"/>
        <v>0.314</v>
      </c>
      <c r="E225" s="5">
        <f t="shared" si="172"/>
        <v>39.14</v>
      </c>
      <c r="F225" s="5">
        <v>55.0</v>
      </c>
      <c r="G225" s="7">
        <f t="shared" si="164"/>
        <v>809.90648</v>
      </c>
      <c r="H225" s="7">
        <f t="shared" si="165"/>
        <v>31.30894</v>
      </c>
      <c r="I225" s="7">
        <f t="shared" si="166"/>
        <v>155.43</v>
      </c>
      <c r="J225" s="7">
        <f t="shared" si="167"/>
        <v>390.7416</v>
      </c>
      <c r="K225" s="7">
        <f t="shared" si="168"/>
        <v>8.8862</v>
      </c>
      <c r="L225" s="13">
        <f t="shared" si="169"/>
        <v>1490.41322</v>
      </c>
      <c r="M225" s="7">
        <f t="shared" si="170"/>
        <v>312.9867762</v>
      </c>
      <c r="N225" s="7">
        <f t="shared" si="171"/>
        <v>1803.399996</v>
      </c>
    </row>
    <row r="226" ht="15.75" hidden="1" customHeight="1">
      <c r="A226" s="5"/>
      <c r="C226" s="4"/>
      <c r="D226" s="5"/>
      <c r="G226" s="5"/>
      <c r="L226" s="18">
        <f>SUM(L215:L225)</f>
        <v>13279.79887</v>
      </c>
      <c r="M226" s="19">
        <f t="shared" si="170"/>
        <v>2788.757763</v>
      </c>
      <c r="N226" s="20">
        <f t="shared" si="171"/>
        <v>16068.55663</v>
      </c>
    </row>
    <row r="227" ht="15.75" hidden="1" customHeight="1">
      <c r="A227" s="5"/>
      <c r="C227" s="4"/>
      <c r="D227" s="5"/>
      <c r="G227" s="5"/>
    </row>
    <row r="228" ht="15.75" hidden="1" customHeight="1">
      <c r="A228" s="5" t="s">
        <v>38</v>
      </c>
      <c r="C228" s="4"/>
      <c r="D228" s="5"/>
      <c r="G228" s="5"/>
    </row>
    <row r="229" ht="15.75" hidden="1" customHeight="1">
      <c r="A229" s="5" t="s">
        <v>11</v>
      </c>
      <c r="B229" s="14">
        <v>1724.0</v>
      </c>
      <c r="C229" s="12">
        <v>1835.0</v>
      </c>
      <c r="D229" s="5">
        <f t="shared" ref="D229:D239" si="173">(C229-B229)/1000</f>
        <v>0.111</v>
      </c>
      <c r="E229" s="5">
        <f t="shared" ref="E229:E236" si="174">29.8+9.34</f>
        <v>39.14</v>
      </c>
      <c r="F229" s="5">
        <v>55.0</v>
      </c>
      <c r="G229" s="7">
        <f t="shared" ref="G229:G239" si="175">D229*$G$2</f>
        <v>286.30452</v>
      </c>
      <c r="H229" s="7">
        <f t="shared" ref="H229:H239" si="176">D229*$H$2</f>
        <v>11.06781</v>
      </c>
      <c r="I229" s="7">
        <f t="shared" ref="I229:I239" si="177">D229*$I$2</f>
        <v>54.945</v>
      </c>
      <c r="J229" s="7">
        <f t="shared" ref="J229:J239" si="178">D229*$J$2</f>
        <v>138.1284</v>
      </c>
      <c r="K229" s="7">
        <f t="shared" ref="K229:K239" si="179">D229*$K$2</f>
        <v>3.1413</v>
      </c>
      <c r="L229" s="7">
        <f t="shared" ref="L229:L239" si="180">SUM(E229:K229)</f>
        <v>587.72703</v>
      </c>
      <c r="M229" s="7">
        <f t="shared" ref="M229:M240" si="181">L229*0.21</f>
        <v>123.4226763</v>
      </c>
      <c r="N229" s="7">
        <f t="shared" ref="N229:N240" si="182">L229+M229</f>
        <v>711.1497063</v>
      </c>
    </row>
    <row r="230" ht="15.75" hidden="1" customHeight="1">
      <c r="A230" s="5" t="s">
        <v>12</v>
      </c>
      <c r="B230" s="14">
        <v>1323.0</v>
      </c>
      <c r="C230" s="12">
        <v>1430.0</v>
      </c>
      <c r="D230" s="5">
        <f t="shared" si="173"/>
        <v>0.107</v>
      </c>
      <c r="E230" s="5">
        <f t="shared" si="174"/>
        <v>39.14</v>
      </c>
      <c r="F230" s="5">
        <v>55.0</v>
      </c>
      <c r="G230" s="7">
        <f t="shared" si="175"/>
        <v>275.98724</v>
      </c>
      <c r="H230" s="7">
        <f t="shared" si="176"/>
        <v>10.66897</v>
      </c>
      <c r="I230" s="7">
        <f t="shared" si="177"/>
        <v>52.965</v>
      </c>
      <c r="J230" s="7">
        <f t="shared" si="178"/>
        <v>133.1508</v>
      </c>
      <c r="K230" s="7">
        <f t="shared" si="179"/>
        <v>3.0281</v>
      </c>
      <c r="L230" s="7">
        <f t="shared" si="180"/>
        <v>569.94011</v>
      </c>
      <c r="M230" s="7">
        <f t="shared" si="181"/>
        <v>119.6874231</v>
      </c>
      <c r="N230" s="7">
        <f t="shared" si="182"/>
        <v>689.6275331</v>
      </c>
    </row>
    <row r="231" ht="15.75" hidden="1" customHeight="1">
      <c r="A231" s="5" t="s">
        <v>13</v>
      </c>
      <c r="B231" s="14">
        <v>1511.0</v>
      </c>
      <c r="C231" s="12">
        <v>1738.0</v>
      </c>
      <c r="D231" s="5">
        <f t="shared" si="173"/>
        <v>0.227</v>
      </c>
      <c r="E231" s="5">
        <f t="shared" si="174"/>
        <v>39.14</v>
      </c>
      <c r="F231" s="5">
        <v>55.0</v>
      </c>
      <c r="G231" s="7">
        <f t="shared" si="175"/>
        <v>585.50564</v>
      </c>
      <c r="H231" s="7">
        <f t="shared" si="176"/>
        <v>22.63417</v>
      </c>
      <c r="I231" s="7">
        <f t="shared" si="177"/>
        <v>112.365</v>
      </c>
      <c r="J231" s="7">
        <f t="shared" si="178"/>
        <v>282.4788</v>
      </c>
      <c r="K231" s="7">
        <f t="shared" si="179"/>
        <v>6.4241</v>
      </c>
      <c r="L231" s="7">
        <f t="shared" si="180"/>
        <v>1103.54771</v>
      </c>
      <c r="M231" s="7">
        <f t="shared" si="181"/>
        <v>231.7450191</v>
      </c>
      <c r="N231" s="7">
        <f t="shared" si="182"/>
        <v>1335.292729</v>
      </c>
    </row>
    <row r="232" ht="15.75" hidden="1" customHeight="1">
      <c r="A232" s="5" t="s">
        <v>14</v>
      </c>
      <c r="B232" s="14">
        <v>1264.0</v>
      </c>
      <c r="C232" s="12">
        <v>1350.0</v>
      </c>
      <c r="D232" s="5">
        <f t="shared" si="173"/>
        <v>0.086</v>
      </c>
      <c r="E232" s="5">
        <f t="shared" si="174"/>
        <v>39.14</v>
      </c>
      <c r="F232" s="5">
        <v>55.0</v>
      </c>
      <c r="G232" s="7">
        <f t="shared" si="175"/>
        <v>221.82152</v>
      </c>
      <c r="H232" s="7">
        <f t="shared" si="176"/>
        <v>8.57506</v>
      </c>
      <c r="I232" s="7">
        <f t="shared" si="177"/>
        <v>42.57</v>
      </c>
      <c r="J232" s="7">
        <f t="shared" si="178"/>
        <v>107.0184</v>
      </c>
      <c r="K232" s="7">
        <f t="shared" si="179"/>
        <v>2.4338</v>
      </c>
      <c r="L232" s="7">
        <f t="shared" si="180"/>
        <v>476.55878</v>
      </c>
      <c r="M232" s="7">
        <f t="shared" si="181"/>
        <v>100.0773438</v>
      </c>
      <c r="N232" s="7">
        <f t="shared" si="182"/>
        <v>576.6361238</v>
      </c>
    </row>
    <row r="233" ht="15.75" hidden="1" customHeight="1">
      <c r="A233" s="5" t="s">
        <v>15</v>
      </c>
      <c r="B233" s="14">
        <v>1345.0</v>
      </c>
      <c r="C233" s="12">
        <v>1438.0</v>
      </c>
      <c r="D233" s="5">
        <f t="shared" si="173"/>
        <v>0.093</v>
      </c>
      <c r="E233" s="5">
        <f t="shared" si="174"/>
        <v>39.14</v>
      </c>
      <c r="F233" s="5">
        <v>55.0</v>
      </c>
      <c r="G233" s="7">
        <f t="shared" si="175"/>
        <v>239.87676</v>
      </c>
      <c r="H233" s="7">
        <f t="shared" si="176"/>
        <v>9.27303</v>
      </c>
      <c r="I233" s="7">
        <f t="shared" si="177"/>
        <v>46.035</v>
      </c>
      <c r="J233" s="7">
        <f t="shared" si="178"/>
        <v>115.7292</v>
      </c>
      <c r="K233" s="7">
        <f t="shared" si="179"/>
        <v>2.6319</v>
      </c>
      <c r="L233" s="7">
        <f t="shared" si="180"/>
        <v>507.68589</v>
      </c>
      <c r="M233" s="7">
        <f t="shared" si="181"/>
        <v>106.6140369</v>
      </c>
      <c r="N233" s="7">
        <f t="shared" si="182"/>
        <v>614.2999269</v>
      </c>
    </row>
    <row r="234" ht="15.75" hidden="1" customHeight="1">
      <c r="A234" s="5" t="s">
        <v>16</v>
      </c>
      <c r="B234" s="14">
        <v>1116.0</v>
      </c>
      <c r="C234" s="12">
        <v>1187.0</v>
      </c>
      <c r="D234" s="5">
        <f t="shared" si="173"/>
        <v>0.071</v>
      </c>
      <c r="E234" s="5">
        <f t="shared" si="174"/>
        <v>39.14</v>
      </c>
      <c r="F234" s="5">
        <v>55.0</v>
      </c>
      <c r="G234" s="7">
        <f t="shared" si="175"/>
        <v>183.13172</v>
      </c>
      <c r="H234" s="7">
        <f t="shared" si="176"/>
        <v>7.07941</v>
      </c>
      <c r="I234" s="7">
        <f t="shared" si="177"/>
        <v>35.145</v>
      </c>
      <c r="J234" s="7">
        <f t="shared" si="178"/>
        <v>88.3524</v>
      </c>
      <c r="K234" s="7">
        <f t="shared" si="179"/>
        <v>2.0093</v>
      </c>
      <c r="L234" s="7">
        <f t="shared" si="180"/>
        <v>409.85783</v>
      </c>
      <c r="M234" s="7">
        <f t="shared" si="181"/>
        <v>86.0701443</v>
      </c>
      <c r="N234" s="7">
        <f t="shared" si="182"/>
        <v>495.9279743</v>
      </c>
    </row>
    <row r="235" ht="15.75" hidden="1" customHeight="1">
      <c r="A235" s="5" t="s">
        <v>17</v>
      </c>
      <c r="B235" s="14">
        <v>1173.0</v>
      </c>
      <c r="C235" s="12">
        <v>1322.0</v>
      </c>
      <c r="D235" s="5">
        <f t="shared" si="173"/>
        <v>0.149</v>
      </c>
      <c r="E235" s="5">
        <f t="shared" si="174"/>
        <v>39.14</v>
      </c>
      <c r="F235" s="5">
        <v>55.0</v>
      </c>
      <c r="G235" s="7">
        <f t="shared" si="175"/>
        <v>384.31868</v>
      </c>
      <c r="H235" s="7">
        <f t="shared" si="176"/>
        <v>14.85679</v>
      </c>
      <c r="I235" s="7">
        <f t="shared" si="177"/>
        <v>73.755</v>
      </c>
      <c r="J235" s="7">
        <f t="shared" si="178"/>
        <v>185.4156</v>
      </c>
      <c r="K235" s="7">
        <f t="shared" si="179"/>
        <v>4.2167</v>
      </c>
      <c r="L235" s="7">
        <f t="shared" si="180"/>
        <v>756.70277</v>
      </c>
      <c r="M235" s="7">
        <f t="shared" si="181"/>
        <v>158.9075817</v>
      </c>
      <c r="N235" s="7">
        <f t="shared" si="182"/>
        <v>915.6103517</v>
      </c>
    </row>
    <row r="236" ht="15.75" hidden="1" customHeight="1">
      <c r="A236" s="5" t="s">
        <v>18</v>
      </c>
      <c r="B236" s="14">
        <v>1255.0</v>
      </c>
      <c r="C236" s="12">
        <v>1340.0</v>
      </c>
      <c r="D236" s="5">
        <f t="shared" si="173"/>
        <v>0.085</v>
      </c>
      <c r="E236" s="5">
        <f t="shared" si="174"/>
        <v>39.14</v>
      </c>
      <c r="F236" s="5">
        <v>55.0</v>
      </c>
      <c r="G236" s="7">
        <f t="shared" si="175"/>
        <v>219.2422</v>
      </c>
      <c r="H236" s="7">
        <f t="shared" si="176"/>
        <v>8.47535</v>
      </c>
      <c r="I236" s="7">
        <f t="shared" si="177"/>
        <v>42.075</v>
      </c>
      <c r="J236" s="7">
        <f t="shared" si="178"/>
        <v>105.774</v>
      </c>
      <c r="K236" s="7">
        <f t="shared" si="179"/>
        <v>2.4055</v>
      </c>
      <c r="L236" s="7">
        <f t="shared" si="180"/>
        <v>472.11205</v>
      </c>
      <c r="M236" s="7">
        <f t="shared" si="181"/>
        <v>99.1435305</v>
      </c>
      <c r="N236" s="7">
        <f t="shared" si="182"/>
        <v>571.2555805</v>
      </c>
    </row>
    <row r="237" ht="15.75" hidden="1" customHeight="1">
      <c r="A237" s="5" t="s">
        <v>19</v>
      </c>
      <c r="B237" s="14">
        <v>49739.0</v>
      </c>
      <c r="C237" s="12">
        <v>51163.0</v>
      </c>
      <c r="D237" s="5">
        <f t="shared" si="173"/>
        <v>1.424</v>
      </c>
      <c r="E237" s="5">
        <v>169.69</v>
      </c>
      <c r="F237" s="5">
        <v>78.05</v>
      </c>
      <c r="G237" s="7">
        <f t="shared" si="175"/>
        <v>3672.95168</v>
      </c>
      <c r="H237" s="7">
        <f t="shared" si="176"/>
        <v>141.98704</v>
      </c>
      <c r="I237" s="7">
        <f t="shared" si="177"/>
        <v>704.88</v>
      </c>
      <c r="J237" s="7">
        <f t="shared" si="178"/>
        <v>1772.0256</v>
      </c>
      <c r="K237" s="7">
        <f t="shared" si="179"/>
        <v>40.2992</v>
      </c>
      <c r="L237" s="7">
        <f t="shared" si="180"/>
        <v>6579.88352</v>
      </c>
      <c r="M237" s="7">
        <f t="shared" si="181"/>
        <v>1381.775539</v>
      </c>
      <c r="N237" s="7">
        <f t="shared" si="182"/>
        <v>7961.659059</v>
      </c>
    </row>
    <row r="238" ht="15.75" hidden="1" customHeight="1">
      <c r="A238" s="5" t="s">
        <v>30</v>
      </c>
      <c r="B238" s="14">
        <v>8975.0</v>
      </c>
      <c r="C238" s="12">
        <v>9101.0</v>
      </c>
      <c r="D238" s="5">
        <f t="shared" si="173"/>
        <v>0.126</v>
      </c>
      <c r="E238" s="5">
        <f t="shared" ref="E238:E239" si="183">29.8+9.34</f>
        <v>39.14</v>
      </c>
      <c r="F238" s="5">
        <v>55.0</v>
      </c>
      <c r="G238" s="7">
        <f t="shared" si="175"/>
        <v>324.99432</v>
      </c>
      <c r="H238" s="7">
        <f t="shared" si="176"/>
        <v>12.56346</v>
      </c>
      <c r="I238" s="7">
        <f t="shared" si="177"/>
        <v>62.37</v>
      </c>
      <c r="J238" s="7">
        <f t="shared" si="178"/>
        <v>156.7944</v>
      </c>
      <c r="K238" s="7">
        <f t="shared" si="179"/>
        <v>3.5658</v>
      </c>
      <c r="L238" s="7">
        <f t="shared" si="180"/>
        <v>654.42798</v>
      </c>
      <c r="M238" s="7">
        <f t="shared" si="181"/>
        <v>137.4298758</v>
      </c>
      <c r="N238" s="7">
        <f t="shared" si="182"/>
        <v>791.8578558</v>
      </c>
    </row>
    <row r="239" ht="15.75" hidden="1" customHeight="1">
      <c r="A239" s="5" t="s">
        <v>31</v>
      </c>
      <c r="B239" s="14">
        <v>41561.0</v>
      </c>
      <c r="C239" s="12">
        <v>42166.0</v>
      </c>
      <c r="D239" s="5">
        <f t="shared" si="173"/>
        <v>0.605</v>
      </c>
      <c r="E239" s="5">
        <f t="shared" si="183"/>
        <v>39.14</v>
      </c>
      <c r="F239" s="5">
        <v>55.0</v>
      </c>
      <c r="G239" s="7">
        <f t="shared" si="175"/>
        <v>1560.4886</v>
      </c>
      <c r="H239" s="7">
        <f t="shared" si="176"/>
        <v>60.32455</v>
      </c>
      <c r="I239" s="7">
        <f t="shared" si="177"/>
        <v>299.475</v>
      </c>
      <c r="J239" s="7">
        <f t="shared" si="178"/>
        <v>752.862</v>
      </c>
      <c r="K239" s="7">
        <f t="shared" si="179"/>
        <v>17.1215</v>
      </c>
      <c r="L239" s="13">
        <f t="shared" si="180"/>
        <v>2784.41165</v>
      </c>
      <c r="M239" s="7">
        <f t="shared" si="181"/>
        <v>584.7264465</v>
      </c>
      <c r="N239" s="7">
        <f t="shared" si="182"/>
        <v>3369.138097</v>
      </c>
    </row>
    <row r="240" ht="15.75" hidden="1" customHeight="1">
      <c r="A240" s="5"/>
      <c r="C240" s="4"/>
      <c r="D240" s="5"/>
      <c r="G240" s="5"/>
      <c r="L240" s="18">
        <f>SUM(L229:L239)</f>
        <v>14902.85532</v>
      </c>
      <c r="M240" s="19">
        <f t="shared" si="181"/>
        <v>3129.599617</v>
      </c>
      <c r="N240" s="20">
        <f t="shared" si="182"/>
        <v>18032.45494</v>
      </c>
    </row>
    <row r="241" ht="15.75" hidden="1" customHeight="1">
      <c r="A241" s="5"/>
      <c r="C241" s="4"/>
      <c r="D241" s="5"/>
      <c r="G241" s="5"/>
    </row>
    <row r="242" ht="15.75" hidden="1" customHeight="1">
      <c r="A242" s="5" t="s">
        <v>39</v>
      </c>
      <c r="C242" s="4"/>
      <c r="D242" s="5"/>
      <c r="G242" s="5"/>
    </row>
    <row r="243" ht="15.75" hidden="1" customHeight="1">
      <c r="A243" s="5" t="s">
        <v>11</v>
      </c>
      <c r="B243" s="14">
        <v>1835.0</v>
      </c>
      <c r="C243" s="12">
        <v>1945.0</v>
      </c>
      <c r="D243" s="5">
        <f t="shared" ref="D243:D253" si="184">(C243-B243)/1000</f>
        <v>0.11</v>
      </c>
      <c r="E243" s="5">
        <f t="shared" ref="E243:E250" si="185">29.8+9.34</f>
        <v>39.14</v>
      </c>
      <c r="F243" s="5">
        <v>55.0</v>
      </c>
      <c r="G243" s="7">
        <f t="shared" ref="G243:G253" si="186">D243*$G$2</f>
        <v>283.7252</v>
      </c>
      <c r="H243" s="7">
        <f t="shared" ref="H243:H253" si="187">D243*$H$2</f>
        <v>10.9681</v>
      </c>
      <c r="I243" s="7">
        <f t="shared" ref="I243:I253" si="188">D243*$I$2</f>
        <v>54.45</v>
      </c>
      <c r="J243" s="7">
        <f t="shared" ref="J243:J253" si="189">D243*$J$2</f>
        <v>136.884</v>
      </c>
      <c r="K243" s="7">
        <f t="shared" ref="K243:K253" si="190">D243*$K$2</f>
        <v>3.113</v>
      </c>
      <c r="L243" s="7">
        <f t="shared" ref="L243:L253" si="191">SUM(E243:K243)</f>
        <v>583.2803</v>
      </c>
      <c r="M243" s="7">
        <f t="shared" ref="M243:M254" si="192">L243*0.21</f>
        <v>122.488863</v>
      </c>
      <c r="N243" s="7">
        <f t="shared" ref="N243:N254" si="193">L243+M243</f>
        <v>705.769163</v>
      </c>
    </row>
    <row r="244" ht="15.75" hidden="1" customHeight="1">
      <c r="A244" s="5" t="s">
        <v>12</v>
      </c>
      <c r="B244" s="14">
        <v>1430.0</v>
      </c>
      <c r="C244" s="12">
        <v>1501.0</v>
      </c>
      <c r="D244" s="5">
        <f t="shared" si="184"/>
        <v>0.071</v>
      </c>
      <c r="E244" s="5">
        <f t="shared" si="185"/>
        <v>39.14</v>
      </c>
      <c r="F244" s="5">
        <v>55.0</v>
      </c>
      <c r="G244" s="7">
        <f t="shared" si="186"/>
        <v>183.13172</v>
      </c>
      <c r="H244" s="7">
        <f t="shared" si="187"/>
        <v>7.07941</v>
      </c>
      <c r="I244" s="7">
        <f t="shared" si="188"/>
        <v>35.145</v>
      </c>
      <c r="J244" s="7">
        <f t="shared" si="189"/>
        <v>88.3524</v>
      </c>
      <c r="K244" s="7">
        <f t="shared" si="190"/>
        <v>2.0093</v>
      </c>
      <c r="L244" s="7">
        <f t="shared" si="191"/>
        <v>409.85783</v>
      </c>
      <c r="M244" s="7">
        <f t="shared" si="192"/>
        <v>86.0701443</v>
      </c>
      <c r="N244" s="7">
        <f t="shared" si="193"/>
        <v>495.9279743</v>
      </c>
    </row>
    <row r="245" ht="15.75" hidden="1" customHeight="1">
      <c r="A245" s="5" t="s">
        <v>13</v>
      </c>
      <c r="B245" s="14">
        <v>1738.0</v>
      </c>
      <c r="C245" s="12">
        <v>1835.0</v>
      </c>
      <c r="D245" s="5">
        <f t="shared" si="184"/>
        <v>0.097</v>
      </c>
      <c r="E245" s="5">
        <f t="shared" si="185"/>
        <v>39.14</v>
      </c>
      <c r="F245" s="5">
        <v>55.0</v>
      </c>
      <c r="G245" s="7">
        <f t="shared" si="186"/>
        <v>250.19404</v>
      </c>
      <c r="H245" s="7">
        <f t="shared" si="187"/>
        <v>9.67187</v>
      </c>
      <c r="I245" s="7">
        <f t="shared" si="188"/>
        <v>48.015</v>
      </c>
      <c r="J245" s="7">
        <f t="shared" si="189"/>
        <v>120.7068</v>
      </c>
      <c r="K245" s="7">
        <f t="shared" si="190"/>
        <v>2.7451</v>
      </c>
      <c r="L245" s="7">
        <f t="shared" si="191"/>
        <v>525.47281</v>
      </c>
      <c r="M245" s="7">
        <f t="shared" si="192"/>
        <v>110.3492901</v>
      </c>
      <c r="N245" s="7">
        <f t="shared" si="193"/>
        <v>635.8221001</v>
      </c>
    </row>
    <row r="246" ht="15.75" hidden="1" customHeight="1">
      <c r="A246" s="5" t="s">
        <v>14</v>
      </c>
      <c r="B246" s="14">
        <v>1350.0</v>
      </c>
      <c r="C246" s="12">
        <v>1431.0</v>
      </c>
      <c r="D246" s="5">
        <f t="shared" si="184"/>
        <v>0.081</v>
      </c>
      <c r="E246" s="5">
        <f t="shared" si="185"/>
        <v>39.14</v>
      </c>
      <c r="F246" s="5">
        <v>55.0</v>
      </c>
      <c r="G246" s="7">
        <f t="shared" si="186"/>
        <v>208.92492</v>
      </c>
      <c r="H246" s="7">
        <f t="shared" si="187"/>
        <v>8.07651</v>
      </c>
      <c r="I246" s="7">
        <f t="shared" si="188"/>
        <v>40.095</v>
      </c>
      <c r="J246" s="7">
        <f t="shared" si="189"/>
        <v>100.7964</v>
      </c>
      <c r="K246" s="7">
        <f t="shared" si="190"/>
        <v>2.2923</v>
      </c>
      <c r="L246" s="7">
        <f t="shared" si="191"/>
        <v>454.32513</v>
      </c>
      <c r="M246" s="7">
        <f t="shared" si="192"/>
        <v>95.4082773</v>
      </c>
      <c r="N246" s="7">
        <f t="shared" si="193"/>
        <v>549.7334073</v>
      </c>
    </row>
    <row r="247" ht="15.75" hidden="1" customHeight="1">
      <c r="A247" s="5" t="s">
        <v>15</v>
      </c>
      <c r="B247" s="14">
        <v>1438.0</v>
      </c>
      <c r="C247" s="12">
        <v>1521.0</v>
      </c>
      <c r="D247" s="5">
        <f t="shared" si="184"/>
        <v>0.083</v>
      </c>
      <c r="E247" s="5">
        <f t="shared" si="185"/>
        <v>39.14</v>
      </c>
      <c r="F247" s="5">
        <v>55.0</v>
      </c>
      <c r="G247" s="7">
        <f t="shared" si="186"/>
        <v>214.08356</v>
      </c>
      <c r="H247" s="7">
        <f t="shared" si="187"/>
        <v>8.27593</v>
      </c>
      <c r="I247" s="7">
        <f t="shared" si="188"/>
        <v>41.085</v>
      </c>
      <c r="J247" s="7">
        <f t="shared" si="189"/>
        <v>103.2852</v>
      </c>
      <c r="K247" s="7">
        <f t="shared" si="190"/>
        <v>2.3489</v>
      </c>
      <c r="L247" s="7">
        <f t="shared" si="191"/>
        <v>463.21859</v>
      </c>
      <c r="M247" s="7">
        <f t="shared" si="192"/>
        <v>97.2759039</v>
      </c>
      <c r="N247" s="7">
        <f t="shared" si="193"/>
        <v>560.4944939</v>
      </c>
    </row>
    <row r="248" ht="15.75" hidden="1" customHeight="1">
      <c r="A248" s="5" t="s">
        <v>16</v>
      </c>
      <c r="B248" s="14">
        <v>1187.0</v>
      </c>
      <c r="C248" s="12">
        <v>1273.0</v>
      </c>
      <c r="D248" s="5">
        <f t="shared" si="184"/>
        <v>0.086</v>
      </c>
      <c r="E248" s="5">
        <f t="shared" si="185"/>
        <v>39.14</v>
      </c>
      <c r="F248" s="5">
        <v>55.0</v>
      </c>
      <c r="G248" s="7">
        <f t="shared" si="186"/>
        <v>221.82152</v>
      </c>
      <c r="H248" s="7">
        <f t="shared" si="187"/>
        <v>8.57506</v>
      </c>
      <c r="I248" s="7">
        <f t="shared" si="188"/>
        <v>42.57</v>
      </c>
      <c r="J248" s="7">
        <f t="shared" si="189"/>
        <v>107.0184</v>
      </c>
      <c r="K248" s="7">
        <f t="shared" si="190"/>
        <v>2.4338</v>
      </c>
      <c r="L248" s="7">
        <f t="shared" si="191"/>
        <v>476.55878</v>
      </c>
      <c r="M248" s="7">
        <f t="shared" si="192"/>
        <v>100.0773438</v>
      </c>
      <c r="N248" s="7">
        <f t="shared" si="193"/>
        <v>576.6361238</v>
      </c>
    </row>
    <row r="249" ht="15.75" hidden="1" customHeight="1">
      <c r="A249" s="5" t="s">
        <v>17</v>
      </c>
      <c r="B249" s="14">
        <v>1322.0</v>
      </c>
      <c r="C249" s="12">
        <v>1414.0</v>
      </c>
      <c r="D249" s="5">
        <f t="shared" si="184"/>
        <v>0.092</v>
      </c>
      <c r="E249" s="5">
        <f t="shared" si="185"/>
        <v>39.14</v>
      </c>
      <c r="F249" s="5">
        <v>55.0</v>
      </c>
      <c r="G249" s="7">
        <f t="shared" si="186"/>
        <v>237.29744</v>
      </c>
      <c r="H249" s="7">
        <f t="shared" si="187"/>
        <v>9.17332</v>
      </c>
      <c r="I249" s="7">
        <f t="shared" si="188"/>
        <v>45.54</v>
      </c>
      <c r="J249" s="7">
        <f t="shared" si="189"/>
        <v>114.4848</v>
      </c>
      <c r="K249" s="7">
        <f t="shared" si="190"/>
        <v>2.6036</v>
      </c>
      <c r="L249" s="7">
        <f t="shared" si="191"/>
        <v>503.23916</v>
      </c>
      <c r="M249" s="7">
        <f t="shared" si="192"/>
        <v>105.6802236</v>
      </c>
      <c r="N249" s="7">
        <f t="shared" si="193"/>
        <v>608.9193836</v>
      </c>
    </row>
    <row r="250" ht="15.75" hidden="1" customHeight="1">
      <c r="A250" s="5" t="s">
        <v>18</v>
      </c>
      <c r="B250" s="14">
        <v>1340.0</v>
      </c>
      <c r="C250" s="12">
        <v>1462.0</v>
      </c>
      <c r="D250" s="5">
        <f t="shared" si="184"/>
        <v>0.122</v>
      </c>
      <c r="E250" s="5">
        <f t="shared" si="185"/>
        <v>39.14</v>
      </c>
      <c r="F250" s="5">
        <v>55.0</v>
      </c>
      <c r="G250" s="7">
        <f t="shared" si="186"/>
        <v>314.67704</v>
      </c>
      <c r="H250" s="7">
        <f t="shared" si="187"/>
        <v>12.16462</v>
      </c>
      <c r="I250" s="7">
        <f t="shared" si="188"/>
        <v>60.39</v>
      </c>
      <c r="J250" s="7">
        <f t="shared" si="189"/>
        <v>151.8168</v>
      </c>
      <c r="K250" s="7">
        <f t="shared" si="190"/>
        <v>3.4526</v>
      </c>
      <c r="L250" s="7">
        <f t="shared" si="191"/>
        <v>636.64106</v>
      </c>
      <c r="M250" s="7">
        <f t="shared" si="192"/>
        <v>133.6946226</v>
      </c>
      <c r="N250" s="7">
        <f t="shared" si="193"/>
        <v>770.3356826</v>
      </c>
    </row>
    <row r="251" ht="15.75" hidden="1" customHeight="1">
      <c r="A251" s="5" t="s">
        <v>19</v>
      </c>
      <c r="B251" s="14">
        <v>51163.0</v>
      </c>
      <c r="C251" s="12">
        <v>52779.0</v>
      </c>
      <c r="D251" s="5">
        <f t="shared" si="184"/>
        <v>1.616</v>
      </c>
      <c r="E251" s="5">
        <v>169.69</v>
      </c>
      <c r="F251" s="5">
        <v>78.05</v>
      </c>
      <c r="G251" s="7">
        <f t="shared" si="186"/>
        <v>4168.18112</v>
      </c>
      <c r="H251" s="7">
        <f t="shared" si="187"/>
        <v>161.13136</v>
      </c>
      <c r="I251" s="7">
        <f t="shared" si="188"/>
        <v>799.92</v>
      </c>
      <c r="J251" s="7">
        <f t="shared" si="189"/>
        <v>2010.9504</v>
      </c>
      <c r="K251" s="7">
        <f t="shared" si="190"/>
        <v>45.7328</v>
      </c>
      <c r="L251" s="7">
        <f t="shared" si="191"/>
        <v>7433.65568</v>
      </c>
      <c r="M251" s="7">
        <f t="shared" si="192"/>
        <v>1561.067693</v>
      </c>
      <c r="N251" s="7">
        <f t="shared" si="193"/>
        <v>8994.723373</v>
      </c>
    </row>
    <row r="252" ht="15.75" hidden="1" customHeight="1">
      <c r="A252" s="5" t="s">
        <v>30</v>
      </c>
      <c r="B252" s="14">
        <v>9101.0</v>
      </c>
      <c r="C252" s="12">
        <v>9240.0</v>
      </c>
      <c r="D252" s="5">
        <f t="shared" si="184"/>
        <v>0.139</v>
      </c>
      <c r="E252" s="5">
        <f t="shared" ref="E252:E253" si="194">29.8+9.34</f>
        <v>39.14</v>
      </c>
      <c r="F252" s="5">
        <v>55.0</v>
      </c>
      <c r="G252" s="7">
        <f t="shared" si="186"/>
        <v>358.52548</v>
      </c>
      <c r="H252" s="7">
        <f t="shared" si="187"/>
        <v>13.85969</v>
      </c>
      <c r="I252" s="7">
        <f t="shared" si="188"/>
        <v>68.805</v>
      </c>
      <c r="J252" s="7">
        <f t="shared" si="189"/>
        <v>172.9716</v>
      </c>
      <c r="K252" s="7">
        <f t="shared" si="190"/>
        <v>3.9337</v>
      </c>
      <c r="L252" s="7">
        <f t="shared" si="191"/>
        <v>712.23547</v>
      </c>
      <c r="M252" s="7">
        <f t="shared" si="192"/>
        <v>149.5694487</v>
      </c>
      <c r="N252" s="7">
        <f t="shared" si="193"/>
        <v>861.8049187</v>
      </c>
    </row>
    <row r="253" ht="15.75" hidden="1" customHeight="1">
      <c r="A253" s="5" t="s">
        <v>31</v>
      </c>
      <c r="B253" s="14">
        <v>42166.0</v>
      </c>
      <c r="C253" s="12">
        <v>42819.0</v>
      </c>
      <c r="D253" s="5">
        <f t="shared" si="184"/>
        <v>0.653</v>
      </c>
      <c r="E253" s="5">
        <f t="shared" si="194"/>
        <v>39.14</v>
      </c>
      <c r="F253" s="5">
        <v>55.0</v>
      </c>
      <c r="G253" s="7">
        <f t="shared" si="186"/>
        <v>1684.29596</v>
      </c>
      <c r="H253" s="7">
        <f t="shared" si="187"/>
        <v>65.11063</v>
      </c>
      <c r="I253" s="7">
        <f t="shared" si="188"/>
        <v>323.235</v>
      </c>
      <c r="J253" s="7">
        <f t="shared" si="189"/>
        <v>812.5932</v>
      </c>
      <c r="K253" s="7">
        <f t="shared" si="190"/>
        <v>18.4799</v>
      </c>
      <c r="L253" s="13">
        <f t="shared" si="191"/>
        <v>2997.85469</v>
      </c>
      <c r="M253" s="7">
        <f t="shared" si="192"/>
        <v>629.5494849</v>
      </c>
      <c r="N253" s="7">
        <f t="shared" si="193"/>
        <v>3627.404175</v>
      </c>
    </row>
    <row r="254" ht="15.75" hidden="1" customHeight="1">
      <c r="A254" s="5"/>
      <c r="C254" s="4"/>
      <c r="D254" s="5"/>
      <c r="G254" s="5"/>
      <c r="L254" s="18">
        <f>SUM(L243:L253)</f>
        <v>15196.3395</v>
      </c>
      <c r="M254" s="19">
        <f t="shared" si="192"/>
        <v>3191.231295</v>
      </c>
      <c r="N254" s="20">
        <f t="shared" si="193"/>
        <v>18387.5708</v>
      </c>
    </row>
    <row r="255" ht="15.75" hidden="1" customHeight="1">
      <c r="A255" s="5"/>
      <c r="C255" s="4"/>
      <c r="D255" s="5"/>
      <c r="G255" s="5"/>
    </row>
    <row r="256" ht="15.75" hidden="1" customHeight="1">
      <c r="A256" s="5"/>
      <c r="C256" s="4"/>
      <c r="D256" s="5"/>
      <c r="G256" s="5"/>
    </row>
    <row r="257" ht="15.75" hidden="1" customHeight="1">
      <c r="A257" s="5" t="s">
        <v>40</v>
      </c>
      <c r="C257" s="4"/>
      <c r="D257" s="5"/>
      <c r="G257" s="5"/>
    </row>
    <row r="258" ht="15.75" hidden="1" customHeight="1">
      <c r="A258" s="5" t="s">
        <v>11</v>
      </c>
      <c r="B258" s="14">
        <v>1945.0</v>
      </c>
      <c r="C258" s="12">
        <v>2050.0</v>
      </c>
      <c r="D258" s="5">
        <f t="shared" ref="D258:D268" si="195">(C258-B258)/1000</f>
        <v>0.105</v>
      </c>
      <c r="E258" s="5">
        <f t="shared" ref="E258:E265" si="196">29.8+9.34</f>
        <v>39.14</v>
      </c>
      <c r="F258" s="5">
        <v>55.0</v>
      </c>
      <c r="G258" s="7">
        <f t="shared" ref="G258:G268" si="197">D258*$G$2</f>
        <v>270.8286</v>
      </c>
      <c r="H258" s="7">
        <f t="shared" ref="H258:H268" si="198">D258*$H$2</f>
        <v>10.46955</v>
      </c>
      <c r="I258" s="7">
        <f t="shared" ref="I258:I268" si="199">D258*$I$2</f>
        <v>51.975</v>
      </c>
      <c r="J258" s="7">
        <f t="shared" ref="J258:J268" si="200">D258*$J$2</f>
        <v>130.662</v>
      </c>
      <c r="K258" s="7">
        <f t="shared" ref="K258:K268" si="201">D258*$K$2</f>
        <v>2.9715</v>
      </c>
      <c r="L258" s="7">
        <f t="shared" ref="L258:L268" si="202">SUM(E258:K258)</f>
        <v>561.04665</v>
      </c>
      <c r="M258" s="7">
        <f t="shared" ref="M258:M269" si="203">L258*0.21</f>
        <v>117.8197965</v>
      </c>
      <c r="N258" s="7">
        <f t="shared" ref="N258:N269" si="204">L258+M258</f>
        <v>678.8664465</v>
      </c>
    </row>
    <row r="259" ht="15.75" hidden="1" customHeight="1">
      <c r="A259" s="5" t="s">
        <v>12</v>
      </c>
      <c r="B259" s="14">
        <v>1501.0</v>
      </c>
      <c r="C259" s="12">
        <v>1571.0</v>
      </c>
      <c r="D259" s="5">
        <f t="shared" si="195"/>
        <v>0.07</v>
      </c>
      <c r="E259" s="5">
        <f t="shared" si="196"/>
        <v>39.14</v>
      </c>
      <c r="F259" s="5">
        <v>55.0</v>
      </c>
      <c r="G259" s="7">
        <f t="shared" si="197"/>
        <v>180.5524</v>
      </c>
      <c r="H259" s="7">
        <f t="shared" si="198"/>
        <v>6.9797</v>
      </c>
      <c r="I259" s="7">
        <f t="shared" si="199"/>
        <v>34.65</v>
      </c>
      <c r="J259" s="7">
        <f t="shared" si="200"/>
        <v>87.108</v>
      </c>
      <c r="K259" s="7">
        <f t="shared" si="201"/>
        <v>1.981</v>
      </c>
      <c r="L259" s="7">
        <f t="shared" si="202"/>
        <v>405.4111</v>
      </c>
      <c r="M259" s="7">
        <f t="shared" si="203"/>
        <v>85.136331</v>
      </c>
      <c r="N259" s="7">
        <f t="shared" si="204"/>
        <v>490.547431</v>
      </c>
    </row>
    <row r="260" ht="15.75" hidden="1" customHeight="1">
      <c r="A260" s="5" t="s">
        <v>13</v>
      </c>
      <c r="B260" s="14">
        <v>1835.0</v>
      </c>
      <c r="C260" s="12">
        <v>1924.0</v>
      </c>
      <c r="D260" s="5">
        <f t="shared" si="195"/>
        <v>0.089</v>
      </c>
      <c r="E260" s="5">
        <f t="shared" si="196"/>
        <v>39.14</v>
      </c>
      <c r="F260" s="5">
        <v>55.0</v>
      </c>
      <c r="G260" s="7">
        <f t="shared" si="197"/>
        <v>229.55948</v>
      </c>
      <c r="H260" s="7">
        <f t="shared" si="198"/>
        <v>8.87419</v>
      </c>
      <c r="I260" s="7">
        <f t="shared" si="199"/>
        <v>44.055</v>
      </c>
      <c r="J260" s="7">
        <f t="shared" si="200"/>
        <v>110.7516</v>
      </c>
      <c r="K260" s="7">
        <f t="shared" si="201"/>
        <v>2.5187</v>
      </c>
      <c r="L260" s="7">
        <f t="shared" si="202"/>
        <v>489.89897</v>
      </c>
      <c r="M260" s="7">
        <f t="shared" si="203"/>
        <v>102.8787837</v>
      </c>
      <c r="N260" s="7">
        <f t="shared" si="204"/>
        <v>592.7777537</v>
      </c>
    </row>
    <row r="261" ht="15.75" hidden="1" customHeight="1">
      <c r="A261" s="5" t="s">
        <v>14</v>
      </c>
      <c r="B261" s="14">
        <v>1431.0</v>
      </c>
      <c r="C261" s="12">
        <v>1535.0</v>
      </c>
      <c r="D261" s="5">
        <f t="shared" si="195"/>
        <v>0.104</v>
      </c>
      <c r="E261" s="5">
        <f t="shared" si="196"/>
        <v>39.14</v>
      </c>
      <c r="F261" s="5">
        <v>55.0</v>
      </c>
      <c r="G261" s="7">
        <f t="shared" si="197"/>
        <v>268.24928</v>
      </c>
      <c r="H261" s="7">
        <f t="shared" si="198"/>
        <v>10.36984</v>
      </c>
      <c r="I261" s="7">
        <f t="shared" si="199"/>
        <v>51.48</v>
      </c>
      <c r="J261" s="7">
        <f t="shared" si="200"/>
        <v>129.4176</v>
      </c>
      <c r="K261" s="7">
        <f t="shared" si="201"/>
        <v>2.9432</v>
      </c>
      <c r="L261" s="7">
        <f t="shared" si="202"/>
        <v>556.59992</v>
      </c>
      <c r="M261" s="7">
        <f t="shared" si="203"/>
        <v>116.8859832</v>
      </c>
      <c r="N261" s="7">
        <f t="shared" si="204"/>
        <v>673.4859032</v>
      </c>
    </row>
    <row r="262" ht="15.75" hidden="1" customHeight="1">
      <c r="A262" s="5" t="s">
        <v>15</v>
      </c>
      <c r="B262" s="14">
        <v>1521.0</v>
      </c>
      <c r="C262" s="12">
        <v>1688.0</v>
      </c>
      <c r="D262" s="5">
        <f t="shared" si="195"/>
        <v>0.167</v>
      </c>
      <c r="E262" s="5">
        <f t="shared" si="196"/>
        <v>39.14</v>
      </c>
      <c r="F262" s="5">
        <v>55.0</v>
      </c>
      <c r="G262" s="7">
        <f t="shared" si="197"/>
        <v>430.74644</v>
      </c>
      <c r="H262" s="7">
        <f t="shared" si="198"/>
        <v>16.65157</v>
      </c>
      <c r="I262" s="7">
        <f t="shared" si="199"/>
        <v>82.665</v>
      </c>
      <c r="J262" s="7">
        <f t="shared" si="200"/>
        <v>207.8148</v>
      </c>
      <c r="K262" s="7">
        <f t="shared" si="201"/>
        <v>4.7261</v>
      </c>
      <c r="L262" s="7">
        <f t="shared" si="202"/>
        <v>836.74391</v>
      </c>
      <c r="M262" s="7">
        <f t="shared" si="203"/>
        <v>175.7162211</v>
      </c>
      <c r="N262" s="7">
        <f t="shared" si="204"/>
        <v>1012.460131</v>
      </c>
    </row>
    <row r="263" ht="15.75" hidden="1" customHeight="1">
      <c r="A263" s="5" t="s">
        <v>16</v>
      </c>
      <c r="B263" s="14">
        <v>1273.0</v>
      </c>
      <c r="C263" s="12">
        <v>1321.0</v>
      </c>
      <c r="D263" s="5">
        <f t="shared" si="195"/>
        <v>0.048</v>
      </c>
      <c r="E263" s="5">
        <f t="shared" si="196"/>
        <v>39.14</v>
      </c>
      <c r="F263" s="5">
        <v>55.0</v>
      </c>
      <c r="G263" s="7">
        <f t="shared" si="197"/>
        <v>123.80736</v>
      </c>
      <c r="H263" s="7">
        <f t="shared" si="198"/>
        <v>4.78608</v>
      </c>
      <c r="I263" s="7">
        <f t="shared" si="199"/>
        <v>23.76</v>
      </c>
      <c r="J263" s="7">
        <f t="shared" si="200"/>
        <v>59.7312</v>
      </c>
      <c r="K263" s="7">
        <f t="shared" si="201"/>
        <v>1.3584</v>
      </c>
      <c r="L263" s="7">
        <f t="shared" si="202"/>
        <v>307.58304</v>
      </c>
      <c r="M263" s="7">
        <f t="shared" si="203"/>
        <v>64.5924384</v>
      </c>
      <c r="N263" s="7">
        <f t="shared" si="204"/>
        <v>372.1754784</v>
      </c>
    </row>
    <row r="264" ht="15.75" hidden="1" customHeight="1">
      <c r="A264" s="5" t="s">
        <v>17</v>
      </c>
      <c r="B264" s="14">
        <v>1414.0</v>
      </c>
      <c r="C264" s="12">
        <v>1485.0</v>
      </c>
      <c r="D264" s="5">
        <f t="shared" si="195"/>
        <v>0.071</v>
      </c>
      <c r="E264" s="5">
        <f t="shared" si="196"/>
        <v>39.14</v>
      </c>
      <c r="F264" s="5">
        <v>55.0</v>
      </c>
      <c r="G264" s="7">
        <f t="shared" si="197"/>
        <v>183.13172</v>
      </c>
      <c r="H264" s="7">
        <f t="shared" si="198"/>
        <v>7.07941</v>
      </c>
      <c r="I264" s="7">
        <f t="shared" si="199"/>
        <v>35.145</v>
      </c>
      <c r="J264" s="7">
        <f t="shared" si="200"/>
        <v>88.3524</v>
      </c>
      <c r="K264" s="7">
        <f t="shared" si="201"/>
        <v>2.0093</v>
      </c>
      <c r="L264" s="7">
        <f t="shared" si="202"/>
        <v>409.85783</v>
      </c>
      <c r="M264" s="7">
        <f t="shared" si="203"/>
        <v>86.0701443</v>
      </c>
      <c r="N264" s="7">
        <f t="shared" si="204"/>
        <v>495.9279743</v>
      </c>
    </row>
    <row r="265" ht="15.75" hidden="1" customHeight="1">
      <c r="A265" s="5" t="s">
        <v>18</v>
      </c>
      <c r="B265" s="14">
        <v>1462.0</v>
      </c>
      <c r="C265" s="12">
        <v>1537.0</v>
      </c>
      <c r="D265" s="5">
        <f t="shared" si="195"/>
        <v>0.075</v>
      </c>
      <c r="E265" s="5">
        <f t="shared" si="196"/>
        <v>39.14</v>
      </c>
      <c r="F265" s="5">
        <v>55.0</v>
      </c>
      <c r="G265" s="7">
        <f t="shared" si="197"/>
        <v>193.449</v>
      </c>
      <c r="H265" s="7">
        <f t="shared" si="198"/>
        <v>7.47825</v>
      </c>
      <c r="I265" s="7">
        <f t="shared" si="199"/>
        <v>37.125</v>
      </c>
      <c r="J265" s="7">
        <f t="shared" si="200"/>
        <v>93.33</v>
      </c>
      <c r="K265" s="7">
        <f t="shared" si="201"/>
        <v>2.1225</v>
      </c>
      <c r="L265" s="7">
        <f t="shared" si="202"/>
        <v>427.64475</v>
      </c>
      <c r="M265" s="7">
        <f t="shared" si="203"/>
        <v>89.8053975</v>
      </c>
      <c r="N265" s="7">
        <f t="shared" si="204"/>
        <v>517.4501475</v>
      </c>
    </row>
    <row r="266" ht="15.75" hidden="1" customHeight="1">
      <c r="A266" s="5" t="s">
        <v>19</v>
      </c>
      <c r="B266" s="14">
        <v>52779.0</v>
      </c>
      <c r="C266" s="12">
        <v>54575.0</v>
      </c>
      <c r="D266" s="5">
        <f t="shared" si="195"/>
        <v>1.796</v>
      </c>
      <c r="E266" s="5">
        <v>169.69</v>
      </c>
      <c r="F266" s="5">
        <v>78.05</v>
      </c>
      <c r="G266" s="7">
        <f t="shared" si="197"/>
        <v>4632.45872</v>
      </c>
      <c r="H266" s="7">
        <f t="shared" si="198"/>
        <v>179.07916</v>
      </c>
      <c r="I266" s="7">
        <f t="shared" si="199"/>
        <v>889.02</v>
      </c>
      <c r="J266" s="7">
        <f t="shared" si="200"/>
        <v>2234.9424</v>
      </c>
      <c r="K266" s="7">
        <f t="shared" si="201"/>
        <v>50.8268</v>
      </c>
      <c r="L266" s="7">
        <f t="shared" si="202"/>
        <v>8234.06708</v>
      </c>
      <c r="M266" s="7">
        <f t="shared" si="203"/>
        <v>1729.154087</v>
      </c>
      <c r="N266" s="7">
        <f t="shared" si="204"/>
        <v>9963.221167</v>
      </c>
    </row>
    <row r="267" ht="15.75" hidden="1" customHeight="1">
      <c r="A267" s="5" t="s">
        <v>30</v>
      </c>
      <c r="B267" s="14">
        <v>9240.0</v>
      </c>
      <c r="C267" s="12">
        <v>9372.0</v>
      </c>
      <c r="D267" s="5">
        <f t="shared" si="195"/>
        <v>0.132</v>
      </c>
      <c r="E267" s="5">
        <f t="shared" ref="E267:E268" si="205">29.8+9.34</f>
        <v>39.14</v>
      </c>
      <c r="F267" s="5">
        <v>55.0</v>
      </c>
      <c r="G267" s="7">
        <f t="shared" si="197"/>
        <v>340.47024</v>
      </c>
      <c r="H267" s="7">
        <f t="shared" si="198"/>
        <v>13.16172</v>
      </c>
      <c r="I267" s="7">
        <f t="shared" si="199"/>
        <v>65.34</v>
      </c>
      <c r="J267" s="7">
        <f t="shared" si="200"/>
        <v>164.2608</v>
      </c>
      <c r="K267" s="7">
        <f t="shared" si="201"/>
        <v>3.7356</v>
      </c>
      <c r="L267" s="7">
        <f t="shared" si="202"/>
        <v>681.10836</v>
      </c>
      <c r="M267" s="7">
        <f t="shared" si="203"/>
        <v>143.0327556</v>
      </c>
      <c r="N267" s="7">
        <f t="shared" si="204"/>
        <v>824.1411156</v>
      </c>
    </row>
    <row r="268" ht="15.75" hidden="1" customHeight="1">
      <c r="A268" s="5" t="s">
        <v>31</v>
      </c>
      <c r="B268" s="14">
        <v>42819.0</v>
      </c>
      <c r="C268" s="12">
        <v>43506.0</v>
      </c>
      <c r="D268" s="5">
        <f t="shared" si="195"/>
        <v>0.687</v>
      </c>
      <c r="E268" s="5">
        <f t="shared" si="205"/>
        <v>39.14</v>
      </c>
      <c r="F268" s="5">
        <v>55.0</v>
      </c>
      <c r="G268" s="7">
        <f t="shared" si="197"/>
        <v>1771.99284</v>
      </c>
      <c r="H268" s="7">
        <f t="shared" si="198"/>
        <v>68.50077</v>
      </c>
      <c r="I268" s="7">
        <f t="shared" si="199"/>
        <v>340.065</v>
      </c>
      <c r="J268" s="7">
        <f t="shared" si="200"/>
        <v>854.9028</v>
      </c>
      <c r="K268" s="7">
        <f t="shared" si="201"/>
        <v>19.4421</v>
      </c>
      <c r="L268" s="13">
        <f t="shared" si="202"/>
        <v>3149.04351</v>
      </c>
      <c r="M268" s="7">
        <f t="shared" si="203"/>
        <v>661.2991371</v>
      </c>
      <c r="N268" s="7">
        <f t="shared" si="204"/>
        <v>3810.342647</v>
      </c>
    </row>
    <row r="269" ht="15.75" hidden="1" customHeight="1">
      <c r="A269" s="5"/>
      <c r="C269" s="4"/>
      <c r="D269" s="5"/>
      <c r="G269" s="5"/>
      <c r="L269" s="18">
        <f>SUM(L258:L268)</f>
        <v>16059.00512</v>
      </c>
      <c r="M269" s="19">
        <f t="shared" si="203"/>
        <v>3372.391075</v>
      </c>
      <c r="N269" s="20">
        <f t="shared" si="204"/>
        <v>19431.3962</v>
      </c>
    </row>
    <row r="270" ht="15.75" hidden="1" customHeight="1">
      <c r="A270" s="5"/>
      <c r="C270" s="4"/>
      <c r="D270" s="5">
        <f>SUM(D258:D268)</f>
        <v>3.344</v>
      </c>
      <c r="G270" s="5"/>
    </row>
    <row r="271" ht="15.75" hidden="1" customHeight="1">
      <c r="A271" s="5"/>
      <c r="C271" s="4"/>
      <c r="D271" s="5"/>
      <c r="G271" s="5"/>
    </row>
    <row r="272" ht="15.75" hidden="1" customHeight="1">
      <c r="A272" s="5"/>
      <c r="C272" s="4"/>
      <c r="D272" s="5"/>
      <c r="G272" s="5"/>
    </row>
    <row r="273" ht="15.75" hidden="1" customHeight="1">
      <c r="A273" s="5" t="s">
        <v>41</v>
      </c>
      <c r="C273" s="4"/>
      <c r="D273" s="5"/>
      <c r="G273" s="5"/>
    </row>
    <row r="274" ht="15.75" hidden="1" customHeight="1">
      <c r="A274" s="5" t="s">
        <v>11</v>
      </c>
      <c r="B274" s="14">
        <v>2050.0</v>
      </c>
      <c r="C274" s="12">
        <v>2123.0</v>
      </c>
      <c r="D274" s="5">
        <f t="shared" ref="D274:D284" si="206">(C274-B274)/1000</f>
        <v>0.073</v>
      </c>
      <c r="E274" s="5">
        <f t="shared" ref="E274:E281" si="207">29.8+9.34</f>
        <v>39.14</v>
      </c>
      <c r="F274" s="5">
        <v>55.0</v>
      </c>
      <c r="G274" s="7">
        <f t="shared" ref="G274:G284" si="208">D274*$G$2</f>
        <v>188.29036</v>
      </c>
      <c r="H274" s="7">
        <f t="shared" ref="H274:H284" si="209">D274*$H$2</f>
        <v>7.27883</v>
      </c>
      <c r="I274" s="7">
        <f t="shared" ref="I274:I284" si="210">D274*$I$2</f>
        <v>36.135</v>
      </c>
      <c r="J274" s="7">
        <f t="shared" ref="J274:J284" si="211">D274*$J$2</f>
        <v>90.8412</v>
      </c>
      <c r="K274" s="7">
        <f t="shared" ref="K274:K284" si="212">D274*$K$2</f>
        <v>2.0659</v>
      </c>
      <c r="L274" s="7">
        <f t="shared" ref="L274:L284" si="213">SUM(E274:K274)</f>
        <v>418.75129</v>
      </c>
      <c r="M274" s="7">
        <f t="shared" ref="M274:M285" si="214">L274*0.21</f>
        <v>87.9377709</v>
      </c>
      <c r="N274" s="7">
        <f t="shared" ref="N274:N285" si="215">L274+M274</f>
        <v>506.6890609</v>
      </c>
    </row>
    <row r="275" ht="15.75" hidden="1" customHeight="1">
      <c r="A275" s="5" t="s">
        <v>12</v>
      </c>
      <c r="B275" s="14">
        <v>1571.0</v>
      </c>
      <c r="C275" s="12">
        <v>1614.0</v>
      </c>
      <c r="D275" s="5">
        <f t="shared" si="206"/>
        <v>0.043</v>
      </c>
      <c r="E275" s="5">
        <f t="shared" si="207"/>
        <v>39.14</v>
      </c>
      <c r="F275" s="5">
        <v>55.0</v>
      </c>
      <c r="G275" s="7">
        <f t="shared" si="208"/>
        <v>110.91076</v>
      </c>
      <c r="H275" s="7">
        <f t="shared" si="209"/>
        <v>4.28753</v>
      </c>
      <c r="I275" s="7">
        <f t="shared" si="210"/>
        <v>21.285</v>
      </c>
      <c r="J275" s="7">
        <f t="shared" si="211"/>
        <v>53.5092</v>
      </c>
      <c r="K275" s="7">
        <f t="shared" si="212"/>
        <v>1.2169</v>
      </c>
      <c r="L275" s="7">
        <f t="shared" si="213"/>
        <v>285.34939</v>
      </c>
      <c r="M275" s="7">
        <f t="shared" si="214"/>
        <v>59.9233719</v>
      </c>
      <c r="N275" s="7">
        <f t="shared" si="215"/>
        <v>345.2727619</v>
      </c>
    </row>
    <row r="276" ht="15.75" hidden="1" customHeight="1">
      <c r="A276" s="5" t="s">
        <v>13</v>
      </c>
      <c r="B276" s="14">
        <v>1924.0</v>
      </c>
      <c r="C276" s="12">
        <v>1994.0</v>
      </c>
      <c r="D276" s="5">
        <f t="shared" si="206"/>
        <v>0.07</v>
      </c>
      <c r="E276" s="5">
        <f t="shared" si="207"/>
        <v>39.14</v>
      </c>
      <c r="F276" s="5">
        <v>55.0</v>
      </c>
      <c r="G276" s="7">
        <f t="shared" si="208"/>
        <v>180.5524</v>
      </c>
      <c r="H276" s="7">
        <f t="shared" si="209"/>
        <v>6.9797</v>
      </c>
      <c r="I276" s="7">
        <f t="shared" si="210"/>
        <v>34.65</v>
      </c>
      <c r="J276" s="7">
        <f t="shared" si="211"/>
        <v>87.108</v>
      </c>
      <c r="K276" s="7">
        <f t="shared" si="212"/>
        <v>1.981</v>
      </c>
      <c r="L276" s="7">
        <f t="shared" si="213"/>
        <v>405.4111</v>
      </c>
      <c r="M276" s="7">
        <f t="shared" si="214"/>
        <v>85.136331</v>
      </c>
      <c r="N276" s="7">
        <f t="shared" si="215"/>
        <v>490.547431</v>
      </c>
    </row>
    <row r="277" ht="15.75" hidden="1" customHeight="1">
      <c r="A277" s="5" t="s">
        <v>14</v>
      </c>
      <c r="B277" s="14">
        <v>1535.0</v>
      </c>
      <c r="C277" s="12">
        <v>1575.0</v>
      </c>
      <c r="D277" s="5">
        <f t="shared" si="206"/>
        <v>0.04</v>
      </c>
      <c r="E277" s="5">
        <f t="shared" si="207"/>
        <v>39.14</v>
      </c>
      <c r="F277" s="5">
        <v>55.0</v>
      </c>
      <c r="G277" s="7">
        <f t="shared" si="208"/>
        <v>103.1728</v>
      </c>
      <c r="H277" s="7">
        <f t="shared" si="209"/>
        <v>3.9884</v>
      </c>
      <c r="I277" s="7">
        <f t="shared" si="210"/>
        <v>19.8</v>
      </c>
      <c r="J277" s="7">
        <f t="shared" si="211"/>
        <v>49.776</v>
      </c>
      <c r="K277" s="7">
        <f t="shared" si="212"/>
        <v>1.132</v>
      </c>
      <c r="L277" s="7">
        <f t="shared" si="213"/>
        <v>272.0092</v>
      </c>
      <c r="M277" s="7">
        <f t="shared" si="214"/>
        <v>57.121932</v>
      </c>
      <c r="N277" s="7">
        <f t="shared" si="215"/>
        <v>329.131132</v>
      </c>
    </row>
    <row r="278" ht="15.75" hidden="1" customHeight="1">
      <c r="A278" s="5" t="s">
        <v>15</v>
      </c>
      <c r="B278" s="14">
        <v>1688.0</v>
      </c>
      <c r="C278" s="12">
        <v>1746.0</v>
      </c>
      <c r="D278" s="5">
        <f t="shared" si="206"/>
        <v>0.058</v>
      </c>
      <c r="E278" s="5">
        <f t="shared" si="207"/>
        <v>39.14</v>
      </c>
      <c r="F278" s="5">
        <v>55.0</v>
      </c>
      <c r="G278" s="7">
        <f t="shared" si="208"/>
        <v>149.60056</v>
      </c>
      <c r="H278" s="7">
        <f t="shared" si="209"/>
        <v>5.78318</v>
      </c>
      <c r="I278" s="7">
        <f t="shared" si="210"/>
        <v>28.71</v>
      </c>
      <c r="J278" s="7">
        <f t="shared" si="211"/>
        <v>72.1752</v>
      </c>
      <c r="K278" s="7">
        <f t="shared" si="212"/>
        <v>1.6414</v>
      </c>
      <c r="L278" s="7">
        <f t="shared" si="213"/>
        <v>352.05034</v>
      </c>
      <c r="M278" s="7">
        <f t="shared" si="214"/>
        <v>73.9305714</v>
      </c>
      <c r="N278" s="7">
        <f t="shared" si="215"/>
        <v>425.9809114</v>
      </c>
    </row>
    <row r="279" ht="15.75" hidden="1" customHeight="1">
      <c r="A279" s="5" t="s">
        <v>16</v>
      </c>
      <c r="B279" s="14">
        <v>1321.0</v>
      </c>
      <c r="C279" s="12">
        <v>1386.0</v>
      </c>
      <c r="D279" s="5">
        <f t="shared" si="206"/>
        <v>0.065</v>
      </c>
      <c r="E279" s="5">
        <f t="shared" si="207"/>
        <v>39.14</v>
      </c>
      <c r="F279" s="5">
        <v>55.0</v>
      </c>
      <c r="G279" s="7">
        <f t="shared" si="208"/>
        <v>167.6558</v>
      </c>
      <c r="H279" s="7">
        <f t="shared" si="209"/>
        <v>6.48115</v>
      </c>
      <c r="I279" s="7">
        <f t="shared" si="210"/>
        <v>32.175</v>
      </c>
      <c r="J279" s="7">
        <f t="shared" si="211"/>
        <v>80.886</v>
      </c>
      <c r="K279" s="7">
        <f t="shared" si="212"/>
        <v>1.8395</v>
      </c>
      <c r="L279" s="7">
        <f t="shared" si="213"/>
        <v>383.17745</v>
      </c>
      <c r="M279" s="7">
        <f t="shared" si="214"/>
        <v>80.4672645</v>
      </c>
      <c r="N279" s="7">
        <f t="shared" si="215"/>
        <v>463.6447145</v>
      </c>
    </row>
    <row r="280" ht="15.75" hidden="1" customHeight="1">
      <c r="A280" s="5" t="s">
        <v>17</v>
      </c>
      <c r="B280" s="14">
        <v>1485.0</v>
      </c>
      <c r="C280" s="12">
        <v>1538.0</v>
      </c>
      <c r="D280" s="5">
        <f t="shared" si="206"/>
        <v>0.053</v>
      </c>
      <c r="E280" s="5">
        <f t="shared" si="207"/>
        <v>39.14</v>
      </c>
      <c r="F280" s="5">
        <v>55.0</v>
      </c>
      <c r="G280" s="7">
        <f t="shared" si="208"/>
        <v>136.70396</v>
      </c>
      <c r="H280" s="7">
        <f t="shared" si="209"/>
        <v>5.28463</v>
      </c>
      <c r="I280" s="7">
        <f t="shared" si="210"/>
        <v>26.235</v>
      </c>
      <c r="J280" s="7">
        <f t="shared" si="211"/>
        <v>65.9532</v>
      </c>
      <c r="K280" s="7">
        <f t="shared" si="212"/>
        <v>1.4999</v>
      </c>
      <c r="L280" s="7">
        <f t="shared" si="213"/>
        <v>329.81669</v>
      </c>
      <c r="M280" s="7">
        <f t="shared" si="214"/>
        <v>69.2615049</v>
      </c>
      <c r="N280" s="7">
        <f t="shared" si="215"/>
        <v>399.0781949</v>
      </c>
    </row>
    <row r="281" ht="15.75" hidden="1" customHeight="1">
      <c r="A281" s="5" t="s">
        <v>18</v>
      </c>
      <c r="B281" s="14">
        <v>1537.0</v>
      </c>
      <c r="C281" s="12">
        <v>1606.0</v>
      </c>
      <c r="D281" s="5">
        <f t="shared" si="206"/>
        <v>0.069</v>
      </c>
      <c r="E281" s="5">
        <f t="shared" si="207"/>
        <v>39.14</v>
      </c>
      <c r="F281" s="5">
        <v>55.0</v>
      </c>
      <c r="G281" s="7">
        <f t="shared" si="208"/>
        <v>177.97308</v>
      </c>
      <c r="H281" s="7">
        <f t="shared" si="209"/>
        <v>6.87999</v>
      </c>
      <c r="I281" s="7">
        <f t="shared" si="210"/>
        <v>34.155</v>
      </c>
      <c r="J281" s="7">
        <f t="shared" si="211"/>
        <v>85.8636</v>
      </c>
      <c r="K281" s="7">
        <f t="shared" si="212"/>
        <v>1.9527</v>
      </c>
      <c r="L281" s="7">
        <f t="shared" si="213"/>
        <v>400.96437</v>
      </c>
      <c r="M281" s="7">
        <f t="shared" si="214"/>
        <v>84.2025177</v>
      </c>
      <c r="N281" s="7">
        <f t="shared" si="215"/>
        <v>485.1668877</v>
      </c>
    </row>
    <row r="282" ht="15.75" hidden="1" customHeight="1">
      <c r="A282" s="5" t="s">
        <v>19</v>
      </c>
      <c r="B282" s="14">
        <v>54575.0</v>
      </c>
      <c r="C282" s="12">
        <v>55921.0</v>
      </c>
      <c r="D282" s="5">
        <f t="shared" si="206"/>
        <v>1.346</v>
      </c>
      <c r="E282" s="5">
        <v>169.69</v>
      </c>
      <c r="F282" s="5">
        <v>78.05</v>
      </c>
      <c r="G282" s="7">
        <f t="shared" si="208"/>
        <v>3471.76472</v>
      </c>
      <c r="H282" s="7">
        <f t="shared" si="209"/>
        <v>134.20966</v>
      </c>
      <c r="I282" s="7">
        <f t="shared" si="210"/>
        <v>666.27</v>
      </c>
      <c r="J282" s="7">
        <f t="shared" si="211"/>
        <v>1674.9624</v>
      </c>
      <c r="K282" s="7">
        <f t="shared" si="212"/>
        <v>38.0918</v>
      </c>
      <c r="L282" s="7">
        <f t="shared" si="213"/>
        <v>6233.03858</v>
      </c>
      <c r="M282" s="7">
        <f t="shared" si="214"/>
        <v>1308.938102</v>
      </c>
      <c r="N282" s="7">
        <f t="shared" si="215"/>
        <v>7541.976682</v>
      </c>
    </row>
    <row r="283" ht="15.75" hidden="1" customHeight="1">
      <c r="A283" s="5" t="s">
        <v>30</v>
      </c>
      <c r="B283" s="14">
        <v>9372.0</v>
      </c>
      <c r="C283" s="12">
        <v>9488.0</v>
      </c>
      <c r="D283" s="5">
        <f t="shared" si="206"/>
        <v>0.116</v>
      </c>
      <c r="E283" s="5">
        <f t="shared" ref="E283:E284" si="216">29.8+9.34</f>
        <v>39.14</v>
      </c>
      <c r="F283" s="5">
        <v>55.0</v>
      </c>
      <c r="G283" s="7">
        <f t="shared" si="208"/>
        <v>299.20112</v>
      </c>
      <c r="H283" s="7">
        <f t="shared" si="209"/>
        <v>11.56636</v>
      </c>
      <c r="I283" s="7">
        <f t="shared" si="210"/>
        <v>57.42</v>
      </c>
      <c r="J283" s="7">
        <f t="shared" si="211"/>
        <v>144.3504</v>
      </c>
      <c r="K283" s="7">
        <f t="shared" si="212"/>
        <v>3.2828</v>
      </c>
      <c r="L283" s="7">
        <f t="shared" si="213"/>
        <v>609.96068</v>
      </c>
      <c r="M283" s="7">
        <f t="shared" si="214"/>
        <v>128.0917428</v>
      </c>
      <c r="N283" s="7">
        <f t="shared" si="215"/>
        <v>738.0524228</v>
      </c>
    </row>
    <row r="284" ht="15.75" hidden="1" customHeight="1">
      <c r="A284" s="5" t="s">
        <v>31</v>
      </c>
      <c r="B284" s="14">
        <v>43506.0</v>
      </c>
      <c r="C284" s="12">
        <v>44087.0</v>
      </c>
      <c r="D284" s="5">
        <f t="shared" si="206"/>
        <v>0.581</v>
      </c>
      <c r="E284" s="5">
        <f t="shared" si="216"/>
        <v>39.14</v>
      </c>
      <c r="F284" s="5">
        <v>55.0</v>
      </c>
      <c r="G284" s="7">
        <f t="shared" si="208"/>
        <v>1498.58492</v>
      </c>
      <c r="H284" s="7">
        <f t="shared" si="209"/>
        <v>57.93151</v>
      </c>
      <c r="I284" s="7">
        <f t="shared" si="210"/>
        <v>287.595</v>
      </c>
      <c r="J284" s="7">
        <f t="shared" si="211"/>
        <v>722.9964</v>
      </c>
      <c r="K284" s="7">
        <f t="shared" si="212"/>
        <v>16.4423</v>
      </c>
      <c r="L284" s="13">
        <f t="shared" si="213"/>
        <v>2677.69013</v>
      </c>
      <c r="M284" s="7">
        <f t="shared" si="214"/>
        <v>562.3149273</v>
      </c>
      <c r="N284" s="7">
        <f t="shared" si="215"/>
        <v>3240.005057</v>
      </c>
    </row>
    <row r="285" ht="15.75" hidden="1" customHeight="1">
      <c r="A285" s="5"/>
      <c r="C285" s="4"/>
      <c r="D285" s="5"/>
      <c r="G285" s="5"/>
      <c r="L285" s="18">
        <f>SUM(L274:L284)</f>
        <v>12368.21922</v>
      </c>
      <c r="M285" s="19">
        <f t="shared" si="214"/>
        <v>2597.326036</v>
      </c>
      <c r="N285" s="20">
        <f t="shared" si="215"/>
        <v>14965.54526</v>
      </c>
    </row>
    <row r="286" ht="15.75" hidden="1" customHeight="1">
      <c r="A286" s="5"/>
      <c r="C286" s="4"/>
      <c r="D286" s="5"/>
      <c r="G286" s="5"/>
    </row>
    <row r="287" ht="15.75" hidden="1" customHeight="1">
      <c r="A287" s="5" t="s">
        <v>42</v>
      </c>
      <c r="C287" s="4"/>
      <c r="D287" s="5"/>
      <c r="G287" s="5"/>
    </row>
    <row r="288" ht="15.75" hidden="1" customHeight="1">
      <c r="A288" s="5" t="s">
        <v>11</v>
      </c>
      <c r="B288" s="14">
        <v>2123.0</v>
      </c>
      <c r="C288" s="12">
        <v>2248.0</v>
      </c>
      <c r="D288" s="5">
        <f t="shared" ref="D288:D298" si="217">(C288-B288)/1000</f>
        <v>0.125</v>
      </c>
      <c r="E288" s="5">
        <f t="shared" ref="E288:E295" si="218">29.8+9.34</f>
        <v>39.14</v>
      </c>
      <c r="F288" s="5">
        <v>55.0</v>
      </c>
      <c r="G288" s="7">
        <f t="shared" ref="G288:G298" si="219">D288*$G$2</f>
        <v>322.415</v>
      </c>
      <c r="H288" s="7">
        <f t="shared" ref="H288:H298" si="220">D288*$H$2</f>
        <v>12.46375</v>
      </c>
      <c r="I288" s="7">
        <f t="shared" ref="I288:I298" si="221">D288*$I$2</f>
        <v>61.875</v>
      </c>
      <c r="J288" s="7">
        <f t="shared" ref="J288:J298" si="222">D288*$J$2</f>
        <v>155.55</v>
      </c>
      <c r="K288" s="7">
        <f t="shared" ref="K288:K298" si="223">D288*$K$2</f>
        <v>3.5375</v>
      </c>
      <c r="L288" s="7">
        <f t="shared" ref="L288:L298" si="224">SUM(E288:K288)</f>
        <v>649.98125</v>
      </c>
      <c r="M288" s="7">
        <f t="shared" ref="M288:M299" si="225">L288*0.21</f>
        <v>136.4960625</v>
      </c>
      <c r="N288" s="7">
        <f t="shared" ref="N288:N299" si="226">L288+M288</f>
        <v>786.4773125</v>
      </c>
    </row>
    <row r="289" ht="15.75" hidden="1" customHeight="1">
      <c r="A289" s="5" t="s">
        <v>12</v>
      </c>
      <c r="B289" s="14">
        <v>1614.0</v>
      </c>
      <c r="C289" s="12">
        <v>1708.0</v>
      </c>
      <c r="D289" s="5">
        <f t="shared" si="217"/>
        <v>0.094</v>
      </c>
      <c r="E289" s="5">
        <f t="shared" si="218"/>
        <v>39.14</v>
      </c>
      <c r="F289" s="5">
        <v>55.0</v>
      </c>
      <c r="G289" s="7">
        <f t="shared" si="219"/>
        <v>242.45608</v>
      </c>
      <c r="H289" s="7">
        <f t="shared" si="220"/>
        <v>9.37274</v>
      </c>
      <c r="I289" s="7">
        <f t="shared" si="221"/>
        <v>46.53</v>
      </c>
      <c r="J289" s="7">
        <f t="shared" si="222"/>
        <v>116.9736</v>
      </c>
      <c r="K289" s="7">
        <f t="shared" si="223"/>
        <v>2.6602</v>
      </c>
      <c r="L289" s="7">
        <f t="shared" si="224"/>
        <v>512.13262</v>
      </c>
      <c r="M289" s="7">
        <f t="shared" si="225"/>
        <v>107.5478502</v>
      </c>
      <c r="N289" s="7">
        <f t="shared" si="226"/>
        <v>619.6804702</v>
      </c>
    </row>
    <row r="290" ht="15.75" hidden="1" customHeight="1">
      <c r="A290" s="5" t="s">
        <v>13</v>
      </c>
      <c r="B290" s="14">
        <v>1994.0</v>
      </c>
      <c r="C290" s="12">
        <v>2119.0</v>
      </c>
      <c r="D290" s="5">
        <f t="shared" si="217"/>
        <v>0.125</v>
      </c>
      <c r="E290" s="5">
        <f t="shared" si="218"/>
        <v>39.14</v>
      </c>
      <c r="F290" s="5">
        <v>55.0</v>
      </c>
      <c r="G290" s="7">
        <f t="shared" si="219"/>
        <v>322.415</v>
      </c>
      <c r="H290" s="7">
        <f t="shared" si="220"/>
        <v>12.46375</v>
      </c>
      <c r="I290" s="7">
        <f t="shared" si="221"/>
        <v>61.875</v>
      </c>
      <c r="J290" s="7">
        <f t="shared" si="222"/>
        <v>155.55</v>
      </c>
      <c r="K290" s="7">
        <f t="shared" si="223"/>
        <v>3.5375</v>
      </c>
      <c r="L290" s="7">
        <f t="shared" si="224"/>
        <v>649.98125</v>
      </c>
      <c r="M290" s="7">
        <f t="shared" si="225"/>
        <v>136.4960625</v>
      </c>
      <c r="N290" s="7">
        <f t="shared" si="226"/>
        <v>786.4773125</v>
      </c>
    </row>
    <row r="291" ht="15.75" hidden="1" customHeight="1">
      <c r="A291" s="5" t="s">
        <v>14</v>
      </c>
      <c r="B291" s="14">
        <v>1575.0</v>
      </c>
      <c r="C291" s="12">
        <v>1679.0</v>
      </c>
      <c r="D291" s="5">
        <f t="shared" si="217"/>
        <v>0.104</v>
      </c>
      <c r="E291" s="5">
        <f t="shared" si="218"/>
        <v>39.14</v>
      </c>
      <c r="F291" s="5">
        <v>55.0</v>
      </c>
      <c r="G291" s="7">
        <f t="shared" si="219"/>
        <v>268.24928</v>
      </c>
      <c r="H291" s="7">
        <f t="shared" si="220"/>
        <v>10.36984</v>
      </c>
      <c r="I291" s="7">
        <f t="shared" si="221"/>
        <v>51.48</v>
      </c>
      <c r="J291" s="7">
        <f t="shared" si="222"/>
        <v>129.4176</v>
      </c>
      <c r="K291" s="7">
        <f t="shared" si="223"/>
        <v>2.9432</v>
      </c>
      <c r="L291" s="7">
        <f t="shared" si="224"/>
        <v>556.59992</v>
      </c>
      <c r="M291" s="7">
        <f t="shared" si="225"/>
        <v>116.8859832</v>
      </c>
      <c r="N291" s="7">
        <f t="shared" si="226"/>
        <v>673.4859032</v>
      </c>
    </row>
    <row r="292" ht="15.75" hidden="1" customHeight="1">
      <c r="A292" s="5" t="s">
        <v>15</v>
      </c>
      <c r="B292" s="14">
        <v>1746.0</v>
      </c>
      <c r="C292" s="12">
        <v>1824.0</v>
      </c>
      <c r="D292" s="5">
        <f t="shared" si="217"/>
        <v>0.078</v>
      </c>
      <c r="E292" s="5">
        <f t="shared" si="218"/>
        <v>39.14</v>
      </c>
      <c r="F292" s="5">
        <v>55.0</v>
      </c>
      <c r="G292" s="7">
        <f t="shared" si="219"/>
        <v>201.18696</v>
      </c>
      <c r="H292" s="7">
        <f t="shared" si="220"/>
        <v>7.77738</v>
      </c>
      <c r="I292" s="7">
        <f t="shared" si="221"/>
        <v>38.61</v>
      </c>
      <c r="J292" s="7">
        <f t="shared" si="222"/>
        <v>97.0632</v>
      </c>
      <c r="K292" s="7">
        <f t="shared" si="223"/>
        <v>2.2074</v>
      </c>
      <c r="L292" s="7">
        <f t="shared" si="224"/>
        <v>440.98494</v>
      </c>
      <c r="M292" s="7">
        <f t="shared" si="225"/>
        <v>92.6068374</v>
      </c>
      <c r="N292" s="7">
        <f t="shared" si="226"/>
        <v>533.5917774</v>
      </c>
    </row>
    <row r="293" ht="15.75" hidden="1" customHeight="1">
      <c r="A293" s="5" t="s">
        <v>16</v>
      </c>
      <c r="B293" s="14">
        <v>1386.0</v>
      </c>
      <c r="C293" s="12">
        <v>1467.0</v>
      </c>
      <c r="D293" s="5">
        <f t="shared" si="217"/>
        <v>0.081</v>
      </c>
      <c r="E293" s="5">
        <f t="shared" si="218"/>
        <v>39.14</v>
      </c>
      <c r="F293" s="5">
        <v>55.0</v>
      </c>
      <c r="G293" s="7">
        <f t="shared" si="219"/>
        <v>208.92492</v>
      </c>
      <c r="H293" s="7">
        <f t="shared" si="220"/>
        <v>8.07651</v>
      </c>
      <c r="I293" s="7">
        <f t="shared" si="221"/>
        <v>40.095</v>
      </c>
      <c r="J293" s="7">
        <f t="shared" si="222"/>
        <v>100.7964</v>
      </c>
      <c r="K293" s="7">
        <f t="shared" si="223"/>
        <v>2.2923</v>
      </c>
      <c r="L293" s="7">
        <f t="shared" si="224"/>
        <v>454.32513</v>
      </c>
      <c r="M293" s="7">
        <f t="shared" si="225"/>
        <v>95.4082773</v>
      </c>
      <c r="N293" s="7">
        <f t="shared" si="226"/>
        <v>549.7334073</v>
      </c>
    </row>
    <row r="294" ht="15.75" hidden="1" customHeight="1">
      <c r="A294" s="5" t="s">
        <v>17</v>
      </c>
      <c r="B294" s="14">
        <v>1538.0</v>
      </c>
      <c r="C294" s="12">
        <v>1624.0</v>
      </c>
      <c r="D294" s="5">
        <f t="shared" si="217"/>
        <v>0.086</v>
      </c>
      <c r="E294" s="5">
        <f t="shared" si="218"/>
        <v>39.14</v>
      </c>
      <c r="F294" s="5">
        <v>55.0</v>
      </c>
      <c r="G294" s="7">
        <f t="shared" si="219"/>
        <v>221.82152</v>
      </c>
      <c r="H294" s="7">
        <f t="shared" si="220"/>
        <v>8.57506</v>
      </c>
      <c r="I294" s="7">
        <f t="shared" si="221"/>
        <v>42.57</v>
      </c>
      <c r="J294" s="7">
        <f t="shared" si="222"/>
        <v>107.0184</v>
      </c>
      <c r="K294" s="7">
        <f t="shared" si="223"/>
        <v>2.4338</v>
      </c>
      <c r="L294" s="7">
        <f t="shared" si="224"/>
        <v>476.55878</v>
      </c>
      <c r="M294" s="7">
        <f t="shared" si="225"/>
        <v>100.0773438</v>
      </c>
      <c r="N294" s="7">
        <f t="shared" si="226"/>
        <v>576.6361238</v>
      </c>
    </row>
    <row r="295" ht="15.75" hidden="1" customHeight="1">
      <c r="A295" s="5" t="s">
        <v>18</v>
      </c>
      <c r="B295" s="14">
        <v>1606.0</v>
      </c>
      <c r="C295" s="12">
        <v>1678.0</v>
      </c>
      <c r="D295" s="5">
        <f t="shared" si="217"/>
        <v>0.072</v>
      </c>
      <c r="E295" s="5">
        <f t="shared" si="218"/>
        <v>39.14</v>
      </c>
      <c r="F295" s="5">
        <v>55.0</v>
      </c>
      <c r="G295" s="7">
        <f t="shared" si="219"/>
        <v>185.71104</v>
      </c>
      <c r="H295" s="7">
        <f t="shared" si="220"/>
        <v>7.17912</v>
      </c>
      <c r="I295" s="7">
        <f t="shared" si="221"/>
        <v>35.64</v>
      </c>
      <c r="J295" s="7">
        <f t="shared" si="222"/>
        <v>89.5968</v>
      </c>
      <c r="K295" s="7">
        <f t="shared" si="223"/>
        <v>2.0376</v>
      </c>
      <c r="L295" s="7">
        <f t="shared" si="224"/>
        <v>414.30456</v>
      </c>
      <c r="M295" s="7">
        <f t="shared" si="225"/>
        <v>87.0039576</v>
      </c>
      <c r="N295" s="7">
        <f t="shared" si="226"/>
        <v>501.3085176</v>
      </c>
    </row>
    <row r="296" ht="15.75" hidden="1" customHeight="1">
      <c r="A296" s="5" t="s">
        <v>19</v>
      </c>
      <c r="B296" s="14">
        <v>55921.0</v>
      </c>
      <c r="C296" s="12">
        <v>57723.0</v>
      </c>
      <c r="D296" s="5">
        <f t="shared" si="217"/>
        <v>1.802</v>
      </c>
      <c r="E296" s="5">
        <v>169.69</v>
      </c>
      <c r="F296" s="5">
        <v>78.05</v>
      </c>
      <c r="G296" s="7">
        <f t="shared" si="219"/>
        <v>4647.93464</v>
      </c>
      <c r="H296" s="7">
        <f t="shared" si="220"/>
        <v>179.67742</v>
      </c>
      <c r="I296" s="7">
        <f t="shared" si="221"/>
        <v>891.99</v>
      </c>
      <c r="J296" s="7">
        <f t="shared" si="222"/>
        <v>2242.4088</v>
      </c>
      <c r="K296" s="7">
        <f t="shared" si="223"/>
        <v>50.9966</v>
      </c>
      <c r="L296" s="7">
        <f t="shared" si="224"/>
        <v>8260.74746</v>
      </c>
      <c r="M296" s="7">
        <f t="shared" si="225"/>
        <v>1734.756967</v>
      </c>
      <c r="N296" s="7">
        <f t="shared" si="226"/>
        <v>9995.504427</v>
      </c>
    </row>
    <row r="297" ht="15.75" hidden="1" customHeight="1">
      <c r="A297" s="5" t="s">
        <v>30</v>
      </c>
      <c r="B297" s="14">
        <v>9488.0</v>
      </c>
      <c r="C297" s="12">
        <v>9647.0</v>
      </c>
      <c r="D297" s="5">
        <f t="shared" si="217"/>
        <v>0.159</v>
      </c>
      <c r="E297" s="5">
        <f t="shared" ref="E297:E298" si="227">29.8+9.34</f>
        <v>39.14</v>
      </c>
      <c r="F297" s="5">
        <v>55.0</v>
      </c>
      <c r="G297" s="7">
        <f t="shared" si="219"/>
        <v>410.11188</v>
      </c>
      <c r="H297" s="7">
        <f t="shared" si="220"/>
        <v>15.85389</v>
      </c>
      <c r="I297" s="7">
        <f t="shared" si="221"/>
        <v>78.705</v>
      </c>
      <c r="J297" s="7">
        <f t="shared" si="222"/>
        <v>197.8596</v>
      </c>
      <c r="K297" s="7">
        <f t="shared" si="223"/>
        <v>4.4997</v>
      </c>
      <c r="L297" s="7">
        <f t="shared" si="224"/>
        <v>801.17007</v>
      </c>
      <c r="M297" s="7">
        <f t="shared" si="225"/>
        <v>168.2457147</v>
      </c>
      <c r="N297" s="7">
        <f t="shared" si="226"/>
        <v>969.4157847</v>
      </c>
    </row>
    <row r="298" ht="15.75" hidden="1" customHeight="1">
      <c r="A298" s="5" t="s">
        <v>31</v>
      </c>
      <c r="B298" s="14">
        <v>44087.0</v>
      </c>
      <c r="C298" s="12">
        <v>44872.0</v>
      </c>
      <c r="D298" s="5">
        <f t="shared" si="217"/>
        <v>0.785</v>
      </c>
      <c r="E298" s="5">
        <f t="shared" si="227"/>
        <v>39.14</v>
      </c>
      <c r="F298" s="5">
        <v>55.0</v>
      </c>
      <c r="G298" s="7">
        <f t="shared" si="219"/>
        <v>2024.7662</v>
      </c>
      <c r="H298" s="7">
        <f t="shared" si="220"/>
        <v>78.27235</v>
      </c>
      <c r="I298" s="7">
        <f t="shared" si="221"/>
        <v>388.575</v>
      </c>
      <c r="J298" s="7">
        <f t="shared" si="222"/>
        <v>976.854</v>
      </c>
      <c r="K298" s="7">
        <f t="shared" si="223"/>
        <v>22.2155</v>
      </c>
      <c r="L298" s="13">
        <f t="shared" si="224"/>
        <v>3584.82305</v>
      </c>
      <c r="M298" s="7">
        <f t="shared" si="225"/>
        <v>752.8128405</v>
      </c>
      <c r="N298" s="7">
        <f t="shared" si="226"/>
        <v>4337.635891</v>
      </c>
    </row>
    <row r="299" ht="15.75" hidden="1" customHeight="1">
      <c r="A299" s="5"/>
      <c r="C299" s="4"/>
      <c r="D299" s="5"/>
      <c r="G299" s="5"/>
      <c r="L299" s="18">
        <f>SUM(L288:L298)</f>
        <v>16801.60903</v>
      </c>
      <c r="M299" s="19">
        <f t="shared" si="225"/>
        <v>3528.337896</v>
      </c>
      <c r="N299" s="20">
        <f t="shared" si="226"/>
        <v>20329.94693</v>
      </c>
    </row>
    <row r="300" ht="15.75" hidden="1" customHeight="1">
      <c r="A300" s="5"/>
      <c r="C300" s="4"/>
      <c r="D300" s="5">
        <f>SUM(D288:D298)</f>
        <v>3.511</v>
      </c>
      <c r="G300" s="5"/>
    </row>
    <row r="301" ht="15.75" hidden="1" customHeight="1">
      <c r="A301" s="5"/>
      <c r="C301" s="4"/>
      <c r="D301" s="5"/>
      <c r="G301" s="5"/>
    </row>
    <row r="302" ht="15.75" hidden="1" customHeight="1">
      <c r="A302" s="5"/>
      <c r="B302" s="14"/>
      <c r="C302" s="12"/>
      <c r="D302" s="5"/>
      <c r="E302" s="5"/>
      <c r="F302" s="5"/>
      <c r="G302" s="7"/>
      <c r="H302" s="7"/>
      <c r="I302" s="7"/>
      <c r="J302" s="7"/>
      <c r="K302" s="7"/>
      <c r="L302" s="7"/>
      <c r="M302" s="7"/>
      <c r="N302" s="7"/>
    </row>
    <row r="303" ht="15.75" hidden="1" customHeight="1">
      <c r="A303" s="5" t="s">
        <v>43</v>
      </c>
      <c r="C303" s="4"/>
      <c r="D303" s="5"/>
      <c r="G303" s="5"/>
    </row>
    <row r="304" ht="15.75" hidden="1" customHeight="1">
      <c r="A304" s="5" t="s">
        <v>11</v>
      </c>
      <c r="B304" s="14">
        <v>2248.0</v>
      </c>
      <c r="C304" s="12">
        <v>2324.0</v>
      </c>
      <c r="D304" s="5">
        <f t="shared" ref="D304:D314" si="228">(C304-B304)/1000</f>
        <v>0.076</v>
      </c>
      <c r="E304" s="5">
        <f t="shared" ref="E304:E311" si="229">29.8+9.34</f>
        <v>39.14</v>
      </c>
      <c r="F304" s="5">
        <v>55.0</v>
      </c>
      <c r="G304" s="7">
        <f t="shared" ref="G304:G314" si="230">D304*$G$2</f>
        <v>196.02832</v>
      </c>
      <c r="H304" s="7">
        <f t="shared" ref="H304:H314" si="231">D304*$H$2</f>
        <v>7.57796</v>
      </c>
      <c r="I304" s="7">
        <f t="shared" ref="I304:I314" si="232">D304*$I$2</f>
        <v>37.62</v>
      </c>
      <c r="J304" s="7">
        <f t="shared" ref="J304:J314" si="233">D304*$J$2</f>
        <v>94.5744</v>
      </c>
      <c r="K304" s="7">
        <f t="shared" ref="K304:K314" si="234">D304*$K$2</f>
        <v>2.1508</v>
      </c>
      <c r="L304" s="7">
        <f t="shared" ref="L304:L314" si="235">SUM(E304:K304)</f>
        <v>432.09148</v>
      </c>
      <c r="M304" s="7">
        <f t="shared" ref="M304:M315" si="236">L304*0.21</f>
        <v>90.7392108</v>
      </c>
      <c r="N304" s="7">
        <f t="shared" ref="N304:N315" si="237">L304+M304</f>
        <v>522.8306908</v>
      </c>
    </row>
    <row r="305" ht="15.75" hidden="1" customHeight="1">
      <c r="A305" s="5" t="s">
        <v>12</v>
      </c>
      <c r="B305" s="14">
        <v>1708.0</v>
      </c>
      <c r="C305" s="12">
        <v>1784.0</v>
      </c>
      <c r="D305" s="5">
        <f t="shared" si="228"/>
        <v>0.076</v>
      </c>
      <c r="E305" s="5">
        <f t="shared" si="229"/>
        <v>39.14</v>
      </c>
      <c r="F305" s="5">
        <v>55.0</v>
      </c>
      <c r="G305" s="7">
        <f t="shared" si="230"/>
        <v>196.02832</v>
      </c>
      <c r="H305" s="7">
        <f t="shared" si="231"/>
        <v>7.57796</v>
      </c>
      <c r="I305" s="7">
        <f t="shared" si="232"/>
        <v>37.62</v>
      </c>
      <c r="J305" s="7">
        <f t="shared" si="233"/>
        <v>94.5744</v>
      </c>
      <c r="K305" s="7">
        <f t="shared" si="234"/>
        <v>2.1508</v>
      </c>
      <c r="L305" s="7">
        <f t="shared" si="235"/>
        <v>432.09148</v>
      </c>
      <c r="M305" s="7">
        <f t="shared" si="236"/>
        <v>90.7392108</v>
      </c>
      <c r="N305" s="7">
        <f t="shared" si="237"/>
        <v>522.8306908</v>
      </c>
    </row>
    <row r="306" ht="15.75" hidden="1" customHeight="1">
      <c r="A306" s="5" t="s">
        <v>13</v>
      </c>
      <c r="B306" s="14">
        <v>2119.0</v>
      </c>
      <c r="C306" s="12">
        <v>2223.0</v>
      </c>
      <c r="D306" s="5">
        <f t="shared" si="228"/>
        <v>0.104</v>
      </c>
      <c r="E306" s="5">
        <f t="shared" si="229"/>
        <v>39.14</v>
      </c>
      <c r="F306" s="5">
        <v>55.0</v>
      </c>
      <c r="G306" s="7">
        <f t="shared" si="230"/>
        <v>268.24928</v>
      </c>
      <c r="H306" s="7">
        <f t="shared" si="231"/>
        <v>10.36984</v>
      </c>
      <c r="I306" s="7">
        <f t="shared" si="232"/>
        <v>51.48</v>
      </c>
      <c r="J306" s="7">
        <f t="shared" si="233"/>
        <v>129.4176</v>
      </c>
      <c r="K306" s="7">
        <f t="shared" si="234"/>
        <v>2.9432</v>
      </c>
      <c r="L306" s="7">
        <f t="shared" si="235"/>
        <v>556.59992</v>
      </c>
      <c r="M306" s="7">
        <f t="shared" si="236"/>
        <v>116.8859832</v>
      </c>
      <c r="N306" s="7">
        <f t="shared" si="237"/>
        <v>673.4859032</v>
      </c>
    </row>
    <row r="307" ht="15.75" hidden="1" customHeight="1">
      <c r="A307" s="5" t="s">
        <v>14</v>
      </c>
      <c r="B307" s="14">
        <v>1679.0</v>
      </c>
      <c r="C307" s="12">
        <v>1753.0</v>
      </c>
      <c r="D307" s="5">
        <f t="shared" si="228"/>
        <v>0.074</v>
      </c>
      <c r="E307" s="5">
        <f t="shared" si="229"/>
        <v>39.14</v>
      </c>
      <c r="F307" s="5">
        <v>55.0</v>
      </c>
      <c r="G307" s="7">
        <f t="shared" si="230"/>
        <v>190.86968</v>
      </c>
      <c r="H307" s="7">
        <f t="shared" si="231"/>
        <v>7.37854</v>
      </c>
      <c r="I307" s="7">
        <f t="shared" si="232"/>
        <v>36.63</v>
      </c>
      <c r="J307" s="7">
        <f t="shared" si="233"/>
        <v>92.0856</v>
      </c>
      <c r="K307" s="7">
        <f t="shared" si="234"/>
        <v>2.0942</v>
      </c>
      <c r="L307" s="7">
        <f t="shared" si="235"/>
        <v>423.19802</v>
      </c>
      <c r="M307" s="7">
        <f t="shared" si="236"/>
        <v>88.8715842</v>
      </c>
      <c r="N307" s="7">
        <f t="shared" si="237"/>
        <v>512.0696042</v>
      </c>
    </row>
    <row r="308" ht="15.75" hidden="1" customHeight="1">
      <c r="A308" s="5" t="s">
        <v>15</v>
      </c>
      <c r="B308" s="14">
        <v>1824.0</v>
      </c>
      <c r="C308" s="12">
        <v>1893.0</v>
      </c>
      <c r="D308" s="5">
        <f t="shared" si="228"/>
        <v>0.069</v>
      </c>
      <c r="E308" s="5">
        <f t="shared" si="229"/>
        <v>39.14</v>
      </c>
      <c r="F308" s="5">
        <v>55.0</v>
      </c>
      <c r="G308" s="7">
        <f t="shared" si="230"/>
        <v>177.97308</v>
      </c>
      <c r="H308" s="7">
        <f t="shared" si="231"/>
        <v>6.87999</v>
      </c>
      <c r="I308" s="7">
        <f t="shared" si="232"/>
        <v>34.155</v>
      </c>
      <c r="J308" s="7">
        <f t="shared" si="233"/>
        <v>85.8636</v>
      </c>
      <c r="K308" s="7">
        <f t="shared" si="234"/>
        <v>1.9527</v>
      </c>
      <c r="L308" s="7">
        <f t="shared" si="235"/>
        <v>400.96437</v>
      </c>
      <c r="M308" s="7">
        <f t="shared" si="236"/>
        <v>84.2025177</v>
      </c>
      <c r="N308" s="7">
        <f t="shared" si="237"/>
        <v>485.1668877</v>
      </c>
    </row>
    <row r="309" ht="15.75" hidden="1" customHeight="1">
      <c r="A309" s="5" t="s">
        <v>16</v>
      </c>
      <c r="B309" s="14">
        <v>1467.0</v>
      </c>
      <c r="C309" s="12">
        <v>1529.0</v>
      </c>
      <c r="D309" s="5">
        <f t="shared" si="228"/>
        <v>0.062</v>
      </c>
      <c r="E309" s="5">
        <f t="shared" si="229"/>
        <v>39.14</v>
      </c>
      <c r="F309" s="5">
        <v>55.0</v>
      </c>
      <c r="G309" s="7">
        <f t="shared" si="230"/>
        <v>159.91784</v>
      </c>
      <c r="H309" s="7">
        <f t="shared" si="231"/>
        <v>6.18202</v>
      </c>
      <c r="I309" s="7">
        <f t="shared" si="232"/>
        <v>30.69</v>
      </c>
      <c r="J309" s="7">
        <f t="shared" si="233"/>
        <v>77.1528</v>
      </c>
      <c r="K309" s="7">
        <f t="shared" si="234"/>
        <v>1.7546</v>
      </c>
      <c r="L309" s="7">
        <f t="shared" si="235"/>
        <v>369.83726</v>
      </c>
      <c r="M309" s="7">
        <f t="shared" si="236"/>
        <v>77.6658246</v>
      </c>
      <c r="N309" s="7">
        <f t="shared" si="237"/>
        <v>447.5030846</v>
      </c>
    </row>
    <row r="310" ht="15.75" hidden="1" customHeight="1">
      <c r="A310" s="5" t="s">
        <v>17</v>
      </c>
      <c r="B310" s="14">
        <v>1624.0</v>
      </c>
      <c r="C310" s="12">
        <v>1700.0</v>
      </c>
      <c r="D310" s="5">
        <f t="shared" si="228"/>
        <v>0.076</v>
      </c>
      <c r="E310" s="5">
        <f t="shared" si="229"/>
        <v>39.14</v>
      </c>
      <c r="F310" s="5">
        <v>55.0</v>
      </c>
      <c r="G310" s="7">
        <f t="shared" si="230"/>
        <v>196.02832</v>
      </c>
      <c r="H310" s="7">
        <f t="shared" si="231"/>
        <v>7.57796</v>
      </c>
      <c r="I310" s="7">
        <f t="shared" si="232"/>
        <v>37.62</v>
      </c>
      <c r="J310" s="7">
        <f t="shared" si="233"/>
        <v>94.5744</v>
      </c>
      <c r="K310" s="7">
        <f t="shared" si="234"/>
        <v>2.1508</v>
      </c>
      <c r="L310" s="7">
        <f t="shared" si="235"/>
        <v>432.09148</v>
      </c>
      <c r="M310" s="7">
        <f t="shared" si="236"/>
        <v>90.7392108</v>
      </c>
      <c r="N310" s="7">
        <f t="shared" si="237"/>
        <v>522.8306908</v>
      </c>
    </row>
    <row r="311" ht="15.75" hidden="1" customHeight="1">
      <c r="A311" s="5" t="s">
        <v>18</v>
      </c>
      <c r="B311" s="14">
        <v>1678.0</v>
      </c>
      <c r="C311" s="12">
        <v>1752.0</v>
      </c>
      <c r="D311" s="5">
        <f t="shared" si="228"/>
        <v>0.074</v>
      </c>
      <c r="E311" s="5">
        <f t="shared" si="229"/>
        <v>39.14</v>
      </c>
      <c r="F311" s="5">
        <v>55.0</v>
      </c>
      <c r="G311" s="7">
        <f t="shared" si="230"/>
        <v>190.86968</v>
      </c>
      <c r="H311" s="7">
        <f t="shared" si="231"/>
        <v>7.37854</v>
      </c>
      <c r="I311" s="7">
        <f t="shared" si="232"/>
        <v>36.63</v>
      </c>
      <c r="J311" s="7">
        <f t="shared" si="233"/>
        <v>92.0856</v>
      </c>
      <c r="K311" s="7">
        <f t="shared" si="234"/>
        <v>2.0942</v>
      </c>
      <c r="L311" s="7">
        <f t="shared" si="235"/>
        <v>423.19802</v>
      </c>
      <c r="M311" s="7">
        <f t="shared" si="236"/>
        <v>88.8715842</v>
      </c>
      <c r="N311" s="7">
        <f t="shared" si="237"/>
        <v>512.0696042</v>
      </c>
    </row>
    <row r="312" ht="15.75" hidden="1" customHeight="1">
      <c r="A312" s="5" t="s">
        <v>19</v>
      </c>
      <c r="B312" s="14">
        <v>57723.0</v>
      </c>
      <c r="C312" s="12">
        <v>59161.0</v>
      </c>
      <c r="D312" s="5">
        <f t="shared" si="228"/>
        <v>1.438</v>
      </c>
      <c r="E312" s="5">
        <v>169.69</v>
      </c>
      <c r="F312" s="5">
        <v>78.05</v>
      </c>
      <c r="G312" s="7">
        <f t="shared" si="230"/>
        <v>3709.06216</v>
      </c>
      <c r="H312" s="7">
        <f t="shared" si="231"/>
        <v>143.38298</v>
      </c>
      <c r="I312" s="7">
        <f t="shared" si="232"/>
        <v>711.81</v>
      </c>
      <c r="J312" s="7">
        <f t="shared" si="233"/>
        <v>1789.4472</v>
      </c>
      <c r="K312" s="7">
        <f t="shared" si="234"/>
        <v>40.6954</v>
      </c>
      <c r="L312" s="7">
        <f t="shared" si="235"/>
        <v>6642.13774</v>
      </c>
      <c r="M312" s="7">
        <f t="shared" si="236"/>
        <v>1394.848925</v>
      </c>
      <c r="N312" s="7">
        <f t="shared" si="237"/>
        <v>8036.986665</v>
      </c>
    </row>
    <row r="313" ht="15.75" hidden="1" customHeight="1">
      <c r="A313" s="5" t="s">
        <v>30</v>
      </c>
      <c r="B313" s="14">
        <v>9647.0</v>
      </c>
      <c r="C313" s="12">
        <v>9669.0</v>
      </c>
      <c r="D313" s="5">
        <f t="shared" si="228"/>
        <v>0.022</v>
      </c>
      <c r="E313" s="5">
        <f t="shared" ref="E313:E314" si="238">29.8+9.34</f>
        <v>39.14</v>
      </c>
      <c r="F313" s="5">
        <v>55.0</v>
      </c>
      <c r="G313" s="7">
        <f t="shared" si="230"/>
        <v>56.74504</v>
      </c>
      <c r="H313" s="7">
        <f t="shared" si="231"/>
        <v>2.19362</v>
      </c>
      <c r="I313" s="7">
        <f t="shared" si="232"/>
        <v>10.89</v>
      </c>
      <c r="J313" s="7">
        <f t="shared" si="233"/>
        <v>27.3768</v>
      </c>
      <c r="K313" s="7">
        <f t="shared" si="234"/>
        <v>0.6226</v>
      </c>
      <c r="L313" s="7">
        <f t="shared" si="235"/>
        <v>191.96806</v>
      </c>
      <c r="M313" s="7">
        <f t="shared" si="236"/>
        <v>40.3132926</v>
      </c>
      <c r="N313" s="7">
        <f t="shared" si="237"/>
        <v>232.2813526</v>
      </c>
    </row>
    <row r="314" ht="15.75" hidden="1" customHeight="1">
      <c r="A314" s="5" t="s">
        <v>31</v>
      </c>
      <c r="B314" s="14">
        <v>44872.0</v>
      </c>
      <c r="C314" s="12">
        <v>44977.0</v>
      </c>
      <c r="D314" s="5">
        <f t="shared" si="228"/>
        <v>0.105</v>
      </c>
      <c r="E314" s="5">
        <f t="shared" si="238"/>
        <v>39.14</v>
      </c>
      <c r="F314" s="5">
        <v>55.0</v>
      </c>
      <c r="G314" s="7">
        <f t="shared" si="230"/>
        <v>270.8286</v>
      </c>
      <c r="H314" s="7">
        <f t="shared" si="231"/>
        <v>10.46955</v>
      </c>
      <c r="I314" s="7">
        <f t="shared" si="232"/>
        <v>51.975</v>
      </c>
      <c r="J314" s="7">
        <f t="shared" si="233"/>
        <v>130.662</v>
      </c>
      <c r="K314" s="7">
        <f t="shared" si="234"/>
        <v>2.9715</v>
      </c>
      <c r="L314" s="13">
        <f t="shared" si="235"/>
        <v>561.04665</v>
      </c>
      <c r="M314" s="7">
        <f t="shared" si="236"/>
        <v>117.8197965</v>
      </c>
      <c r="N314" s="7">
        <f t="shared" si="237"/>
        <v>678.8664465</v>
      </c>
    </row>
    <row r="315" ht="15.75" hidden="1" customHeight="1">
      <c r="A315" s="5"/>
      <c r="C315" s="4"/>
      <c r="D315" s="5"/>
      <c r="G315" s="5"/>
      <c r="L315" s="18">
        <f>SUM(L304:L314)</f>
        <v>10865.22448</v>
      </c>
      <c r="M315" s="19">
        <f t="shared" si="236"/>
        <v>2281.697141</v>
      </c>
      <c r="N315" s="20">
        <f t="shared" si="237"/>
        <v>13146.92162</v>
      </c>
    </row>
    <row r="316" ht="15.75" hidden="1" customHeight="1">
      <c r="A316" s="5"/>
      <c r="C316" s="4"/>
      <c r="D316" s="5">
        <f>SUM(D304:D314)</f>
        <v>2.176</v>
      </c>
      <c r="G316" s="5"/>
    </row>
    <row r="317" ht="15.75" hidden="1" customHeight="1">
      <c r="A317" s="5"/>
      <c r="C317" s="4"/>
      <c r="D317" s="5"/>
      <c r="G317" s="5"/>
    </row>
    <row r="318" ht="15.75" hidden="1" customHeight="1">
      <c r="A318" s="5"/>
      <c r="C318" s="4"/>
      <c r="D318" s="5"/>
      <c r="G318" s="5"/>
    </row>
    <row r="319" ht="15.75" hidden="1" customHeight="1">
      <c r="A319" s="5" t="s">
        <v>44</v>
      </c>
      <c r="C319" s="4"/>
      <c r="D319" s="5"/>
      <c r="G319" s="5"/>
    </row>
    <row r="320" ht="15.75" hidden="1" customHeight="1">
      <c r="A320" s="5" t="s">
        <v>11</v>
      </c>
      <c r="B320" s="14">
        <v>2324.0</v>
      </c>
      <c r="C320" s="12">
        <v>2422.0</v>
      </c>
      <c r="D320" s="5">
        <f t="shared" ref="D320:D330" si="239">(C320-B320)/1000</f>
        <v>0.098</v>
      </c>
      <c r="E320" s="5">
        <f t="shared" ref="E320:E327" si="240">29.8+9.34</f>
        <v>39.14</v>
      </c>
      <c r="F320" s="5">
        <v>55.0</v>
      </c>
      <c r="G320" s="7">
        <f t="shared" ref="G320:G330" si="241">D320*$G$2</f>
        <v>252.77336</v>
      </c>
      <c r="H320" s="7">
        <f t="shared" ref="H320:H330" si="242">D320*$H$2</f>
        <v>9.77158</v>
      </c>
      <c r="I320" s="7">
        <f t="shared" ref="I320:I330" si="243">D320*$I$2</f>
        <v>48.51</v>
      </c>
      <c r="J320" s="7">
        <f t="shared" ref="J320:J330" si="244">D320*$J$2</f>
        <v>121.9512</v>
      </c>
      <c r="K320" s="7">
        <f t="shared" ref="K320:K330" si="245">D320*$K$2</f>
        <v>2.7734</v>
      </c>
      <c r="L320" s="7">
        <f t="shared" ref="L320:L330" si="246">SUM(E320:K320)</f>
        <v>529.91954</v>
      </c>
      <c r="M320" s="7">
        <f t="shared" ref="M320:M331" si="247">L320*0.21</f>
        <v>111.2831034</v>
      </c>
      <c r="N320" s="7">
        <f t="shared" ref="N320:N331" si="248">L320+M320</f>
        <v>641.2026434</v>
      </c>
    </row>
    <row r="321" ht="15.75" hidden="1" customHeight="1">
      <c r="A321" s="5" t="s">
        <v>12</v>
      </c>
      <c r="B321" s="14">
        <v>1784.0</v>
      </c>
      <c r="C321" s="12">
        <v>1861.0</v>
      </c>
      <c r="D321" s="5">
        <f t="shared" si="239"/>
        <v>0.077</v>
      </c>
      <c r="E321" s="5">
        <f t="shared" si="240"/>
        <v>39.14</v>
      </c>
      <c r="F321" s="5">
        <v>55.0</v>
      </c>
      <c r="G321" s="7">
        <f t="shared" si="241"/>
        <v>198.60764</v>
      </c>
      <c r="H321" s="7">
        <f t="shared" si="242"/>
        <v>7.67767</v>
      </c>
      <c r="I321" s="7">
        <f t="shared" si="243"/>
        <v>38.115</v>
      </c>
      <c r="J321" s="7">
        <f t="shared" si="244"/>
        <v>95.8188</v>
      </c>
      <c r="K321" s="7">
        <f t="shared" si="245"/>
        <v>2.1791</v>
      </c>
      <c r="L321" s="7">
        <f t="shared" si="246"/>
        <v>436.53821</v>
      </c>
      <c r="M321" s="7">
        <f t="shared" si="247"/>
        <v>91.6730241</v>
      </c>
      <c r="N321" s="7">
        <f t="shared" si="248"/>
        <v>528.2112341</v>
      </c>
    </row>
    <row r="322" ht="15.75" hidden="1" customHeight="1">
      <c r="A322" s="5" t="s">
        <v>13</v>
      </c>
      <c r="B322" s="14">
        <v>2223.0</v>
      </c>
      <c r="C322" s="12">
        <v>2304.0</v>
      </c>
      <c r="D322" s="5">
        <f t="shared" si="239"/>
        <v>0.081</v>
      </c>
      <c r="E322" s="5">
        <f t="shared" si="240"/>
        <v>39.14</v>
      </c>
      <c r="F322" s="5">
        <v>55.0</v>
      </c>
      <c r="G322" s="7">
        <f t="shared" si="241"/>
        <v>208.92492</v>
      </c>
      <c r="H322" s="7">
        <f t="shared" si="242"/>
        <v>8.07651</v>
      </c>
      <c r="I322" s="7">
        <f t="shared" si="243"/>
        <v>40.095</v>
      </c>
      <c r="J322" s="7">
        <f t="shared" si="244"/>
        <v>100.7964</v>
      </c>
      <c r="K322" s="7">
        <f t="shared" si="245"/>
        <v>2.2923</v>
      </c>
      <c r="L322" s="7">
        <f t="shared" si="246"/>
        <v>454.32513</v>
      </c>
      <c r="M322" s="7">
        <f t="shared" si="247"/>
        <v>95.4082773</v>
      </c>
      <c r="N322" s="7">
        <f t="shared" si="248"/>
        <v>549.7334073</v>
      </c>
    </row>
    <row r="323" ht="15.75" hidden="1" customHeight="1">
      <c r="A323" s="5" t="s">
        <v>14</v>
      </c>
      <c r="B323" s="14">
        <v>1753.0</v>
      </c>
      <c r="C323" s="12">
        <v>1823.0</v>
      </c>
      <c r="D323" s="5">
        <f t="shared" si="239"/>
        <v>0.07</v>
      </c>
      <c r="E323" s="5">
        <f t="shared" si="240"/>
        <v>39.14</v>
      </c>
      <c r="F323" s="5">
        <v>55.0</v>
      </c>
      <c r="G323" s="7">
        <f t="shared" si="241"/>
        <v>180.5524</v>
      </c>
      <c r="H323" s="7">
        <f t="shared" si="242"/>
        <v>6.9797</v>
      </c>
      <c r="I323" s="7">
        <f t="shared" si="243"/>
        <v>34.65</v>
      </c>
      <c r="J323" s="7">
        <f t="shared" si="244"/>
        <v>87.108</v>
      </c>
      <c r="K323" s="7">
        <f t="shared" si="245"/>
        <v>1.981</v>
      </c>
      <c r="L323" s="7">
        <f t="shared" si="246"/>
        <v>405.4111</v>
      </c>
      <c r="M323" s="7">
        <f t="shared" si="247"/>
        <v>85.136331</v>
      </c>
      <c r="N323" s="7">
        <f t="shared" si="248"/>
        <v>490.547431</v>
      </c>
    </row>
    <row r="324" ht="15.75" hidden="1" customHeight="1">
      <c r="A324" s="5" t="s">
        <v>15</v>
      </c>
      <c r="B324" s="14">
        <v>1893.0</v>
      </c>
      <c r="C324" s="12">
        <v>1973.0</v>
      </c>
      <c r="D324" s="5">
        <f t="shared" si="239"/>
        <v>0.08</v>
      </c>
      <c r="E324" s="5">
        <f t="shared" si="240"/>
        <v>39.14</v>
      </c>
      <c r="F324" s="5">
        <v>55.0</v>
      </c>
      <c r="G324" s="7">
        <f t="shared" si="241"/>
        <v>206.3456</v>
      </c>
      <c r="H324" s="7">
        <f t="shared" si="242"/>
        <v>7.9768</v>
      </c>
      <c r="I324" s="7">
        <f t="shared" si="243"/>
        <v>39.6</v>
      </c>
      <c r="J324" s="7">
        <f t="shared" si="244"/>
        <v>99.552</v>
      </c>
      <c r="K324" s="7">
        <f t="shared" si="245"/>
        <v>2.264</v>
      </c>
      <c r="L324" s="7">
        <f t="shared" si="246"/>
        <v>449.8784</v>
      </c>
      <c r="M324" s="7">
        <f t="shared" si="247"/>
        <v>94.474464</v>
      </c>
      <c r="N324" s="7">
        <f t="shared" si="248"/>
        <v>544.352864</v>
      </c>
    </row>
    <row r="325" ht="15.75" hidden="1" customHeight="1">
      <c r="A325" s="5" t="s">
        <v>16</v>
      </c>
      <c r="B325" s="14">
        <v>1529.0</v>
      </c>
      <c r="C325" s="12">
        <v>1598.0</v>
      </c>
      <c r="D325" s="5">
        <f t="shared" si="239"/>
        <v>0.069</v>
      </c>
      <c r="E325" s="5">
        <f t="shared" si="240"/>
        <v>39.14</v>
      </c>
      <c r="F325" s="5">
        <v>55.0</v>
      </c>
      <c r="G325" s="7">
        <f t="shared" si="241"/>
        <v>177.97308</v>
      </c>
      <c r="H325" s="7">
        <f t="shared" si="242"/>
        <v>6.87999</v>
      </c>
      <c r="I325" s="7">
        <f t="shared" si="243"/>
        <v>34.155</v>
      </c>
      <c r="J325" s="7">
        <f t="shared" si="244"/>
        <v>85.8636</v>
      </c>
      <c r="K325" s="7">
        <f t="shared" si="245"/>
        <v>1.9527</v>
      </c>
      <c r="L325" s="7">
        <f t="shared" si="246"/>
        <v>400.96437</v>
      </c>
      <c r="M325" s="7">
        <f t="shared" si="247"/>
        <v>84.2025177</v>
      </c>
      <c r="N325" s="7">
        <f t="shared" si="248"/>
        <v>485.1668877</v>
      </c>
    </row>
    <row r="326" ht="15.75" hidden="1" customHeight="1">
      <c r="A326" s="5" t="s">
        <v>17</v>
      </c>
      <c r="B326" s="14">
        <v>1700.0</v>
      </c>
      <c r="C326" s="12">
        <v>1768.0</v>
      </c>
      <c r="D326" s="5">
        <f t="shared" si="239"/>
        <v>0.068</v>
      </c>
      <c r="E326" s="5">
        <f t="shared" si="240"/>
        <v>39.14</v>
      </c>
      <c r="F326" s="5">
        <v>55.0</v>
      </c>
      <c r="G326" s="7">
        <f t="shared" si="241"/>
        <v>175.39376</v>
      </c>
      <c r="H326" s="7">
        <f t="shared" si="242"/>
        <v>6.78028</v>
      </c>
      <c r="I326" s="7">
        <f t="shared" si="243"/>
        <v>33.66</v>
      </c>
      <c r="J326" s="7">
        <f t="shared" si="244"/>
        <v>84.6192</v>
      </c>
      <c r="K326" s="7">
        <f t="shared" si="245"/>
        <v>1.9244</v>
      </c>
      <c r="L326" s="7">
        <f t="shared" si="246"/>
        <v>396.51764</v>
      </c>
      <c r="M326" s="7">
        <f t="shared" si="247"/>
        <v>83.2687044</v>
      </c>
      <c r="N326" s="7">
        <f t="shared" si="248"/>
        <v>479.7863444</v>
      </c>
    </row>
    <row r="327" ht="15.75" hidden="1" customHeight="1">
      <c r="A327" s="5" t="s">
        <v>18</v>
      </c>
      <c r="B327" s="14">
        <v>1752.0</v>
      </c>
      <c r="C327" s="12">
        <v>1850.0</v>
      </c>
      <c r="D327" s="5">
        <f t="shared" si="239"/>
        <v>0.098</v>
      </c>
      <c r="E327" s="5">
        <f t="shared" si="240"/>
        <v>39.14</v>
      </c>
      <c r="F327" s="5">
        <v>55.0</v>
      </c>
      <c r="G327" s="7">
        <f t="shared" si="241"/>
        <v>252.77336</v>
      </c>
      <c r="H327" s="7">
        <f t="shared" si="242"/>
        <v>9.77158</v>
      </c>
      <c r="I327" s="7">
        <f t="shared" si="243"/>
        <v>48.51</v>
      </c>
      <c r="J327" s="7">
        <f t="shared" si="244"/>
        <v>121.9512</v>
      </c>
      <c r="K327" s="7">
        <f t="shared" si="245"/>
        <v>2.7734</v>
      </c>
      <c r="L327" s="7">
        <f t="shared" si="246"/>
        <v>529.91954</v>
      </c>
      <c r="M327" s="7">
        <f t="shared" si="247"/>
        <v>111.2831034</v>
      </c>
      <c r="N327" s="7">
        <f t="shared" si="248"/>
        <v>641.2026434</v>
      </c>
    </row>
    <row r="328" ht="15.75" hidden="1" customHeight="1">
      <c r="A328" s="5" t="s">
        <v>19</v>
      </c>
      <c r="B328" s="14">
        <v>59161.0</v>
      </c>
      <c r="C328" s="12">
        <v>60972.0</v>
      </c>
      <c r="D328" s="5">
        <f t="shared" si="239"/>
        <v>1.811</v>
      </c>
      <c r="E328" s="5">
        <v>169.69</v>
      </c>
      <c r="F328" s="5">
        <v>78.05</v>
      </c>
      <c r="G328" s="7">
        <f t="shared" si="241"/>
        <v>4671.14852</v>
      </c>
      <c r="H328" s="7">
        <f t="shared" si="242"/>
        <v>180.57481</v>
      </c>
      <c r="I328" s="7">
        <f t="shared" si="243"/>
        <v>896.445</v>
      </c>
      <c r="J328" s="7">
        <f t="shared" si="244"/>
        <v>2253.6084</v>
      </c>
      <c r="K328" s="7">
        <f t="shared" si="245"/>
        <v>51.2513</v>
      </c>
      <c r="L328" s="7">
        <f t="shared" si="246"/>
        <v>8300.76803</v>
      </c>
      <c r="M328" s="7">
        <f t="shared" si="247"/>
        <v>1743.161286</v>
      </c>
      <c r="N328" s="7">
        <f t="shared" si="248"/>
        <v>10043.92932</v>
      </c>
    </row>
    <row r="329" ht="15.75" hidden="1" customHeight="1">
      <c r="A329" s="5" t="s">
        <v>30</v>
      </c>
      <c r="B329" s="14">
        <v>9669.0</v>
      </c>
      <c r="C329" s="12">
        <v>9715.0</v>
      </c>
      <c r="D329" s="5">
        <f t="shared" si="239"/>
        <v>0.046</v>
      </c>
      <c r="E329" s="5">
        <f t="shared" ref="E329:E330" si="249">29.8+9.34</f>
        <v>39.14</v>
      </c>
      <c r="F329" s="5">
        <v>55.0</v>
      </c>
      <c r="G329" s="7">
        <f t="shared" si="241"/>
        <v>118.64872</v>
      </c>
      <c r="H329" s="7">
        <f t="shared" si="242"/>
        <v>4.58666</v>
      </c>
      <c r="I329" s="7">
        <f t="shared" si="243"/>
        <v>22.77</v>
      </c>
      <c r="J329" s="7">
        <f t="shared" si="244"/>
        <v>57.2424</v>
      </c>
      <c r="K329" s="7">
        <f t="shared" si="245"/>
        <v>1.3018</v>
      </c>
      <c r="L329" s="7">
        <f t="shared" si="246"/>
        <v>298.68958</v>
      </c>
      <c r="M329" s="7">
        <f t="shared" si="247"/>
        <v>62.7248118</v>
      </c>
      <c r="N329" s="7">
        <f t="shared" si="248"/>
        <v>361.4143918</v>
      </c>
    </row>
    <row r="330" ht="15.75" hidden="1" customHeight="1">
      <c r="A330" s="5" t="s">
        <v>31</v>
      </c>
      <c r="B330" s="14">
        <v>44977.0</v>
      </c>
      <c r="C330" s="12">
        <v>45207.0</v>
      </c>
      <c r="D330" s="5">
        <f t="shared" si="239"/>
        <v>0.23</v>
      </c>
      <c r="E330" s="5">
        <f t="shared" si="249"/>
        <v>39.14</v>
      </c>
      <c r="F330" s="5">
        <v>55.0</v>
      </c>
      <c r="G330" s="7">
        <f t="shared" si="241"/>
        <v>593.2436</v>
      </c>
      <c r="H330" s="7">
        <f t="shared" si="242"/>
        <v>22.9333</v>
      </c>
      <c r="I330" s="7">
        <f t="shared" si="243"/>
        <v>113.85</v>
      </c>
      <c r="J330" s="7">
        <f t="shared" si="244"/>
        <v>286.212</v>
      </c>
      <c r="K330" s="7">
        <f t="shared" si="245"/>
        <v>6.509</v>
      </c>
      <c r="L330" s="13">
        <f t="shared" si="246"/>
        <v>1116.8879</v>
      </c>
      <c r="M330" s="7">
        <f t="shared" si="247"/>
        <v>234.546459</v>
      </c>
      <c r="N330" s="7">
        <f t="shared" si="248"/>
        <v>1351.434359</v>
      </c>
    </row>
    <row r="331" ht="15.75" hidden="1" customHeight="1">
      <c r="A331" s="5"/>
      <c r="C331" s="4"/>
      <c r="D331" s="5"/>
      <c r="G331" s="5"/>
      <c r="L331" s="18">
        <f>SUM(L320:L330)</f>
        <v>13319.81944</v>
      </c>
      <c r="M331" s="19">
        <f t="shared" si="247"/>
        <v>2797.162082</v>
      </c>
      <c r="N331" s="20">
        <f t="shared" si="248"/>
        <v>16116.98152</v>
      </c>
    </row>
    <row r="332" ht="15.75" hidden="1" customHeight="1">
      <c r="A332" s="5"/>
      <c r="C332" s="4"/>
      <c r="D332" s="5">
        <f>SUM(D320:D330)</f>
        <v>2.728</v>
      </c>
      <c r="G332" s="5"/>
    </row>
    <row r="333" ht="15.75" hidden="1" customHeight="1">
      <c r="A333" s="5"/>
      <c r="C333" s="4"/>
      <c r="D333" s="5"/>
      <c r="G333" s="5"/>
    </row>
    <row r="334" ht="15.75" hidden="1" customHeight="1">
      <c r="A334" s="5"/>
      <c r="C334" s="4"/>
      <c r="D334" s="5"/>
      <c r="G334" s="5"/>
    </row>
    <row r="335" ht="15.75" hidden="1" customHeight="1">
      <c r="A335" s="5" t="s">
        <v>45</v>
      </c>
      <c r="C335" s="4"/>
      <c r="D335" s="5"/>
      <c r="G335" s="5"/>
    </row>
    <row r="336" ht="15.75" hidden="1" customHeight="1">
      <c r="A336" s="5" t="s">
        <v>11</v>
      </c>
      <c r="B336" s="14">
        <v>2422.0</v>
      </c>
      <c r="C336" s="12">
        <v>2505.0</v>
      </c>
      <c r="D336" s="5">
        <f t="shared" ref="D336:D346" si="250">(C336-B336)/1000</f>
        <v>0.083</v>
      </c>
      <c r="E336" s="5">
        <f t="shared" ref="E336:E343" si="251">29.8+9.34</f>
        <v>39.14</v>
      </c>
      <c r="F336" s="5">
        <v>55.0</v>
      </c>
      <c r="G336" s="7">
        <f t="shared" ref="G336:G346" si="252">D336*$G$2</f>
        <v>214.08356</v>
      </c>
      <c r="H336" s="7">
        <f t="shared" ref="H336:H346" si="253">D336*$H$2</f>
        <v>8.27593</v>
      </c>
      <c r="I336" s="7">
        <f t="shared" ref="I336:I346" si="254">D336*$I$2</f>
        <v>41.085</v>
      </c>
      <c r="J336" s="7">
        <f t="shared" ref="J336:J346" si="255">D336*$J$2</f>
        <v>103.2852</v>
      </c>
      <c r="K336" s="7">
        <f t="shared" ref="K336:K346" si="256">D336*$K$2</f>
        <v>2.3489</v>
      </c>
      <c r="L336" s="7">
        <f t="shared" ref="L336:L346" si="257">SUM(E336:K336)</f>
        <v>463.21859</v>
      </c>
      <c r="M336" s="7">
        <f t="shared" ref="M336:M347" si="258">L336*0.21</f>
        <v>97.2759039</v>
      </c>
      <c r="N336" s="7">
        <f t="shared" ref="N336:N347" si="259">L336+M336</f>
        <v>560.4944939</v>
      </c>
    </row>
    <row r="337" ht="15.75" hidden="1" customHeight="1">
      <c r="A337" s="5" t="s">
        <v>12</v>
      </c>
      <c r="B337" s="14">
        <v>1861.0</v>
      </c>
      <c r="C337" s="12">
        <v>1929.0</v>
      </c>
      <c r="D337" s="5">
        <f t="shared" si="250"/>
        <v>0.068</v>
      </c>
      <c r="E337" s="5">
        <f t="shared" si="251"/>
        <v>39.14</v>
      </c>
      <c r="F337" s="5">
        <v>55.0</v>
      </c>
      <c r="G337" s="7">
        <f t="shared" si="252"/>
        <v>175.39376</v>
      </c>
      <c r="H337" s="7">
        <f t="shared" si="253"/>
        <v>6.78028</v>
      </c>
      <c r="I337" s="7">
        <f t="shared" si="254"/>
        <v>33.66</v>
      </c>
      <c r="J337" s="7">
        <f t="shared" si="255"/>
        <v>84.6192</v>
      </c>
      <c r="K337" s="7">
        <f t="shared" si="256"/>
        <v>1.9244</v>
      </c>
      <c r="L337" s="7">
        <f t="shared" si="257"/>
        <v>396.51764</v>
      </c>
      <c r="M337" s="7">
        <f t="shared" si="258"/>
        <v>83.2687044</v>
      </c>
      <c r="N337" s="7">
        <f t="shared" si="259"/>
        <v>479.7863444</v>
      </c>
    </row>
    <row r="338" ht="15.75" hidden="1" customHeight="1">
      <c r="A338" s="5" t="s">
        <v>13</v>
      </c>
      <c r="B338" s="14">
        <v>2304.0</v>
      </c>
      <c r="C338" s="12">
        <v>2424.0</v>
      </c>
      <c r="D338" s="5">
        <f t="shared" si="250"/>
        <v>0.12</v>
      </c>
      <c r="E338" s="5">
        <f t="shared" si="251"/>
        <v>39.14</v>
      </c>
      <c r="F338" s="5">
        <v>55.0</v>
      </c>
      <c r="G338" s="7">
        <f t="shared" si="252"/>
        <v>309.5184</v>
      </c>
      <c r="H338" s="7">
        <f t="shared" si="253"/>
        <v>11.9652</v>
      </c>
      <c r="I338" s="7">
        <f t="shared" si="254"/>
        <v>59.4</v>
      </c>
      <c r="J338" s="7">
        <f t="shared" si="255"/>
        <v>149.328</v>
      </c>
      <c r="K338" s="7">
        <f t="shared" si="256"/>
        <v>3.396</v>
      </c>
      <c r="L338" s="7">
        <f t="shared" si="257"/>
        <v>627.7476</v>
      </c>
      <c r="M338" s="7">
        <f t="shared" si="258"/>
        <v>131.826996</v>
      </c>
      <c r="N338" s="7">
        <f t="shared" si="259"/>
        <v>759.574596</v>
      </c>
    </row>
    <row r="339" ht="15.75" hidden="1" customHeight="1">
      <c r="A339" s="5" t="s">
        <v>14</v>
      </c>
      <c r="B339" s="14">
        <v>1823.0</v>
      </c>
      <c r="C339" s="12">
        <v>1957.0</v>
      </c>
      <c r="D339" s="5">
        <f t="shared" si="250"/>
        <v>0.134</v>
      </c>
      <c r="E339" s="5">
        <f t="shared" si="251"/>
        <v>39.14</v>
      </c>
      <c r="F339" s="5">
        <v>55.0</v>
      </c>
      <c r="G339" s="7">
        <f t="shared" si="252"/>
        <v>345.62888</v>
      </c>
      <c r="H339" s="7">
        <f t="shared" si="253"/>
        <v>13.36114</v>
      </c>
      <c r="I339" s="7">
        <f t="shared" si="254"/>
        <v>66.33</v>
      </c>
      <c r="J339" s="7">
        <f t="shared" si="255"/>
        <v>166.7496</v>
      </c>
      <c r="K339" s="7">
        <f t="shared" si="256"/>
        <v>3.7922</v>
      </c>
      <c r="L339" s="7">
        <f t="shared" si="257"/>
        <v>690.00182</v>
      </c>
      <c r="M339" s="7">
        <f t="shared" si="258"/>
        <v>144.9003822</v>
      </c>
      <c r="N339" s="7">
        <f t="shared" si="259"/>
        <v>834.9022022</v>
      </c>
    </row>
    <row r="340" ht="15.75" hidden="1" customHeight="1">
      <c r="A340" s="5" t="s">
        <v>15</v>
      </c>
      <c r="B340" s="14">
        <v>1973.0</v>
      </c>
      <c r="C340" s="12">
        <v>2064.0</v>
      </c>
      <c r="D340" s="5">
        <f t="shared" si="250"/>
        <v>0.091</v>
      </c>
      <c r="E340" s="5">
        <f t="shared" si="251"/>
        <v>39.14</v>
      </c>
      <c r="F340" s="5">
        <v>55.0</v>
      </c>
      <c r="G340" s="7">
        <f t="shared" si="252"/>
        <v>234.71812</v>
      </c>
      <c r="H340" s="7">
        <f t="shared" si="253"/>
        <v>9.07361</v>
      </c>
      <c r="I340" s="7">
        <f t="shared" si="254"/>
        <v>45.045</v>
      </c>
      <c r="J340" s="7">
        <f t="shared" si="255"/>
        <v>113.2404</v>
      </c>
      <c r="K340" s="7">
        <f t="shared" si="256"/>
        <v>2.5753</v>
      </c>
      <c r="L340" s="7">
        <f t="shared" si="257"/>
        <v>498.79243</v>
      </c>
      <c r="M340" s="7">
        <f t="shared" si="258"/>
        <v>104.7464103</v>
      </c>
      <c r="N340" s="7">
        <f t="shared" si="259"/>
        <v>603.5388403</v>
      </c>
    </row>
    <row r="341" ht="15.75" hidden="1" customHeight="1">
      <c r="A341" s="5" t="s">
        <v>16</v>
      </c>
      <c r="B341" s="14">
        <v>1598.0</v>
      </c>
      <c r="C341" s="12">
        <v>1663.0</v>
      </c>
      <c r="D341" s="5">
        <f t="shared" si="250"/>
        <v>0.065</v>
      </c>
      <c r="E341" s="5">
        <f t="shared" si="251"/>
        <v>39.14</v>
      </c>
      <c r="F341" s="5">
        <v>55.0</v>
      </c>
      <c r="G341" s="7">
        <f t="shared" si="252"/>
        <v>167.6558</v>
      </c>
      <c r="H341" s="7">
        <f t="shared" si="253"/>
        <v>6.48115</v>
      </c>
      <c r="I341" s="7">
        <f t="shared" si="254"/>
        <v>32.175</v>
      </c>
      <c r="J341" s="7">
        <f t="shared" si="255"/>
        <v>80.886</v>
      </c>
      <c r="K341" s="7">
        <f t="shared" si="256"/>
        <v>1.8395</v>
      </c>
      <c r="L341" s="7">
        <f t="shared" si="257"/>
        <v>383.17745</v>
      </c>
      <c r="M341" s="7">
        <f t="shared" si="258"/>
        <v>80.4672645</v>
      </c>
      <c r="N341" s="7">
        <f t="shared" si="259"/>
        <v>463.6447145</v>
      </c>
    </row>
    <row r="342" ht="15.75" hidden="1" customHeight="1">
      <c r="A342" s="5" t="s">
        <v>17</v>
      </c>
      <c r="B342" s="14">
        <v>1768.0</v>
      </c>
      <c r="C342" s="12">
        <v>1863.0</v>
      </c>
      <c r="D342" s="5">
        <f t="shared" si="250"/>
        <v>0.095</v>
      </c>
      <c r="E342" s="5">
        <f t="shared" si="251"/>
        <v>39.14</v>
      </c>
      <c r="F342" s="5">
        <v>55.0</v>
      </c>
      <c r="G342" s="7">
        <f t="shared" si="252"/>
        <v>245.0354</v>
      </c>
      <c r="H342" s="7">
        <f t="shared" si="253"/>
        <v>9.47245</v>
      </c>
      <c r="I342" s="7">
        <f t="shared" si="254"/>
        <v>47.025</v>
      </c>
      <c r="J342" s="7">
        <f t="shared" si="255"/>
        <v>118.218</v>
      </c>
      <c r="K342" s="7">
        <f t="shared" si="256"/>
        <v>2.6885</v>
      </c>
      <c r="L342" s="7">
        <f t="shared" si="257"/>
        <v>516.57935</v>
      </c>
      <c r="M342" s="7">
        <f t="shared" si="258"/>
        <v>108.4816635</v>
      </c>
      <c r="N342" s="7">
        <f t="shared" si="259"/>
        <v>625.0610135</v>
      </c>
    </row>
    <row r="343" ht="15.75" hidden="1" customHeight="1">
      <c r="A343" s="5" t="s">
        <v>18</v>
      </c>
      <c r="B343" s="14">
        <v>1850.0</v>
      </c>
      <c r="C343" s="12">
        <v>1934.0</v>
      </c>
      <c r="D343" s="5">
        <f t="shared" si="250"/>
        <v>0.084</v>
      </c>
      <c r="E343" s="5">
        <f t="shared" si="251"/>
        <v>39.14</v>
      </c>
      <c r="F343" s="5">
        <v>55.0</v>
      </c>
      <c r="G343" s="7">
        <f t="shared" si="252"/>
        <v>216.66288</v>
      </c>
      <c r="H343" s="7">
        <f t="shared" si="253"/>
        <v>8.37564</v>
      </c>
      <c r="I343" s="7">
        <f t="shared" si="254"/>
        <v>41.58</v>
      </c>
      <c r="J343" s="7">
        <f t="shared" si="255"/>
        <v>104.5296</v>
      </c>
      <c r="K343" s="7">
        <f t="shared" si="256"/>
        <v>2.3772</v>
      </c>
      <c r="L343" s="7">
        <f t="shared" si="257"/>
        <v>467.66532</v>
      </c>
      <c r="M343" s="7">
        <f t="shared" si="258"/>
        <v>98.2097172</v>
      </c>
      <c r="N343" s="7">
        <f t="shared" si="259"/>
        <v>565.8750372</v>
      </c>
    </row>
    <row r="344" ht="15.75" hidden="1" customHeight="1">
      <c r="A344" s="5" t="s">
        <v>19</v>
      </c>
      <c r="B344" s="14">
        <v>60972.0</v>
      </c>
      <c r="C344" s="12">
        <v>62710.0</v>
      </c>
      <c r="D344" s="5">
        <f t="shared" si="250"/>
        <v>1.738</v>
      </c>
      <c r="E344" s="5">
        <v>169.69</v>
      </c>
      <c r="F344" s="5">
        <v>78.05</v>
      </c>
      <c r="G344" s="7">
        <f t="shared" si="252"/>
        <v>4482.85816</v>
      </c>
      <c r="H344" s="7">
        <f t="shared" si="253"/>
        <v>173.29598</v>
      </c>
      <c r="I344" s="7">
        <f t="shared" si="254"/>
        <v>860.31</v>
      </c>
      <c r="J344" s="7">
        <f t="shared" si="255"/>
        <v>2162.7672</v>
      </c>
      <c r="K344" s="7">
        <f t="shared" si="256"/>
        <v>49.1854</v>
      </c>
      <c r="L344" s="7">
        <f t="shared" si="257"/>
        <v>7976.15674</v>
      </c>
      <c r="M344" s="7">
        <f t="shared" si="258"/>
        <v>1674.992915</v>
      </c>
      <c r="N344" s="7">
        <f t="shared" si="259"/>
        <v>9651.149655</v>
      </c>
    </row>
    <row r="345" ht="15.75" hidden="1" customHeight="1">
      <c r="A345" s="5" t="s">
        <v>30</v>
      </c>
      <c r="B345" s="14">
        <v>9715.0</v>
      </c>
      <c r="C345" s="12">
        <v>9788.0</v>
      </c>
      <c r="D345" s="5">
        <f t="shared" si="250"/>
        <v>0.073</v>
      </c>
      <c r="E345" s="5">
        <f t="shared" ref="E345:E346" si="260">29.8+9.34</f>
        <v>39.14</v>
      </c>
      <c r="F345" s="5">
        <v>55.0</v>
      </c>
      <c r="G345" s="7">
        <f t="shared" si="252"/>
        <v>188.29036</v>
      </c>
      <c r="H345" s="7">
        <f t="shared" si="253"/>
        <v>7.27883</v>
      </c>
      <c r="I345" s="7">
        <f t="shared" si="254"/>
        <v>36.135</v>
      </c>
      <c r="J345" s="7">
        <f t="shared" si="255"/>
        <v>90.8412</v>
      </c>
      <c r="K345" s="7">
        <f t="shared" si="256"/>
        <v>2.0659</v>
      </c>
      <c r="L345" s="7">
        <f t="shared" si="257"/>
        <v>418.75129</v>
      </c>
      <c r="M345" s="7">
        <f t="shared" si="258"/>
        <v>87.9377709</v>
      </c>
      <c r="N345" s="7">
        <f t="shared" si="259"/>
        <v>506.6890609</v>
      </c>
    </row>
    <row r="346" ht="15.75" hidden="1" customHeight="1">
      <c r="A346" s="5" t="s">
        <v>31</v>
      </c>
      <c r="B346" s="14">
        <v>45207.0</v>
      </c>
      <c r="C346" s="12">
        <v>45621.0</v>
      </c>
      <c r="D346" s="5">
        <f t="shared" si="250"/>
        <v>0.414</v>
      </c>
      <c r="E346" s="5">
        <f t="shared" si="260"/>
        <v>39.14</v>
      </c>
      <c r="F346" s="5">
        <v>55.0</v>
      </c>
      <c r="G346" s="7">
        <f t="shared" si="252"/>
        <v>1067.83848</v>
      </c>
      <c r="H346" s="7">
        <f t="shared" si="253"/>
        <v>41.27994</v>
      </c>
      <c r="I346" s="7">
        <f t="shared" si="254"/>
        <v>204.93</v>
      </c>
      <c r="J346" s="7">
        <f t="shared" si="255"/>
        <v>515.1816</v>
      </c>
      <c r="K346" s="7">
        <f t="shared" si="256"/>
        <v>11.7162</v>
      </c>
      <c r="L346" s="13">
        <f t="shared" si="257"/>
        <v>1935.08622</v>
      </c>
      <c r="M346" s="7">
        <f t="shared" si="258"/>
        <v>406.3681062</v>
      </c>
      <c r="N346" s="7">
        <f t="shared" si="259"/>
        <v>2341.454326</v>
      </c>
    </row>
    <row r="347" ht="15.75" hidden="1" customHeight="1">
      <c r="A347" s="5"/>
      <c r="C347" s="4"/>
      <c r="D347" s="5"/>
      <c r="G347" s="5"/>
      <c r="L347" s="18">
        <f>SUM(L336:L346)</f>
        <v>14373.69445</v>
      </c>
      <c r="M347" s="19">
        <f t="shared" si="258"/>
        <v>3018.475835</v>
      </c>
      <c r="N347" s="20">
        <f t="shared" si="259"/>
        <v>17392.17028</v>
      </c>
    </row>
    <row r="348" ht="15.75" hidden="1" customHeight="1">
      <c r="A348" s="5"/>
      <c r="C348" s="4"/>
      <c r="D348" s="5">
        <f>SUM(D336:D346)</f>
        <v>2.965</v>
      </c>
      <c r="G348" s="5"/>
    </row>
    <row r="349" ht="15.75" hidden="1" customHeight="1">
      <c r="A349" s="5"/>
      <c r="C349" s="4"/>
      <c r="D349" s="5"/>
      <c r="G349" s="5"/>
    </row>
    <row r="350" ht="15.75" hidden="1" customHeight="1">
      <c r="A350" s="5"/>
      <c r="C350" s="4"/>
      <c r="D350" s="5"/>
      <c r="G350" s="5"/>
    </row>
    <row r="351" ht="15.75" hidden="1" customHeight="1">
      <c r="A351" s="5" t="s">
        <v>46</v>
      </c>
      <c r="C351" s="4"/>
      <c r="D351" s="5"/>
      <c r="G351" s="5"/>
    </row>
    <row r="352" ht="15.75" hidden="1" customHeight="1">
      <c r="A352" s="5" t="s">
        <v>11</v>
      </c>
      <c r="B352" s="14">
        <v>2505.0</v>
      </c>
      <c r="C352" s="12">
        <v>2611.0</v>
      </c>
      <c r="D352" s="5">
        <f t="shared" ref="D352:D362" si="261">(C352-B352)/1000</f>
        <v>0.106</v>
      </c>
      <c r="E352" s="5">
        <f t="shared" ref="E352:E359" si="262">29.8+9.34</f>
        <v>39.14</v>
      </c>
      <c r="F352" s="5">
        <v>55.0</v>
      </c>
      <c r="G352" s="7">
        <f t="shared" ref="G352:G362" si="263">D352*$G$2</f>
        <v>273.40792</v>
      </c>
      <c r="H352" s="7">
        <f t="shared" ref="H352:H362" si="264">D352*$H$2</f>
        <v>10.56926</v>
      </c>
      <c r="I352" s="7">
        <f t="shared" ref="I352:I362" si="265">D352*$I$2</f>
        <v>52.47</v>
      </c>
      <c r="J352" s="7">
        <f t="shared" ref="J352:J362" si="266">D352*$J$2</f>
        <v>131.9064</v>
      </c>
      <c r="K352" s="7">
        <f t="shared" ref="K352:K362" si="267">D352*$K$2</f>
        <v>2.9998</v>
      </c>
      <c r="L352" s="7">
        <f t="shared" ref="L352:L362" si="268">SUM(E352:K352)</f>
        <v>565.49338</v>
      </c>
      <c r="M352" s="7">
        <f t="shared" ref="M352:M363" si="269">L352*0.21</f>
        <v>118.7536098</v>
      </c>
      <c r="N352" s="7">
        <f t="shared" ref="N352:N363" si="270">L352+M352</f>
        <v>684.2469898</v>
      </c>
    </row>
    <row r="353" ht="15.75" hidden="1" customHeight="1">
      <c r="A353" s="5" t="s">
        <v>12</v>
      </c>
      <c r="B353" s="14">
        <v>1929.0</v>
      </c>
      <c r="C353" s="12">
        <v>1989.0</v>
      </c>
      <c r="D353" s="5">
        <f t="shared" si="261"/>
        <v>0.06</v>
      </c>
      <c r="E353" s="5">
        <f t="shared" si="262"/>
        <v>39.14</v>
      </c>
      <c r="F353" s="5">
        <v>55.0</v>
      </c>
      <c r="G353" s="7">
        <f t="shared" si="263"/>
        <v>154.7592</v>
      </c>
      <c r="H353" s="7">
        <f t="shared" si="264"/>
        <v>5.9826</v>
      </c>
      <c r="I353" s="7">
        <f t="shared" si="265"/>
        <v>29.7</v>
      </c>
      <c r="J353" s="7">
        <f t="shared" si="266"/>
        <v>74.664</v>
      </c>
      <c r="K353" s="7">
        <f t="shared" si="267"/>
        <v>1.698</v>
      </c>
      <c r="L353" s="7">
        <f t="shared" si="268"/>
        <v>360.9438</v>
      </c>
      <c r="M353" s="7">
        <f t="shared" si="269"/>
        <v>75.798198</v>
      </c>
      <c r="N353" s="7">
        <f t="shared" si="270"/>
        <v>436.741998</v>
      </c>
    </row>
    <row r="354" ht="15.75" hidden="1" customHeight="1">
      <c r="A354" s="5" t="s">
        <v>13</v>
      </c>
      <c r="B354" s="14">
        <v>2424.0</v>
      </c>
      <c r="C354" s="12">
        <v>2534.0</v>
      </c>
      <c r="D354" s="5">
        <f t="shared" si="261"/>
        <v>0.11</v>
      </c>
      <c r="E354" s="5">
        <f t="shared" si="262"/>
        <v>39.14</v>
      </c>
      <c r="F354" s="5">
        <v>55.0</v>
      </c>
      <c r="G354" s="7">
        <f t="shared" si="263"/>
        <v>283.7252</v>
      </c>
      <c r="H354" s="7">
        <f t="shared" si="264"/>
        <v>10.9681</v>
      </c>
      <c r="I354" s="7">
        <f t="shared" si="265"/>
        <v>54.45</v>
      </c>
      <c r="J354" s="7">
        <f t="shared" si="266"/>
        <v>136.884</v>
      </c>
      <c r="K354" s="7">
        <f t="shared" si="267"/>
        <v>3.113</v>
      </c>
      <c r="L354" s="7">
        <f t="shared" si="268"/>
        <v>583.2803</v>
      </c>
      <c r="M354" s="7">
        <f t="shared" si="269"/>
        <v>122.488863</v>
      </c>
      <c r="N354" s="7">
        <f t="shared" si="270"/>
        <v>705.769163</v>
      </c>
    </row>
    <row r="355" ht="15.75" hidden="1" customHeight="1">
      <c r="A355" s="5" t="s">
        <v>14</v>
      </c>
      <c r="B355" s="14">
        <v>1957.0</v>
      </c>
      <c r="C355" s="12">
        <v>2038.0</v>
      </c>
      <c r="D355" s="5">
        <f t="shared" si="261"/>
        <v>0.081</v>
      </c>
      <c r="E355" s="5">
        <f t="shared" si="262"/>
        <v>39.14</v>
      </c>
      <c r="F355" s="5">
        <v>55.0</v>
      </c>
      <c r="G355" s="7">
        <f t="shared" si="263"/>
        <v>208.92492</v>
      </c>
      <c r="H355" s="7">
        <f t="shared" si="264"/>
        <v>8.07651</v>
      </c>
      <c r="I355" s="7">
        <f t="shared" si="265"/>
        <v>40.095</v>
      </c>
      <c r="J355" s="7">
        <f t="shared" si="266"/>
        <v>100.7964</v>
      </c>
      <c r="K355" s="7">
        <f t="shared" si="267"/>
        <v>2.2923</v>
      </c>
      <c r="L355" s="7">
        <f t="shared" si="268"/>
        <v>454.32513</v>
      </c>
      <c r="M355" s="7">
        <f t="shared" si="269"/>
        <v>95.4082773</v>
      </c>
      <c r="N355" s="7">
        <f t="shared" si="270"/>
        <v>549.7334073</v>
      </c>
    </row>
    <row r="356" ht="15.75" hidden="1" customHeight="1">
      <c r="A356" s="5" t="s">
        <v>15</v>
      </c>
      <c r="B356" s="14">
        <v>2064.0</v>
      </c>
      <c r="C356" s="12">
        <v>2217.0</v>
      </c>
      <c r="D356" s="5">
        <f t="shared" si="261"/>
        <v>0.153</v>
      </c>
      <c r="E356" s="5">
        <f t="shared" si="262"/>
        <v>39.14</v>
      </c>
      <c r="F356" s="5">
        <v>55.0</v>
      </c>
      <c r="G356" s="7">
        <f t="shared" si="263"/>
        <v>394.63596</v>
      </c>
      <c r="H356" s="7">
        <f t="shared" si="264"/>
        <v>15.25563</v>
      </c>
      <c r="I356" s="7">
        <f t="shared" si="265"/>
        <v>75.735</v>
      </c>
      <c r="J356" s="7">
        <f t="shared" si="266"/>
        <v>190.3932</v>
      </c>
      <c r="K356" s="7">
        <f t="shared" si="267"/>
        <v>4.3299</v>
      </c>
      <c r="L356" s="7">
        <f t="shared" si="268"/>
        <v>774.48969</v>
      </c>
      <c r="M356" s="7">
        <f t="shared" si="269"/>
        <v>162.6428349</v>
      </c>
      <c r="N356" s="7">
        <f t="shared" si="270"/>
        <v>937.1325249</v>
      </c>
    </row>
    <row r="357" ht="15.75" hidden="1" customHeight="1">
      <c r="A357" s="5" t="s">
        <v>16</v>
      </c>
      <c r="B357" s="14">
        <v>1663.0</v>
      </c>
      <c r="C357" s="12">
        <v>1740.0</v>
      </c>
      <c r="D357" s="5">
        <f t="shared" si="261"/>
        <v>0.077</v>
      </c>
      <c r="E357" s="5">
        <f t="shared" si="262"/>
        <v>39.14</v>
      </c>
      <c r="F357" s="5">
        <v>55.0</v>
      </c>
      <c r="G357" s="7">
        <f t="shared" si="263"/>
        <v>198.60764</v>
      </c>
      <c r="H357" s="7">
        <f t="shared" si="264"/>
        <v>7.67767</v>
      </c>
      <c r="I357" s="7">
        <f t="shared" si="265"/>
        <v>38.115</v>
      </c>
      <c r="J357" s="7">
        <f t="shared" si="266"/>
        <v>95.8188</v>
      </c>
      <c r="K357" s="7">
        <f t="shared" si="267"/>
        <v>2.1791</v>
      </c>
      <c r="L357" s="7">
        <f t="shared" si="268"/>
        <v>436.53821</v>
      </c>
      <c r="M357" s="7">
        <f t="shared" si="269"/>
        <v>91.6730241</v>
      </c>
      <c r="N357" s="7">
        <f t="shared" si="270"/>
        <v>528.2112341</v>
      </c>
    </row>
    <row r="358" ht="15.75" hidden="1" customHeight="1">
      <c r="A358" s="5" t="s">
        <v>17</v>
      </c>
      <c r="B358" s="14">
        <v>1863.0</v>
      </c>
      <c r="C358" s="12">
        <v>1954.0</v>
      </c>
      <c r="D358" s="5">
        <f t="shared" si="261"/>
        <v>0.091</v>
      </c>
      <c r="E358" s="5">
        <f t="shared" si="262"/>
        <v>39.14</v>
      </c>
      <c r="F358" s="5">
        <v>55.0</v>
      </c>
      <c r="G358" s="7">
        <f t="shared" si="263"/>
        <v>234.71812</v>
      </c>
      <c r="H358" s="7">
        <f t="shared" si="264"/>
        <v>9.07361</v>
      </c>
      <c r="I358" s="7">
        <f t="shared" si="265"/>
        <v>45.045</v>
      </c>
      <c r="J358" s="7">
        <f t="shared" si="266"/>
        <v>113.2404</v>
      </c>
      <c r="K358" s="7">
        <f t="shared" si="267"/>
        <v>2.5753</v>
      </c>
      <c r="L358" s="7">
        <f t="shared" si="268"/>
        <v>498.79243</v>
      </c>
      <c r="M358" s="7">
        <f t="shared" si="269"/>
        <v>104.7464103</v>
      </c>
      <c r="N358" s="7">
        <f t="shared" si="270"/>
        <v>603.5388403</v>
      </c>
    </row>
    <row r="359" ht="15.75" hidden="1" customHeight="1">
      <c r="A359" s="5" t="s">
        <v>18</v>
      </c>
      <c r="B359" s="14">
        <v>1934.0</v>
      </c>
      <c r="C359" s="12">
        <v>2014.0</v>
      </c>
      <c r="D359" s="5">
        <f t="shared" si="261"/>
        <v>0.08</v>
      </c>
      <c r="E359" s="5">
        <f t="shared" si="262"/>
        <v>39.14</v>
      </c>
      <c r="F359" s="5">
        <v>55.0</v>
      </c>
      <c r="G359" s="7">
        <f t="shared" si="263"/>
        <v>206.3456</v>
      </c>
      <c r="H359" s="7">
        <f t="shared" si="264"/>
        <v>7.9768</v>
      </c>
      <c r="I359" s="7">
        <f t="shared" si="265"/>
        <v>39.6</v>
      </c>
      <c r="J359" s="7">
        <f t="shared" si="266"/>
        <v>99.552</v>
      </c>
      <c r="K359" s="7">
        <f t="shared" si="267"/>
        <v>2.264</v>
      </c>
      <c r="L359" s="7">
        <f t="shared" si="268"/>
        <v>449.8784</v>
      </c>
      <c r="M359" s="7">
        <f t="shared" si="269"/>
        <v>94.474464</v>
      </c>
      <c r="N359" s="7">
        <f t="shared" si="270"/>
        <v>544.352864</v>
      </c>
    </row>
    <row r="360" ht="15.75" hidden="1" customHeight="1">
      <c r="A360" s="5" t="s">
        <v>19</v>
      </c>
      <c r="B360" s="14">
        <v>62710.0</v>
      </c>
      <c r="C360" s="12">
        <v>64764.0</v>
      </c>
      <c r="D360" s="5">
        <f t="shared" si="261"/>
        <v>2.054</v>
      </c>
      <c r="E360" s="5">
        <v>169.69</v>
      </c>
      <c r="F360" s="5">
        <v>78.05</v>
      </c>
      <c r="G360" s="7">
        <f t="shared" si="263"/>
        <v>5297.92328</v>
      </c>
      <c r="H360" s="7">
        <f t="shared" si="264"/>
        <v>204.80434</v>
      </c>
      <c r="I360" s="7">
        <f t="shared" si="265"/>
        <v>1016.73</v>
      </c>
      <c r="J360" s="7">
        <f t="shared" si="266"/>
        <v>2555.9976</v>
      </c>
      <c r="K360" s="7">
        <f t="shared" si="267"/>
        <v>58.1282</v>
      </c>
      <c r="L360" s="7">
        <f t="shared" si="268"/>
        <v>9381.32342</v>
      </c>
      <c r="M360" s="7">
        <f t="shared" si="269"/>
        <v>1970.077918</v>
      </c>
      <c r="N360" s="7">
        <f t="shared" si="270"/>
        <v>11351.40134</v>
      </c>
    </row>
    <row r="361" ht="15.75" hidden="1" customHeight="1">
      <c r="A361" s="5" t="s">
        <v>30</v>
      </c>
      <c r="B361" s="14">
        <v>9788.0</v>
      </c>
      <c r="C361" s="12">
        <v>9950.0</v>
      </c>
      <c r="D361" s="5">
        <f t="shared" si="261"/>
        <v>0.162</v>
      </c>
      <c r="E361" s="5">
        <f t="shared" ref="E361:E362" si="271">29.8+9.34</f>
        <v>39.14</v>
      </c>
      <c r="F361" s="5">
        <v>55.0</v>
      </c>
      <c r="G361" s="7">
        <f t="shared" si="263"/>
        <v>417.84984</v>
      </c>
      <c r="H361" s="7">
        <f t="shared" si="264"/>
        <v>16.15302</v>
      </c>
      <c r="I361" s="7">
        <f t="shared" si="265"/>
        <v>80.19</v>
      </c>
      <c r="J361" s="7">
        <f t="shared" si="266"/>
        <v>201.5928</v>
      </c>
      <c r="K361" s="7">
        <f t="shared" si="267"/>
        <v>4.5846</v>
      </c>
      <c r="L361" s="7">
        <f t="shared" si="268"/>
        <v>814.51026</v>
      </c>
      <c r="M361" s="7">
        <f t="shared" si="269"/>
        <v>171.0471546</v>
      </c>
      <c r="N361" s="7">
        <f t="shared" si="270"/>
        <v>985.5574146</v>
      </c>
    </row>
    <row r="362" ht="15.75" hidden="1" customHeight="1">
      <c r="A362" s="5" t="s">
        <v>31</v>
      </c>
      <c r="B362" s="14">
        <v>45621.0</v>
      </c>
      <c r="C362" s="12">
        <v>46505.0</v>
      </c>
      <c r="D362" s="5">
        <f t="shared" si="261"/>
        <v>0.884</v>
      </c>
      <c r="E362" s="5">
        <f t="shared" si="271"/>
        <v>39.14</v>
      </c>
      <c r="F362" s="5">
        <v>55.0</v>
      </c>
      <c r="G362" s="7">
        <f t="shared" si="263"/>
        <v>2280.11888</v>
      </c>
      <c r="H362" s="7">
        <f t="shared" si="264"/>
        <v>88.14364</v>
      </c>
      <c r="I362" s="7">
        <f t="shared" si="265"/>
        <v>437.58</v>
      </c>
      <c r="J362" s="7">
        <f t="shared" si="266"/>
        <v>1100.0496</v>
      </c>
      <c r="K362" s="7">
        <f t="shared" si="267"/>
        <v>25.0172</v>
      </c>
      <c r="L362" s="13">
        <f t="shared" si="268"/>
        <v>4025.04932</v>
      </c>
      <c r="M362" s="7">
        <f t="shared" si="269"/>
        <v>845.2603572</v>
      </c>
      <c r="N362" s="7">
        <f t="shared" si="270"/>
        <v>4870.309677</v>
      </c>
    </row>
    <row r="363" ht="15.75" hidden="1" customHeight="1">
      <c r="A363" s="5"/>
      <c r="C363" s="4"/>
      <c r="D363" s="5"/>
      <c r="G363" s="5"/>
      <c r="L363" s="18">
        <f>SUM(L352:L362)</f>
        <v>18344.62434</v>
      </c>
      <c r="M363" s="19">
        <f t="shared" si="269"/>
        <v>3852.371111</v>
      </c>
      <c r="N363" s="20">
        <f t="shared" si="270"/>
        <v>22196.99545</v>
      </c>
    </row>
    <row r="364" ht="15.75" hidden="1" customHeight="1">
      <c r="A364" s="5"/>
      <c r="C364" s="4"/>
      <c r="D364" s="5">
        <f>SUM(D352:D362)</f>
        <v>3.858</v>
      </c>
      <c r="G364" s="5"/>
    </row>
    <row r="365" ht="15.75" hidden="1" customHeight="1">
      <c r="A365" s="5"/>
      <c r="C365" s="4"/>
      <c r="D365" s="5"/>
      <c r="G365" s="5"/>
    </row>
    <row r="366" ht="15.75" hidden="1" customHeight="1">
      <c r="A366" s="5"/>
      <c r="C366" s="4"/>
      <c r="D366" s="5"/>
      <c r="G366" s="5"/>
    </row>
    <row r="367" ht="15.75" hidden="1" customHeight="1">
      <c r="A367" s="5" t="s">
        <v>47</v>
      </c>
      <c r="C367" s="4"/>
      <c r="D367" s="5"/>
      <c r="G367" s="5"/>
    </row>
    <row r="368" ht="15.75" hidden="1" customHeight="1">
      <c r="A368" s="5" t="s">
        <v>11</v>
      </c>
      <c r="B368" s="14">
        <v>2611.0</v>
      </c>
      <c r="C368" s="12">
        <v>2717.0</v>
      </c>
      <c r="D368" s="5">
        <f t="shared" ref="D368:D378" si="272">(C368-B368)/1000</f>
        <v>0.106</v>
      </c>
      <c r="E368" s="5">
        <f t="shared" ref="E368:E375" si="273">29.8+9.34</f>
        <v>39.14</v>
      </c>
      <c r="F368" s="5">
        <v>55.0</v>
      </c>
      <c r="G368" s="7">
        <f t="shared" ref="G368:G378" si="274">D368*$G$2</f>
        <v>273.40792</v>
      </c>
      <c r="H368" s="7">
        <f t="shared" ref="H368:H378" si="275">D368*$H$2</f>
        <v>10.56926</v>
      </c>
      <c r="I368" s="7">
        <f t="shared" ref="I368:I378" si="276">D368*$I$2</f>
        <v>52.47</v>
      </c>
      <c r="J368" s="7">
        <f t="shared" ref="J368:J378" si="277">D368*$J$2</f>
        <v>131.9064</v>
      </c>
      <c r="K368" s="7">
        <f t="shared" ref="K368:K378" si="278">D368*$K$2</f>
        <v>2.9998</v>
      </c>
      <c r="L368" s="7">
        <f t="shared" ref="L368:L378" si="279">SUM(E368:K368)</f>
        <v>565.49338</v>
      </c>
      <c r="M368" s="7">
        <f t="shared" ref="M368:M379" si="280">L368*0.21</f>
        <v>118.7536098</v>
      </c>
      <c r="N368" s="7">
        <f t="shared" ref="N368:N379" si="281">L368+M368</f>
        <v>684.2469898</v>
      </c>
    </row>
    <row r="369" ht="15.75" hidden="1" customHeight="1">
      <c r="A369" s="5" t="s">
        <v>12</v>
      </c>
      <c r="B369" s="14">
        <v>1989.0</v>
      </c>
      <c r="C369" s="12">
        <v>2071.0</v>
      </c>
      <c r="D369" s="5">
        <f t="shared" si="272"/>
        <v>0.082</v>
      </c>
      <c r="E369" s="5">
        <f t="shared" si="273"/>
        <v>39.14</v>
      </c>
      <c r="F369" s="5">
        <v>55.0</v>
      </c>
      <c r="G369" s="7">
        <f t="shared" si="274"/>
        <v>211.50424</v>
      </c>
      <c r="H369" s="7">
        <f t="shared" si="275"/>
        <v>8.17622</v>
      </c>
      <c r="I369" s="7">
        <f t="shared" si="276"/>
        <v>40.59</v>
      </c>
      <c r="J369" s="7">
        <f t="shared" si="277"/>
        <v>102.0408</v>
      </c>
      <c r="K369" s="7">
        <f t="shared" si="278"/>
        <v>2.3206</v>
      </c>
      <c r="L369" s="7">
        <f t="shared" si="279"/>
        <v>458.77186</v>
      </c>
      <c r="M369" s="7">
        <f t="shared" si="280"/>
        <v>96.3420906</v>
      </c>
      <c r="N369" s="7">
        <f t="shared" si="281"/>
        <v>555.1139506</v>
      </c>
    </row>
    <row r="370" ht="15.75" hidden="1" customHeight="1">
      <c r="A370" s="5" t="s">
        <v>13</v>
      </c>
      <c r="B370" s="14">
        <v>2534.0</v>
      </c>
      <c r="C370" s="12">
        <v>2617.0</v>
      </c>
      <c r="D370" s="5">
        <f t="shared" si="272"/>
        <v>0.083</v>
      </c>
      <c r="E370" s="5">
        <f t="shared" si="273"/>
        <v>39.14</v>
      </c>
      <c r="F370" s="5">
        <v>55.0</v>
      </c>
      <c r="G370" s="7">
        <f t="shared" si="274"/>
        <v>214.08356</v>
      </c>
      <c r="H370" s="7">
        <f t="shared" si="275"/>
        <v>8.27593</v>
      </c>
      <c r="I370" s="7">
        <f t="shared" si="276"/>
        <v>41.085</v>
      </c>
      <c r="J370" s="7">
        <f t="shared" si="277"/>
        <v>103.2852</v>
      </c>
      <c r="K370" s="7">
        <f t="shared" si="278"/>
        <v>2.3489</v>
      </c>
      <c r="L370" s="7">
        <f t="shared" si="279"/>
        <v>463.21859</v>
      </c>
      <c r="M370" s="7">
        <f t="shared" si="280"/>
        <v>97.2759039</v>
      </c>
      <c r="N370" s="7">
        <f t="shared" si="281"/>
        <v>560.4944939</v>
      </c>
    </row>
    <row r="371" ht="15.75" hidden="1" customHeight="1">
      <c r="A371" s="5" t="s">
        <v>14</v>
      </c>
      <c r="B371" s="14">
        <v>2038.0</v>
      </c>
      <c r="C371" s="12">
        <v>2134.0</v>
      </c>
      <c r="D371" s="5">
        <f t="shared" si="272"/>
        <v>0.096</v>
      </c>
      <c r="E371" s="5">
        <f t="shared" si="273"/>
        <v>39.14</v>
      </c>
      <c r="F371" s="5">
        <v>55.0</v>
      </c>
      <c r="G371" s="7">
        <f t="shared" si="274"/>
        <v>247.61472</v>
      </c>
      <c r="H371" s="7">
        <f t="shared" si="275"/>
        <v>9.57216</v>
      </c>
      <c r="I371" s="7">
        <f t="shared" si="276"/>
        <v>47.52</v>
      </c>
      <c r="J371" s="7">
        <f t="shared" si="277"/>
        <v>119.4624</v>
      </c>
      <c r="K371" s="7">
        <f t="shared" si="278"/>
        <v>2.7168</v>
      </c>
      <c r="L371" s="7">
        <f t="shared" si="279"/>
        <v>521.02608</v>
      </c>
      <c r="M371" s="7">
        <f t="shared" si="280"/>
        <v>109.4154768</v>
      </c>
      <c r="N371" s="7">
        <f t="shared" si="281"/>
        <v>630.4415568</v>
      </c>
    </row>
    <row r="372" ht="15.75" hidden="1" customHeight="1">
      <c r="A372" s="5" t="s">
        <v>15</v>
      </c>
      <c r="B372" s="14">
        <v>2217.0</v>
      </c>
      <c r="C372" s="12">
        <v>2355.0</v>
      </c>
      <c r="D372" s="5">
        <f t="shared" si="272"/>
        <v>0.138</v>
      </c>
      <c r="E372" s="5">
        <f t="shared" si="273"/>
        <v>39.14</v>
      </c>
      <c r="F372" s="5">
        <v>55.0</v>
      </c>
      <c r="G372" s="7">
        <f t="shared" si="274"/>
        <v>355.94616</v>
      </c>
      <c r="H372" s="7">
        <f t="shared" si="275"/>
        <v>13.75998</v>
      </c>
      <c r="I372" s="7">
        <f t="shared" si="276"/>
        <v>68.31</v>
      </c>
      <c r="J372" s="7">
        <f t="shared" si="277"/>
        <v>171.7272</v>
      </c>
      <c r="K372" s="7">
        <f t="shared" si="278"/>
        <v>3.9054</v>
      </c>
      <c r="L372" s="7">
        <f t="shared" si="279"/>
        <v>707.78874</v>
      </c>
      <c r="M372" s="7">
        <f t="shared" si="280"/>
        <v>148.6356354</v>
      </c>
      <c r="N372" s="7">
        <f t="shared" si="281"/>
        <v>856.4243754</v>
      </c>
    </row>
    <row r="373" ht="15.75" hidden="1" customHeight="1">
      <c r="A373" s="5" t="s">
        <v>16</v>
      </c>
      <c r="B373" s="14">
        <v>1740.0</v>
      </c>
      <c r="C373" s="12">
        <v>1801.0</v>
      </c>
      <c r="D373" s="5">
        <f t="shared" si="272"/>
        <v>0.061</v>
      </c>
      <c r="E373" s="5">
        <f t="shared" si="273"/>
        <v>39.14</v>
      </c>
      <c r="F373" s="5">
        <v>55.0</v>
      </c>
      <c r="G373" s="7">
        <f t="shared" si="274"/>
        <v>157.33852</v>
      </c>
      <c r="H373" s="7">
        <f t="shared" si="275"/>
        <v>6.08231</v>
      </c>
      <c r="I373" s="7">
        <f t="shared" si="276"/>
        <v>30.195</v>
      </c>
      <c r="J373" s="7">
        <f t="shared" si="277"/>
        <v>75.9084</v>
      </c>
      <c r="K373" s="7">
        <f t="shared" si="278"/>
        <v>1.7263</v>
      </c>
      <c r="L373" s="7">
        <f t="shared" si="279"/>
        <v>365.39053</v>
      </c>
      <c r="M373" s="7">
        <f t="shared" si="280"/>
        <v>76.7320113</v>
      </c>
      <c r="N373" s="7">
        <f t="shared" si="281"/>
        <v>442.1225413</v>
      </c>
    </row>
    <row r="374" ht="15.75" hidden="1" customHeight="1">
      <c r="A374" s="5" t="s">
        <v>17</v>
      </c>
      <c r="B374" s="14">
        <v>1954.0</v>
      </c>
      <c r="C374" s="12">
        <v>2039.0</v>
      </c>
      <c r="D374" s="5">
        <f t="shared" si="272"/>
        <v>0.085</v>
      </c>
      <c r="E374" s="5">
        <f t="shared" si="273"/>
        <v>39.14</v>
      </c>
      <c r="F374" s="5">
        <v>55.0</v>
      </c>
      <c r="G374" s="7">
        <f t="shared" si="274"/>
        <v>219.2422</v>
      </c>
      <c r="H374" s="7">
        <f t="shared" si="275"/>
        <v>8.47535</v>
      </c>
      <c r="I374" s="7">
        <f t="shared" si="276"/>
        <v>42.075</v>
      </c>
      <c r="J374" s="7">
        <f t="shared" si="277"/>
        <v>105.774</v>
      </c>
      <c r="K374" s="7">
        <f t="shared" si="278"/>
        <v>2.4055</v>
      </c>
      <c r="L374" s="7">
        <f t="shared" si="279"/>
        <v>472.11205</v>
      </c>
      <c r="M374" s="7">
        <f t="shared" si="280"/>
        <v>99.1435305</v>
      </c>
      <c r="N374" s="7">
        <f t="shared" si="281"/>
        <v>571.2555805</v>
      </c>
    </row>
    <row r="375" ht="15.75" hidden="1" customHeight="1">
      <c r="A375" s="5" t="s">
        <v>18</v>
      </c>
      <c r="B375" s="14">
        <v>2014.0</v>
      </c>
      <c r="C375" s="12">
        <v>2083.0</v>
      </c>
      <c r="D375" s="5">
        <f t="shared" si="272"/>
        <v>0.069</v>
      </c>
      <c r="E375" s="5">
        <f t="shared" si="273"/>
        <v>39.14</v>
      </c>
      <c r="F375" s="5">
        <v>55.0</v>
      </c>
      <c r="G375" s="7">
        <f t="shared" si="274"/>
        <v>177.97308</v>
      </c>
      <c r="H375" s="7">
        <f t="shared" si="275"/>
        <v>6.87999</v>
      </c>
      <c r="I375" s="7">
        <f t="shared" si="276"/>
        <v>34.155</v>
      </c>
      <c r="J375" s="7">
        <f t="shared" si="277"/>
        <v>85.8636</v>
      </c>
      <c r="K375" s="7">
        <f t="shared" si="278"/>
        <v>1.9527</v>
      </c>
      <c r="L375" s="7">
        <f t="shared" si="279"/>
        <v>400.96437</v>
      </c>
      <c r="M375" s="7">
        <f t="shared" si="280"/>
        <v>84.2025177</v>
      </c>
      <c r="N375" s="7">
        <f t="shared" si="281"/>
        <v>485.1668877</v>
      </c>
    </row>
    <row r="376" ht="15.75" hidden="1" customHeight="1">
      <c r="A376" s="5" t="s">
        <v>19</v>
      </c>
      <c r="B376" s="14">
        <v>64764.0</v>
      </c>
      <c r="C376" s="12">
        <v>66556.0</v>
      </c>
      <c r="D376" s="5">
        <f t="shared" si="272"/>
        <v>1.792</v>
      </c>
      <c r="E376" s="5">
        <v>169.69</v>
      </c>
      <c r="F376" s="5">
        <v>78.05</v>
      </c>
      <c r="G376" s="7">
        <f t="shared" si="274"/>
        <v>4622.14144</v>
      </c>
      <c r="H376" s="7">
        <f t="shared" si="275"/>
        <v>178.68032</v>
      </c>
      <c r="I376" s="7">
        <f t="shared" si="276"/>
        <v>887.04</v>
      </c>
      <c r="J376" s="7">
        <f t="shared" si="277"/>
        <v>2229.9648</v>
      </c>
      <c r="K376" s="7">
        <f t="shared" si="278"/>
        <v>50.7136</v>
      </c>
      <c r="L376" s="7">
        <f t="shared" si="279"/>
        <v>8216.28016</v>
      </c>
      <c r="M376" s="7">
        <f t="shared" si="280"/>
        <v>1725.418834</v>
      </c>
      <c r="N376" s="7">
        <f t="shared" si="281"/>
        <v>9941.698994</v>
      </c>
    </row>
    <row r="377" ht="15.75" hidden="1" customHeight="1">
      <c r="A377" s="5" t="s">
        <v>30</v>
      </c>
      <c r="B377" s="14">
        <v>9950.0</v>
      </c>
      <c r="C377" s="12">
        <v>10032.0</v>
      </c>
      <c r="D377" s="5">
        <f t="shared" si="272"/>
        <v>0.082</v>
      </c>
      <c r="E377" s="5">
        <f t="shared" ref="E377:E378" si="282">29.8+9.34</f>
        <v>39.14</v>
      </c>
      <c r="F377" s="5">
        <v>55.0</v>
      </c>
      <c r="G377" s="7">
        <f t="shared" si="274"/>
        <v>211.50424</v>
      </c>
      <c r="H377" s="7">
        <f t="shared" si="275"/>
        <v>8.17622</v>
      </c>
      <c r="I377" s="7">
        <f t="shared" si="276"/>
        <v>40.59</v>
      </c>
      <c r="J377" s="7">
        <f t="shared" si="277"/>
        <v>102.0408</v>
      </c>
      <c r="K377" s="7">
        <f t="shared" si="278"/>
        <v>2.3206</v>
      </c>
      <c r="L377" s="7">
        <f t="shared" si="279"/>
        <v>458.77186</v>
      </c>
      <c r="M377" s="7">
        <f t="shared" si="280"/>
        <v>96.3420906</v>
      </c>
      <c r="N377" s="7">
        <f t="shared" si="281"/>
        <v>555.1139506</v>
      </c>
    </row>
    <row r="378" ht="15.75" hidden="1" customHeight="1">
      <c r="A378" s="5" t="s">
        <v>31</v>
      </c>
      <c r="B378" s="14">
        <v>46505.0</v>
      </c>
      <c r="C378" s="12">
        <v>46976.0</v>
      </c>
      <c r="D378" s="5">
        <f t="shared" si="272"/>
        <v>0.471</v>
      </c>
      <c r="E378" s="5">
        <f t="shared" si="282"/>
        <v>39.14</v>
      </c>
      <c r="F378" s="5">
        <v>55.0</v>
      </c>
      <c r="G378" s="7">
        <f t="shared" si="274"/>
        <v>1214.85972</v>
      </c>
      <c r="H378" s="7">
        <f t="shared" si="275"/>
        <v>46.96341</v>
      </c>
      <c r="I378" s="7">
        <f t="shared" si="276"/>
        <v>233.145</v>
      </c>
      <c r="J378" s="7">
        <f t="shared" si="277"/>
        <v>586.1124</v>
      </c>
      <c r="K378" s="7">
        <f t="shared" si="278"/>
        <v>13.3293</v>
      </c>
      <c r="L378" s="13">
        <f t="shared" si="279"/>
        <v>2188.54983</v>
      </c>
      <c r="M378" s="7">
        <f t="shared" si="280"/>
        <v>459.5954643</v>
      </c>
      <c r="N378" s="7">
        <f t="shared" si="281"/>
        <v>2648.145294</v>
      </c>
    </row>
    <row r="379" ht="15.75" hidden="1" customHeight="1">
      <c r="A379" s="5"/>
      <c r="C379" s="4"/>
      <c r="D379" s="5"/>
      <c r="G379" s="5"/>
      <c r="L379" s="18">
        <f>SUM(L368:L378)</f>
        <v>14818.36745</v>
      </c>
      <c r="M379" s="19">
        <f t="shared" si="280"/>
        <v>3111.857165</v>
      </c>
      <c r="N379" s="20">
        <f t="shared" si="281"/>
        <v>17930.22461</v>
      </c>
    </row>
    <row r="380" ht="15.75" hidden="1" customHeight="1">
      <c r="A380" s="5"/>
      <c r="C380" s="4"/>
      <c r="D380" s="5">
        <f>SUM(D368:D378)</f>
        <v>3.065</v>
      </c>
      <c r="G380" s="5"/>
    </row>
    <row r="381" ht="15.75" hidden="1" customHeight="1">
      <c r="A381" s="5"/>
      <c r="C381" s="4"/>
      <c r="D381" s="5"/>
      <c r="G381" s="5"/>
    </row>
    <row r="382" ht="15.75" hidden="1" customHeight="1">
      <c r="A382" s="5"/>
      <c r="C382" s="4"/>
      <c r="D382" s="5"/>
      <c r="G382" s="5"/>
    </row>
    <row r="383" ht="15.75" hidden="1" customHeight="1">
      <c r="A383" s="5" t="s">
        <v>48</v>
      </c>
      <c r="C383" s="4"/>
      <c r="D383" s="5"/>
      <c r="G383" s="5"/>
    </row>
    <row r="384" ht="15.75" hidden="1" customHeight="1">
      <c r="A384" s="5" t="s">
        <v>11</v>
      </c>
      <c r="B384" s="14">
        <v>2717.0</v>
      </c>
      <c r="C384" s="12">
        <v>2802.0</v>
      </c>
      <c r="D384" s="5">
        <f t="shared" ref="D384:D394" si="283">(C384-B384)/1000</f>
        <v>0.085</v>
      </c>
      <c r="E384" s="5">
        <f t="shared" ref="E384:E391" si="284">29.8+9.34</f>
        <v>39.14</v>
      </c>
      <c r="F384" s="5">
        <v>55.0</v>
      </c>
      <c r="G384" s="7">
        <f t="shared" ref="G384:G394" si="285">D384*$G$2</f>
        <v>219.2422</v>
      </c>
      <c r="H384" s="7">
        <f t="shared" ref="H384:H394" si="286">D384*$H$2</f>
        <v>8.47535</v>
      </c>
      <c r="I384" s="7">
        <f t="shared" ref="I384:I394" si="287">D384*$I$2</f>
        <v>42.075</v>
      </c>
      <c r="J384" s="7">
        <f t="shared" ref="J384:J394" si="288">D384*$J$2</f>
        <v>105.774</v>
      </c>
      <c r="K384" s="7">
        <f t="shared" ref="K384:K394" si="289">D384*$K$2</f>
        <v>2.4055</v>
      </c>
      <c r="L384" s="7">
        <f t="shared" ref="L384:L394" si="290">SUM(E384:K384)</f>
        <v>472.11205</v>
      </c>
      <c r="M384" s="7">
        <f t="shared" ref="M384:M395" si="291">L384*0.21</f>
        <v>99.1435305</v>
      </c>
      <c r="N384" s="7">
        <f t="shared" ref="N384:N395" si="292">L384+M384</f>
        <v>571.2555805</v>
      </c>
    </row>
    <row r="385" ht="15.75" hidden="1" customHeight="1">
      <c r="A385" s="5" t="s">
        <v>12</v>
      </c>
      <c r="B385" s="14">
        <v>2071.0</v>
      </c>
      <c r="C385" s="12">
        <v>2142.0</v>
      </c>
      <c r="D385" s="5">
        <f t="shared" si="283"/>
        <v>0.071</v>
      </c>
      <c r="E385" s="5">
        <f t="shared" si="284"/>
        <v>39.14</v>
      </c>
      <c r="F385" s="5">
        <v>55.0</v>
      </c>
      <c r="G385" s="7">
        <f t="shared" si="285"/>
        <v>183.13172</v>
      </c>
      <c r="H385" s="7">
        <f t="shared" si="286"/>
        <v>7.07941</v>
      </c>
      <c r="I385" s="7">
        <f t="shared" si="287"/>
        <v>35.145</v>
      </c>
      <c r="J385" s="7">
        <f t="shared" si="288"/>
        <v>88.3524</v>
      </c>
      <c r="K385" s="7">
        <f t="shared" si="289"/>
        <v>2.0093</v>
      </c>
      <c r="L385" s="7">
        <f t="shared" si="290"/>
        <v>409.85783</v>
      </c>
      <c r="M385" s="7">
        <f t="shared" si="291"/>
        <v>86.0701443</v>
      </c>
      <c r="N385" s="7">
        <f t="shared" si="292"/>
        <v>495.9279743</v>
      </c>
    </row>
    <row r="386" ht="15.75" hidden="1" customHeight="1">
      <c r="A386" s="5" t="s">
        <v>13</v>
      </c>
      <c r="B386" s="14">
        <v>2617.0</v>
      </c>
      <c r="C386" s="12">
        <v>2713.0</v>
      </c>
      <c r="D386" s="5">
        <f t="shared" si="283"/>
        <v>0.096</v>
      </c>
      <c r="E386" s="5">
        <f t="shared" si="284"/>
        <v>39.14</v>
      </c>
      <c r="F386" s="5">
        <v>55.0</v>
      </c>
      <c r="G386" s="7">
        <f t="shared" si="285"/>
        <v>247.61472</v>
      </c>
      <c r="H386" s="7">
        <f t="shared" si="286"/>
        <v>9.57216</v>
      </c>
      <c r="I386" s="7">
        <f t="shared" si="287"/>
        <v>47.52</v>
      </c>
      <c r="J386" s="7">
        <f t="shared" si="288"/>
        <v>119.4624</v>
      </c>
      <c r="K386" s="7">
        <f t="shared" si="289"/>
        <v>2.7168</v>
      </c>
      <c r="L386" s="7">
        <f t="shared" si="290"/>
        <v>521.02608</v>
      </c>
      <c r="M386" s="7">
        <f t="shared" si="291"/>
        <v>109.4154768</v>
      </c>
      <c r="N386" s="7">
        <f t="shared" si="292"/>
        <v>630.4415568</v>
      </c>
    </row>
    <row r="387" ht="15.75" hidden="1" customHeight="1">
      <c r="A387" s="5" t="s">
        <v>14</v>
      </c>
      <c r="B387" s="14">
        <v>2134.0</v>
      </c>
      <c r="C387" s="12">
        <v>2230.0</v>
      </c>
      <c r="D387" s="5">
        <f t="shared" si="283"/>
        <v>0.096</v>
      </c>
      <c r="E387" s="5">
        <f t="shared" si="284"/>
        <v>39.14</v>
      </c>
      <c r="F387" s="5">
        <v>55.0</v>
      </c>
      <c r="G387" s="7">
        <f t="shared" si="285"/>
        <v>247.61472</v>
      </c>
      <c r="H387" s="7">
        <f t="shared" si="286"/>
        <v>9.57216</v>
      </c>
      <c r="I387" s="7">
        <f t="shared" si="287"/>
        <v>47.52</v>
      </c>
      <c r="J387" s="7">
        <f t="shared" si="288"/>
        <v>119.4624</v>
      </c>
      <c r="K387" s="7">
        <f t="shared" si="289"/>
        <v>2.7168</v>
      </c>
      <c r="L387" s="7">
        <f t="shared" si="290"/>
        <v>521.02608</v>
      </c>
      <c r="M387" s="7">
        <f t="shared" si="291"/>
        <v>109.4154768</v>
      </c>
      <c r="N387" s="7">
        <f t="shared" si="292"/>
        <v>630.4415568</v>
      </c>
    </row>
    <row r="388" ht="15.75" hidden="1" customHeight="1">
      <c r="A388" s="5" t="s">
        <v>15</v>
      </c>
      <c r="B388" s="14">
        <v>2355.0</v>
      </c>
      <c r="C388" s="12">
        <v>2425.0</v>
      </c>
      <c r="D388" s="5">
        <f t="shared" si="283"/>
        <v>0.07</v>
      </c>
      <c r="E388" s="5">
        <f t="shared" si="284"/>
        <v>39.14</v>
      </c>
      <c r="F388" s="5">
        <v>55.0</v>
      </c>
      <c r="G388" s="7">
        <f t="shared" si="285"/>
        <v>180.5524</v>
      </c>
      <c r="H388" s="7">
        <f t="shared" si="286"/>
        <v>6.9797</v>
      </c>
      <c r="I388" s="7">
        <f t="shared" si="287"/>
        <v>34.65</v>
      </c>
      <c r="J388" s="7">
        <f t="shared" si="288"/>
        <v>87.108</v>
      </c>
      <c r="K388" s="7">
        <f t="shared" si="289"/>
        <v>1.981</v>
      </c>
      <c r="L388" s="7">
        <f t="shared" si="290"/>
        <v>405.4111</v>
      </c>
      <c r="M388" s="7">
        <f t="shared" si="291"/>
        <v>85.136331</v>
      </c>
      <c r="N388" s="7">
        <f t="shared" si="292"/>
        <v>490.547431</v>
      </c>
    </row>
    <row r="389" ht="15.75" hidden="1" customHeight="1">
      <c r="A389" s="5" t="s">
        <v>16</v>
      </c>
      <c r="B389" s="14">
        <v>1801.0</v>
      </c>
      <c r="C389" s="12">
        <v>1885.0</v>
      </c>
      <c r="D389" s="5">
        <f t="shared" si="283"/>
        <v>0.084</v>
      </c>
      <c r="E389" s="5">
        <f t="shared" si="284"/>
        <v>39.14</v>
      </c>
      <c r="F389" s="5">
        <v>55.0</v>
      </c>
      <c r="G389" s="7">
        <f t="shared" si="285"/>
        <v>216.66288</v>
      </c>
      <c r="H389" s="7">
        <f t="shared" si="286"/>
        <v>8.37564</v>
      </c>
      <c r="I389" s="7">
        <f t="shared" si="287"/>
        <v>41.58</v>
      </c>
      <c r="J389" s="7">
        <f t="shared" si="288"/>
        <v>104.5296</v>
      </c>
      <c r="K389" s="7">
        <f t="shared" si="289"/>
        <v>2.3772</v>
      </c>
      <c r="L389" s="7">
        <f t="shared" si="290"/>
        <v>467.66532</v>
      </c>
      <c r="M389" s="7">
        <f t="shared" si="291"/>
        <v>98.2097172</v>
      </c>
      <c r="N389" s="7">
        <f t="shared" si="292"/>
        <v>565.8750372</v>
      </c>
    </row>
    <row r="390" ht="15.75" hidden="1" customHeight="1">
      <c r="A390" s="5" t="s">
        <v>17</v>
      </c>
      <c r="B390" s="14">
        <v>2039.0</v>
      </c>
      <c r="C390" s="12">
        <v>2116.0</v>
      </c>
      <c r="D390" s="5">
        <f t="shared" si="283"/>
        <v>0.077</v>
      </c>
      <c r="E390" s="5">
        <f t="shared" si="284"/>
        <v>39.14</v>
      </c>
      <c r="F390" s="5">
        <v>55.0</v>
      </c>
      <c r="G390" s="7">
        <f t="shared" si="285"/>
        <v>198.60764</v>
      </c>
      <c r="H390" s="7">
        <f t="shared" si="286"/>
        <v>7.67767</v>
      </c>
      <c r="I390" s="7">
        <f t="shared" si="287"/>
        <v>38.115</v>
      </c>
      <c r="J390" s="7">
        <f t="shared" si="288"/>
        <v>95.8188</v>
      </c>
      <c r="K390" s="7">
        <f t="shared" si="289"/>
        <v>2.1791</v>
      </c>
      <c r="L390" s="7">
        <f t="shared" si="290"/>
        <v>436.53821</v>
      </c>
      <c r="M390" s="7">
        <f t="shared" si="291"/>
        <v>91.6730241</v>
      </c>
      <c r="N390" s="7">
        <f t="shared" si="292"/>
        <v>528.2112341</v>
      </c>
    </row>
    <row r="391" ht="15.75" hidden="1" customHeight="1">
      <c r="A391" s="5" t="s">
        <v>18</v>
      </c>
      <c r="B391" s="14">
        <v>2083.0</v>
      </c>
      <c r="C391" s="12">
        <v>2171.0</v>
      </c>
      <c r="D391" s="5">
        <f t="shared" si="283"/>
        <v>0.088</v>
      </c>
      <c r="E391" s="5">
        <f t="shared" si="284"/>
        <v>39.14</v>
      </c>
      <c r="F391" s="5">
        <v>55.0</v>
      </c>
      <c r="G391" s="7">
        <f t="shared" si="285"/>
        <v>226.98016</v>
      </c>
      <c r="H391" s="7">
        <f t="shared" si="286"/>
        <v>8.77448</v>
      </c>
      <c r="I391" s="7">
        <f t="shared" si="287"/>
        <v>43.56</v>
      </c>
      <c r="J391" s="7">
        <f t="shared" si="288"/>
        <v>109.5072</v>
      </c>
      <c r="K391" s="7">
        <f t="shared" si="289"/>
        <v>2.4904</v>
      </c>
      <c r="L391" s="7">
        <f t="shared" si="290"/>
        <v>485.45224</v>
      </c>
      <c r="M391" s="7">
        <f t="shared" si="291"/>
        <v>101.9449704</v>
      </c>
      <c r="N391" s="7">
        <f t="shared" si="292"/>
        <v>587.3972104</v>
      </c>
    </row>
    <row r="392" ht="15.75" hidden="1" customHeight="1">
      <c r="A392" s="5" t="s">
        <v>19</v>
      </c>
      <c r="B392" s="14">
        <v>66556.0</v>
      </c>
      <c r="C392" s="12">
        <v>68485.0</v>
      </c>
      <c r="D392" s="5">
        <f t="shared" si="283"/>
        <v>1.929</v>
      </c>
      <c r="E392" s="5">
        <v>169.69</v>
      </c>
      <c r="F392" s="5">
        <v>78.05</v>
      </c>
      <c r="G392" s="7">
        <f t="shared" si="285"/>
        <v>4975.50828</v>
      </c>
      <c r="H392" s="7">
        <f t="shared" si="286"/>
        <v>192.34059</v>
      </c>
      <c r="I392" s="7">
        <f t="shared" si="287"/>
        <v>954.855</v>
      </c>
      <c r="J392" s="7">
        <f t="shared" si="288"/>
        <v>2400.4476</v>
      </c>
      <c r="K392" s="7">
        <f t="shared" si="289"/>
        <v>54.5907</v>
      </c>
      <c r="L392" s="7">
        <f t="shared" si="290"/>
        <v>8825.48217</v>
      </c>
      <c r="M392" s="7">
        <f t="shared" si="291"/>
        <v>1853.351256</v>
      </c>
      <c r="N392" s="7">
        <f t="shared" si="292"/>
        <v>10678.83343</v>
      </c>
    </row>
    <row r="393" ht="15.75" hidden="1" customHeight="1">
      <c r="A393" s="5" t="s">
        <v>30</v>
      </c>
      <c r="B393" s="14">
        <v>10032.0</v>
      </c>
      <c r="C393" s="12">
        <v>10169.0</v>
      </c>
      <c r="D393" s="5">
        <f t="shared" si="283"/>
        <v>0.137</v>
      </c>
      <c r="E393" s="5">
        <f t="shared" ref="E393:E394" si="293">29.8+9.34</f>
        <v>39.14</v>
      </c>
      <c r="F393" s="5">
        <v>55.0</v>
      </c>
      <c r="G393" s="7">
        <f t="shared" si="285"/>
        <v>353.36684</v>
      </c>
      <c r="H393" s="7">
        <f t="shared" si="286"/>
        <v>13.66027</v>
      </c>
      <c r="I393" s="7">
        <f t="shared" si="287"/>
        <v>67.815</v>
      </c>
      <c r="J393" s="7">
        <f t="shared" si="288"/>
        <v>170.4828</v>
      </c>
      <c r="K393" s="7">
        <f t="shared" si="289"/>
        <v>3.8771</v>
      </c>
      <c r="L393" s="7">
        <f t="shared" si="290"/>
        <v>703.34201</v>
      </c>
      <c r="M393" s="7">
        <f t="shared" si="291"/>
        <v>147.7018221</v>
      </c>
      <c r="N393" s="7">
        <f t="shared" si="292"/>
        <v>851.0438321</v>
      </c>
    </row>
    <row r="394" ht="15.75" hidden="1" customHeight="1">
      <c r="A394" s="5" t="s">
        <v>31</v>
      </c>
      <c r="B394" s="14">
        <v>46976.0</v>
      </c>
      <c r="C394" s="12">
        <v>47651.0</v>
      </c>
      <c r="D394" s="5">
        <f t="shared" si="283"/>
        <v>0.675</v>
      </c>
      <c r="E394" s="5">
        <f t="shared" si="293"/>
        <v>39.14</v>
      </c>
      <c r="F394" s="5">
        <v>55.0</v>
      </c>
      <c r="G394" s="7">
        <f t="shared" si="285"/>
        <v>1741.041</v>
      </c>
      <c r="H394" s="7">
        <f t="shared" si="286"/>
        <v>67.30425</v>
      </c>
      <c r="I394" s="7">
        <f t="shared" si="287"/>
        <v>334.125</v>
      </c>
      <c r="J394" s="7">
        <f t="shared" si="288"/>
        <v>839.97</v>
      </c>
      <c r="K394" s="7">
        <f t="shared" si="289"/>
        <v>19.1025</v>
      </c>
      <c r="L394" s="13">
        <f t="shared" si="290"/>
        <v>3095.68275</v>
      </c>
      <c r="M394" s="7">
        <f t="shared" si="291"/>
        <v>650.0933775</v>
      </c>
      <c r="N394" s="7">
        <f t="shared" si="292"/>
        <v>3745.776128</v>
      </c>
    </row>
    <row r="395" ht="15.75" hidden="1" customHeight="1">
      <c r="A395" s="5"/>
      <c r="C395" s="4"/>
      <c r="D395" s="5"/>
      <c r="G395" s="5"/>
      <c r="L395" s="18">
        <f>SUM(L384:L394)</f>
        <v>16343.59584</v>
      </c>
      <c r="M395" s="19">
        <f t="shared" si="291"/>
        <v>3432.155126</v>
      </c>
      <c r="N395" s="20">
        <f t="shared" si="292"/>
        <v>19775.75097</v>
      </c>
    </row>
    <row r="396" ht="15.75" hidden="1" customHeight="1">
      <c r="A396" s="5"/>
      <c r="C396" s="4"/>
      <c r="D396" s="5">
        <f>SUM(D384:D394)</f>
        <v>3.408</v>
      </c>
      <c r="G396" s="5"/>
    </row>
    <row r="397" ht="15.75" hidden="1" customHeight="1">
      <c r="A397" s="5"/>
      <c r="C397" s="4"/>
      <c r="D397" s="5"/>
      <c r="G397" s="5"/>
    </row>
    <row r="398" ht="15.75" hidden="1" customHeight="1">
      <c r="A398" s="5"/>
      <c r="C398" s="4"/>
      <c r="D398" s="5"/>
      <c r="G398" s="5"/>
    </row>
    <row r="399" ht="15.75" hidden="1" customHeight="1">
      <c r="A399" s="5" t="s">
        <v>49</v>
      </c>
      <c r="C399" s="4"/>
      <c r="D399" s="5"/>
      <c r="G399" s="5"/>
    </row>
    <row r="400" ht="15.75" hidden="1" customHeight="1">
      <c r="A400" s="5" t="s">
        <v>11</v>
      </c>
      <c r="B400" s="14">
        <v>2802.0</v>
      </c>
      <c r="C400" s="12">
        <v>2902.0</v>
      </c>
      <c r="D400" s="5">
        <f t="shared" ref="D400:D410" si="294">(C400-B400)/1000</f>
        <v>0.1</v>
      </c>
      <c r="E400" s="5">
        <f t="shared" ref="E400:E407" si="295">29.8+9.34</f>
        <v>39.14</v>
      </c>
      <c r="F400" s="5">
        <v>55.0</v>
      </c>
      <c r="G400" s="7">
        <f t="shared" ref="G400:G410" si="296">D400*$G$2</f>
        <v>257.932</v>
      </c>
      <c r="H400" s="7">
        <f t="shared" ref="H400:H410" si="297">D400*$H$2</f>
        <v>9.971</v>
      </c>
      <c r="I400" s="7">
        <f t="shared" ref="I400:I410" si="298">D400*$I$2</f>
        <v>49.5</v>
      </c>
      <c r="J400" s="7">
        <f t="shared" ref="J400:J410" si="299">D400*$J$2</f>
        <v>124.44</v>
      </c>
      <c r="K400" s="7">
        <f t="shared" ref="K400:K410" si="300">D400*$K$2</f>
        <v>2.83</v>
      </c>
      <c r="L400" s="7">
        <f t="shared" ref="L400:L410" si="301">SUM(E400:K400)</f>
        <v>538.813</v>
      </c>
      <c r="M400" s="7">
        <f t="shared" ref="M400:M411" si="302">L400*0.21</f>
        <v>113.15073</v>
      </c>
      <c r="N400" s="7">
        <f t="shared" ref="N400:N411" si="303">L400+M400</f>
        <v>651.96373</v>
      </c>
    </row>
    <row r="401" ht="15.75" hidden="1" customHeight="1">
      <c r="A401" s="5" t="s">
        <v>12</v>
      </c>
      <c r="B401" s="14">
        <v>2142.0</v>
      </c>
      <c r="C401" s="12">
        <v>2224.0</v>
      </c>
      <c r="D401" s="5">
        <f t="shared" si="294"/>
        <v>0.082</v>
      </c>
      <c r="E401" s="5">
        <f t="shared" si="295"/>
        <v>39.14</v>
      </c>
      <c r="F401" s="5">
        <v>55.0</v>
      </c>
      <c r="G401" s="7">
        <f t="shared" si="296"/>
        <v>211.50424</v>
      </c>
      <c r="H401" s="7">
        <f t="shared" si="297"/>
        <v>8.17622</v>
      </c>
      <c r="I401" s="7">
        <f t="shared" si="298"/>
        <v>40.59</v>
      </c>
      <c r="J401" s="7">
        <f t="shared" si="299"/>
        <v>102.0408</v>
      </c>
      <c r="K401" s="7">
        <f t="shared" si="300"/>
        <v>2.3206</v>
      </c>
      <c r="L401" s="7">
        <f t="shared" si="301"/>
        <v>458.77186</v>
      </c>
      <c r="M401" s="7">
        <f t="shared" si="302"/>
        <v>96.3420906</v>
      </c>
      <c r="N401" s="7">
        <f t="shared" si="303"/>
        <v>555.1139506</v>
      </c>
    </row>
    <row r="402" ht="15.75" hidden="1" customHeight="1">
      <c r="A402" s="5" t="s">
        <v>13</v>
      </c>
      <c r="B402" s="14">
        <v>2713.0</v>
      </c>
      <c r="C402" s="12">
        <v>2826.0</v>
      </c>
      <c r="D402" s="5">
        <f t="shared" si="294"/>
        <v>0.113</v>
      </c>
      <c r="E402" s="5">
        <f t="shared" si="295"/>
        <v>39.14</v>
      </c>
      <c r="F402" s="5">
        <v>55.0</v>
      </c>
      <c r="G402" s="7">
        <f t="shared" si="296"/>
        <v>291.46316</v>
      </c>
      <c r="H402" s="7">
        <f t="shared" si="297"/>
        <v>11.26723</v>
      </c>
      <c r="I402" s="7">
        <f t="shared" si="298"/>
        <v>55.935</v>
      </c>
      <c r="J402" s="7">
        <f t="shared" si="299"/>
        <v>140.6172</v>
      </c>
      <c r="K402" s="7">
        <f t="shared" si="300"/>
        <v>3.1979</v>
      </c>
      <c r="L402" s="7">
        <f t="shared" si="301"/>
        <v>596.62049</v>
      </c>
      <c r="M402" s="7">
        <f t="shared" si="302"/>
        <v>125.2903029</v>
      </c>
      <c r="N402" s="7">
        <f t="shared" si="303"/>
        <v>721.9107929</v>
      </c>
    </row>
    <row r="403" ht="15.75" hidden="1" customHeight="1">
      <c r="A403" s="5" t="s">
        <v>14</v>
      </c>
      <c r="B403" s="14">
        <v>2230.0</v>
      </c>
      <c r="C403" s="12">
        <v>2312.0</v>
      </c>
      <c r="D403" s="5">
        <f t="shared" si="294"/>
        <v>0.082</v>
      </c>
      <c r="E403" s="5">
        <f t="shared" si="295"/>
        <v>39.14</v>
      </c>
      <c r="F403" s="5">
        <v>55.0</v>
      </c>
      <c r="G403" s="7">
        <f t="shared" si="296"/>
        <v>211.50424</v>
      </c>
      <c r="H403" s="7">
        <f t="shared" si="297"/>
        <v>8.17622</v>
      </c>
      <c r="I403" s="7">
        <f t="shared" si="298"/>
        <v>40.59</v>
      </c>
      <c r="J403" s="7">
        <f t="shared" si="299"/>
        <v>102.0408</v>
      </c>
      <c r="K403" s="7">
        <f t="shared" si="300"/>
        <v>2.3206</v>
      </c>
      <c r="L403" s="7">
        <f t="shared" si="301"/>
        <v>458.77186</v>
      </c>
      <c r="M403" s="7">
        <f t="shared" si="302"/>
        <v>96.3420906</v>
      </c>
      <c r="N403" s="7">
        <f t="shared" si="303"/>
        <v>555.1139506</v>
      </c>
    </row>
    <row r="404" ht="15.75" hidden="1" customHeight="1">
      <c r="A404" s="5" t="s">
        <v>15</v>
      </c>
      <c r="B404" s="14">
        <v>2425.0</v>
      </c>
      <c r="C404" s="12">
        <v>2512.0</v>
      </c>
      <c r="D404" s="5">
        <f t="shared" si="294"/>
        <v>0.087</v>
      </c>
      <c r="E404" s="5">
        <f t="shared" si="295"/>
        <v>39.14</v>
      </c>
      <c r="F404" s="5">
        <v>55.0</v>
      </c>
      <c r="G404" s="7">
        <f t="shared" si="296"/>
        <v>224.40084</v>
      </c>
      <c r="H404" s="7">
        <f t="shared" si="297"/>
        <v>8.67477</v>
      </c>
      <c r="I404" s="7">
        <f t="shared" si="298"/>
        <v>43.065</v>
      </c>
      <c r="J404" s="7">
        <f t="shared" si="299"/>
        <v>108.2628</v>
      </c>
      <c r="K404" s="7">
        <f t="shared" si="300"/>
        <v>2.4621</v>
      </c>
      <c r="L404" s="7">
        <f t="shared" si="301"/>
        <v>481.00551</v>
      </c>
      <c r="M404" s="7">
        <f t="shared" si="302"/>
        <v>101.0111571</v>
      </c>
      <c r="N404" s="7">
        <f t="shared" si="303"/>
        <v>582.0166671</v>
      </c>
    </row>
    <row r="405" ht="15.75" hidden="1" customHeight="1">
      <c r="A405" s="5" t="s">
        <v>16</v>
      </c>
      <c r="B405" s="14">
        <v>1885.0</v>
      </c>
      <c r="C405" s="12">
        <v>1958.0</v>
      </c>
      <c r="D405" s="5">
        <f t="shared" si="294"/>
        <v>0.073</v>
      </c>
      <c r="E405" s="5">
        <f t="shared" si="295"/>
        <v>39.14</v>
      </c>
      <c r="F405" s="5">
        <v>55.0</v>
      </c>
      <c r="G405" s="7">
        <f t="shared" si="296"/>
        <v>188.29036</v>
      </c>
      <c r="H405" s="7">
        <f t="shared" si="297"/>
        <v>7.27883</v>
      </c>
      <c r="I405" s="7">
        <f t="shared" si="298"/>
        <v>36.135</v>
      </c>
      <c r="J405" s="7">
        <f t="shared" si="299"/>
        <v>90.8412</v>
      </c>
      <c r="K405" s="7">
        <f t="shared" si="300"/>
        <v>2.0659</v>
      </c>
      <c r="L405" s="7">
        <f t="shared" si="301"/>
        <v>418.75129</v>
      </c>
      <c r="M405" s="7">
        <f t="shared" si="302"/>
        <v>87.9377709</v>
      </c>
      <c r="N405" s="7">
        <f t="shared" si="303"/>
        <v>506.6890609</v>
      </c>
    </row>
    <row r="406" ht="15.75" hidden="1" customHeight="1">
      <c r="A406" s="5" t="s">
        <v>17</v>
      </c>
      <c r="B406" s="14">
        <v>2116.0</v>
      </c>
      <c r="C406" s="12">
        <v>2206.0</v>
      </c>
      <c r="D406" s="5">
        <f t="shared" si="294"/>
        <v>0.09</v>
      </c>
      <c r="E406" s="5">
        <f t="shared" si="295"/>
        <v>39.14</v>
      </c>
      <c r="F406" s="5">
        <v>55.0</v>
      </c>
      <c r="G406" s="7">
        <f t="shared" si="296"/>
        <v>232.1388</v>
      </c>
      <c r="H406" s="7">
        <f t="shared" si="297"/>
        <v>8.9739</v>
      </c>
      <c r="I406" s="7">
        <f t="shared" si="298"/>
        <v>44.55</v>
      </c>
      <c r="J406" s="7">
        <f t="shared" si="299"/>
        <v>111.996</v>
      </c>
      <c r="K406" s="7">
        <f t="shared" si="300"/>
        <v>2.547</v>
      </c>
      <c r="L406" s="7">
        <f t="shared" si="301"/>
        <v>494.3457</v>
      </c>
      <c r="M406" s="7">
        <f t="shared" si="302"/>
        <v>103.812597</v>
      </c>
      <c r="N406" s="7">
        <f t="shared" si="303"/>
        <v>598.158297</v>
      </c>
    </row>
    <row r="407" ht="15.75" hidden="1" customHeight="1">
      <c r="A407" s="5" t="s">
        <v>18</v>
      </c>
      <c r="B407" s="14">
        <v>2171.0</v>
      </c>
      <c r="C407" s="12">
        <v>2237.0</v>
      </c>
      <c r="D407" s="5">
        <f t="shared" si="294"/>
        <v>0.066</v>
      </c>
      <c r="E407" s="5">
        <f t="shared" si="295"/>
        <v>39.14</v>
      </c>
      <c r="F407" s="5">
        <v>55.0</v>
      </c>
      <c r="G407" s="7">
        <f t="shared" si="296"/>
        <v>170.23512</v>
      </c>
      <c r="H407" s="7">
        <f t="shared" si="297"/>
        <v>6.58086</v>
      </c>
      <c r="I407" s="7">
        <f t="shared" si="298"/>
        <v>32.67</v>
      </c>
      <c r="J407" s="7">
        <f t="shared" si="299"/>
        <v>82.1304</v>
      </c>
      <c r="K407" s="7">
        <f t="shared" si="300"/>
        <v>1.8678</v>
      </c>
      <c r="L407" s="7">
        <f t="shared" si="301"/>
        <v>387.62418</v>
      </c>
      <c r="M407" s="7">
        <f t="shared" si="302"/>
        <v>81.4010778</v>
      </c>
      <c r="N407" s="7">
        <f t="shared" si="303"/>
        <v>469.0252578</v>
      </c>
    </row>
    <row r="408" ht="15.75" hidden="1" customHeight="1">
      <c r="A408" s="5" t="s">
        <v>19</v>
      </c>
      <c r="B408" s="14">
        <v>68485.0</v>
      </c>
      <c r="C408" s="12">
        <v>70429.0</v>
      </c>
      <c r="D408" s="5">
        <f t="shared" si="294"/>
        <v>1.944</v>
      </c>
      <c r="E408" s="5">
        <v>169.69</v>
      </c>
      <c r="F408" s="5">
        <v>78.05</v>
      </c>
      <c r="G408" s="7">
        <f t="shared" si="296"/>
        <v>5014.19808</v>
      </c>
      <c r="H408" s="7">
        <f t="shared" si="297"/>
        <v>193.83624</v>
      </c>
      <c r="I408" s="7">
        <f t="shared" si="298"/>
        <v>962.28</v>
      </c>
      <c r="J408" s="7">
        <f t="shared" si="299"/>
        <v>2419.1136</v>
      </c>
      <c r="K408" s="7">
        <f t="shared" si="300"/>
        <v>55.0152</v>
      </c>
      <c r="L408" s="7">
        <f t="shared" si="301"/>
        <v>8892.18312</v>
      </c>
      <c r="M408" s="7">
        <f t="shared" si="302"/>
        <v>1867.358455</v>
      </c>
      <c r="N408" s="7">
        <f t="shared" si="303"/>
        <v>10759.54158</v>
      </c>
    </row>
    <row r="409" ht="15.75" hidden="1" customHeight="1">
      <c r="A409" s="5" t="s">
        <v>30</v>
      </c>
      <c r="B409" s="14">
        <v>10169.0</v>
      </c>
      <c r="C409" s="12">
        <v>10389.0</v>
      </c>
      <c r="D409" s="5">
        <f t="shared" si="294"/>
        <v>0.22</v>
      </c>
      <c r="E409" s="5">
        <f t="shared" ref="E409:E410" si="304">29.8+9.34</f>
        <v>39.14</v>
      </c>
      <c r="F409" s="5">
        <v>55.0</v>
      </c>
      <c r="G409" s="7">
        <f t="shared" si="296"/>
        <v>567.4504</v>
      </c>
      <c r="H409" s="7">
        <f t="shared" si="297"/>
        <v>21.9362</v>
      </c>
      <c r="I409" s="7">
        <f t="shared" si="298"/>
        <v>108.9</v>
      </c>
      <c r="J409" s="7">
        <f t="shared" si="299"/>
        <v>273.768</v>
      </c>
      <c r="K409" s="7">
        <f t="shared" si="300"/>
        <v>6.226</v>
      </c>
      <c r="L409" s="7">
        <f t="shared" si="301"/>
        <v>1072.4206</v>
      </c>
      <c r="M409" s="7">
        <f t="shared" si="302"/>
        <v>225.208326</v>
      </c>
      <c r="N409" s="7">
        <f t="shared" si="303"/>
        <v>1297.628926</v>
      </c>
    </row>
    <row r="410" ht="15.75" hidden="1" customHeight="1">
      <c r="A410" s="5" t="s">
        <v>31</v>
      </c>
      <c r="B410" s="14">
        <v>47651.0</v>
      </c>
      <c r="C410" s="12">
        <v>48770.0</v>
      </c>
      <c r="D410" s="5">
        <f t="shared" si="294"/>
        <v>1.119</v>
      </c>
      <c r="E410" s="5">
        <f t="shared" si="304"/>
        <v>39.14</v>
      </c>
      <c r="F410" s="5">
        <v>55.0</v>
      </c>
      <c r="G410" s="7">
        <f t="shared" si="296"/>
        <v>2886.25908</v>
      </c>
      <c r="H410" s="7">
        <f t="shared" si="297"/>
        <v>111.57549</v>
      </c>
      <c r="I410" s="7">
        <f t="shared" si="298"/>
        <v>553.905</v>
      </c>
      <c r="J410" s="7">
        <f t="shared" si="299"/>
        <v>1392.4836</v>
      </c>
      <c r="K410" s="7">
        <f t="shared" si="300"/>
        <v>31.6677</v>
      </c>
      <c r="L410" s="13">
        <f t="shared" si="301"/>
        <v>5070.03087</v>
      </c>
      <c r="M410" s="7">
        <f t="shared" si="302"/>
        <v>1064.706483</v>
      </c>
      <c r="N410" s="7">
        <f t="shared" si="303"/>
        <v>6134.737353</v>
      </c>
    </row>
    <row r="411" ht="15.75" hidden="1" customHeight="1">
      <c r="A411" s="5"/>
      <c r="C411" s="4"/>
      <c r="D411" s="5"/>
      <c r="G411" s="5"/>
      <c r="L411" s="18">
        <f>SUM(L400:L410)</f>
        <v>18869.33848</v>
      </c>
      <c r="M411" s="19">
        <f t="shared" si="302"/>
        <v>3962.561081</v>
      </c>
      <c r="N411" s="20">
        <f t="shared" si="303"/>
        <v>22831.89956</v>
      </c>
    </row>
    <row r="412" ht="15.75" hidden="1" customHeight="1">
      <c r="A412" s="5"/>
      <c r="C412" s="4"/>
      <c r="D412" s="5">
        <f>SUM(D400:D410)</f>
        <v>3.976</v>
      </c>
      <c r="G412" s="5"/>
    </row>
    <row r="413" ht="15.75" hidden="1" customHeight="1">
      <c r="A413" s="5"/>
      <c r="C413" s="4"/>
      <c r="D413" s="5"/>
      <c r="G413" s="5"/>
    </row>
    <row r="414" ht="15.75" hidden="1" customHeight="1">
      <c r="A414" s="5"/>
      <c r="C414" s="4"/>
      <c r="D414" s="5"/>
      <c r="G414" s="5"/>
    </row>
    <row r="415" ht="15.75" hidden="1" customHeight="1">
      <c r="A415" s="5" t="s">
        <v>50</v>
      </c>
      <c r="C415" s="4"/>
      <c r="D415" s="5"/>
      <c r="G415" s="5"/>
    </row>
    <row r="416" ht="15.75" hidden="1" customHeight="1">
      <c r="A416" s="5" t="s">
        <v>11</v>
      </c>
      <c r="B416" s="14">
        <v>2902.0</v>
      </c>
      <c r="C416" s="12">
        <v>3004.0</v>
      </c>
      <c r="D416" s="5">
        <f t="shared" ref="D416:D426" si="305">(C416-B416)/1000</f>
        <v>0.102</v>
      </c>
      <c r="E416" s="5">
        <f t="shared" ref="E416:E423" si="306">29.8+9.34</f>
        <v>39.14</v>
      </c>
      <c r="F416" s="5">
        <v>55.0</v>
      </c>
      <c r="G416" s="7">
        <f t="shared" ref="G416:G426" si="307">D416*$G$2</f>
        <v>263.09064</v>
      </c>
      <c r="H416" s="7">
        <f t="shared" ref="H416:H426" si="308">D416*$H$2</f>
        <v>10.17042</v>
      </c>
      <c r="I416" s="7">
        <f t="shared" ref="I416:I426" si="309">D416*$I$2</f>
        <v>50.49</v>
      </c>
      <c r="J416" s="7">
        <f t="shared" ref="J416:J426" si="310">D416*$J$2</f>
        <v>126.9288</v>
      </c>
      <c r="K416" s="7">
        <f t="shared" ref="K416:K426" si="311">D416*$K$2</f>
        <v>2.8866</v>
      </c>
      <c r="L416" s="7">
        <f t="shared" ref="L416:L426" si="312">SUM(E416:K416)</f>
        <v>547.70646</v>
      </c>
      <c r="M416" s="7">
        <f t="shared" ref="M416:M427" si="313">L416*0.21</f>
        <v>115.0183566</v>
      </c>
      <c r="N416" s="7">
        <f t="shared" ref="N416:N427" si="314">L416+M416</f>
        <v>662.7248166</v>
      </c>
    </row>
    <row r="417" ht="15.75" hidden="1" customHeight="1">
      <c r="A417" s="5" t="s">
        <v>12</v>
      </c>
      <c r="B417" s="14">
        <v>2224.0</v>
      </c>
      <c r="C417" s="12">
        <v>2269.0</v>
      </c>
      <c r="D417" s="5">
        <f t="shared" si="305"/>
        <v>0.045</v>
      </c>
      <c r="E417" s="5">
        <f t="shared" si="306"/>
        <v>39.14</v>
      </c>
      <c r="F417" s="5">
        <v>55.0</v>
      </c>
      <c r="G417" s="7">
        <f t="shared" si="307"/>
        <v>116.0694</v>
      </c>
      <c r="H417" s="7">
        <f t="shared" si="308"/>
        <v>4.48695</v>
      </c>
      <c r="I417" s="7">
        <f t="shared" si="309"/>
        <v>22.275</v>
      </c>
      <c r="J417" s="7">
        <f t="shared" si="310"/>
        <v>55.998</v>
      </c>
      <c r="K417" s="7">
        <f t="shared" si="311"/>
        <v>1.2735</v>
      </c>
      <c r="L417" s="7">
        <f t="shared" si="312"/>
        <v>294.24285</v>
      </c>
      <c r="M417" s="7">
        <f t="shared" si="313"/>
        <v>61.7909985</v>
      </c>
      <c r="N417" s="7">
        <f t="shared" si="314"/>
        <v>356.0338485</v>
      </c>
    </row>
    <row r="418" ht="15.75" hidden="1" customHeight="1">
      <c r="A418" s="5" t="s">
        <v>13</v>
      </c>
      <c r="B418" s="14">
        <v>2826.0</v>
      </c>
      <c r="C418" s="12">
        <v>2903.0</v>
      </c>
      <c r="D418" s="5">
        <f t="shared" si="305"/>
        <v>0.077</v>
      </c>
      <c r="E418" s="5">
        <f t="shared" si="306"/>
        <v>39.14</v>
      </c>
      <c r="F418" s="5">
        <v>55.0</v>
      </c>
      <c r="G418" s="7">
        <f t="shared" si="307"/>
        <v>198.60764</v>
      </c>
      <c r="H418" s="7">
        <f t="shared" si="308"/>
        <v>7.67767</v>
      </c>
      <c r="I418" s="7">
        <f t="shared" si="309"/>
        <v>38.115</v>
      </c>
      <c r="J418" s="7">
        <f t="shared" si="310"/>
        <v>95.8188</v>
      </c>
      <c r="K418" s="7">
        <f t="shared" si="311"/>
        <v>2.1791</v>
      </c>
      <c r="L418" s="7">
        <f t="shared" si="312"/>
        <v>436.53821</v>
      </c>
      <c r="M418" s="7">
        <f t="shared" si="313"/>
        <v>91.6730241</v>
      </c>
      <c r="N418" s="7">
        <f t="shared" si="314"/>
        <v>528.2112341</v>
      </c>
    </row>
    <row r="419" ht="15.75" hidden="1" customHeight="1">
      <c r="A419" s="5" t="s">
        <v>14</v>
      </c>
      <c r="B419" s="14">
        <v>2312.0</v>
      </c>
      <c r="C419" s="12">
        <v>2378.0</v>
      </c>
      <c r="D419" s="5">
        <f t="shared" si="305"/>
        <v>0.066</v>
      </c>
      <c r="E419" s="5">
        <f t="shared" si="306"/>
        <v>39.14</v>
      </c>
      <c r="F419" s="5">
        <v>55.0</v>
      </c>
      <c r="G419" s="7">
        <f t="shared" si="307"/>
        <v>170.23512</v>
      </c>
      <c r="H419" s="7">
        <f t="shared" si="308"/>
        <v>6.58086</v>
      </c>
      <c r="I419" s="7">
        <f t="shared" si="309"/>
        <v>32.67</v>
      </c>
      <c r="J419" s="7">
        <f t="shared" si="310"/>
        <v>82.1304</v>
      </c>
      <c r="K419" s="7">
        <f t="shared" si="311"/>
        <v>1.8678</v>
      </c>
      <c r="L419" s="7">
        <f t="shared" si="312"/>
        <v>387.62418</v>
      </c>
      <c r="M419" s="7">
        <f t="shared" si="313"/>
        <v>81.4010778</v>
      </c>
      <c r="N419" s="7">
        <f t="shared" si="314"/>
        <v>469.0252578</v>
      </c>
    </row>
    <row r="420" ht="15.75" hidden="1" customHeight="1">
      <c r="A420" s="5" t="s">
        <v>15</v>
      </c>
      <c r="B420" s="14">
        <v>2512.0</v>
      </c>
      <c r="C420" s="12">
        <v>2576.0</v>
      </c>
      <c r="D420" s="5">
        <f t="shared" si="305"/>
        <v>0.064</v>
      </c>
      <c r="E420" s="5">
        <f t="shared" si="306"/>
        <v>39.14</v>
      </c>
      <c r="F420" s="5">
        <v>55.0</v>
      </c>
      <c r="G420" s="7">
        <f t="shared" si="307"/>
        <v>165.07648</v>
      </c>
      <c r="H420" s="7">
        <f t="shared" si="308"/>
        <v>6.38144</v>
      </c>
      <c r="I420" s="7">
        <f t="shared" si="309"/>
        <v>31.68</v>
      </c>
      <c r="J420" s="7">
        <f t="shared" si="310"/>
        <v>79.6416</v>
      </c>
      <c r="K420" s="7">
        <f t="shared" si="311"/>
        <v>1.8112</v>
      </c>
      <c r="L420" s="7">
        <f t="shared" si="312"/>
        <v>378.73072</v>
      </c>
      <c r="M420" s="7">
        <f t="shared" si="313"/>
        <v>79.5334512</v>
      </c>
      <c r="N420" s="7">
        <f t="shared" si="314"/>
        <v>458.2641712</v>
      </c>
    </row>
    <row r="421" ht="15.75" hidden="1" customHeight="1">
      <c r="A421" s="5" t="s">
        <v>16</v>
      </c>
      <c r="B421" s="14">
        <v>1958.0</v>
      </c>
      <c r="C421" s="12">
        <v>2011.0</v>
      </c>
      <c r="D421" s="5">
        <f t="shared" si="305"/>
        <v>0.053</v>
      </c>
      <c r="E421" s="5">
        <f t="shared" si="306"/>
        <v>39.14</v>
      </c>
      <c r="F421" s="5">
        <v>55.0</v>
      </c>
      <c r="G421" s="7">
        <f t="shared" si="307"/>
        <v>136.70396</v>
      </c>
      <c r="H421" s="7">
        <f t="shared" si="308"/>
        <v>5.28463</v>
      </c>
      <c r="I421" s="7">
        <f t="shared" si="309"/>
        <v>26.235</v>
      </c>
      <c r="J421" s="7">
        <f t="shared" si="310"/>
        <v>65.9532</v>
      </c>
      <c r="K421" s="7">
        <f t="shared" si="311"/>
        <v>1.4999</v>
      </c>
      <c r="L421" s="7">
        <f t="shared" si="312"/>
        <v>329.81669</v>
      </c>
      <c r="M421" s="7">
        <f t="shared" si="313"/>
        <v>69.2615049</v>
      </c>
      <c r="N421" s="7">
        <f t="shared" si="314"/>
        <v>399.0781949</v>
      </c>
    </row>
    <row r="422" ht="15.75" hidden="1" customHeight="1">
      <c r="A422" s="5" t="s">
        <v>17</v>
      </c>
      <c r="B422" s="14">
        <v>2206.0</v>
      </c>
      <c r="C422" s="12">
        <v>2287.0</v>
      </c>
      <c r="D422" s="5">
        <f t="shared" si="305"/>
        <v>0.081</v>
      </c>
      <c r="E422" s="5">
        <f t="shared" si="306"/>
        <v>39.14</v>
      </c>
      <c r="F422" s="5">
        <v>55.0</v>
      </c>
      <c r="G422" s="7">
        <f t="shared" si="307"/>
        <v>208.92492</v>
      </c>
      <c r="H422" s="7">
        <f t="shared" si="308"/>
        <v>8.07651</v>
      </c>
      <c r="I422" s="7">
        <f t="shared" si="309"/>
        <v>40.095</v>
      </c>
      <c r="J422" s="7">
        <f t="shared" si="310"/>
        <v>100.7964</v>
      </c>
      <c r="K422" s="7">
        <f t="shared" si="311"/>
        <v>2.2923</v>
      </c>
      <c r="L422" s="7">
        <f t="shared" si="312"/>
        <v>454.32513</v>
      </c>
      <c r="M422" s="7">
        <f t="shared" si="313"/>
        <v>95.4082773</v>
      </c>
      <c r="N422" s="7">
        <f t="shared" si="314"/>
        <v>549.7334073</v>
      </c>
    </row>
    <row r="423" ht="15.75" hidden="1" customHeight="1">
      <c r="A423" s="5" t="s">
        <v>18</v>
      </c>
      <c r="B423" s="14">
        <v>2237.0</v>
      </c>
      <c r="C423" s="12">
        <v>2292.0</v>
      </c>
      <c r="D423" s="5">
        <f t="shared" si="305"/>
        <v>0.055</v>
      </c>
      <c r="E423" s="5">
        <f t="shared" si="306"/>
        <v>39.14</v>
      </c>
      <c r="F423" s="5">
        <v>55.0</v>
      </c>
      <c r="G423" s="7">
        <f t="shared" si="307"/>
        <v>141.8626</v>
      </c>
      <c r="H423" s="7">
        <f t="shared" si="308"/>
        <v>5.48405</v>
      </c>
      <c r="I423" s="7">
        <f t="shared" si="309"/>
        <v>27.225</v>
      </c>
      <c r="J423" s="7">
        <f t="shared" si="310"/>
        <v>68.442</v>
      </c>
      <c r="K423" s="7">
        <f t="shared" si="311"/>
        <v>1.5565</v>
      </c>
      <c r="L423" s="7">
        <f t="shared" si="312"/>
        <v>338.71015</v>
      </c>
      <c r="M423" s="7">
        <f t="shared" si="313"/>
        <v>71.1291315</v>
      </c>
      <c r="N423" s="7">
        <f t="shared" si="314"/>
        <v>409.8392815</v>
      </c>
    </row>
    <row r="424" ht="15.75" hidden="1" customHeight="1">
      <c r="A424" s="5" t="s">
        <v>19</v>
      </c>
      <c r="B424" s="14">
        <v>70429.0</v>
      </c>
      <c r="C424" s="12">
        <v>71638.0</v>
      </c>
      <c r="D424" s="5">
        <f t="shared" si="305"/>
        <v>1.209</v>
      </c>
      <c r="E424" s="5">
        <v>169.69</v>
      </c>
      <c r="F424" s="5">
        <v>78.05</v>
      </c>
      <c r="G424" s="7">
        <f t="shared" si="307"/>
        <v>3118.39788</v>
      </c>
      <c r="H424" s="7">
        <f t="shared" si="308"/>
        <v>120.54939</v>
      </c>
      <c r="I424" s="7">
        <f t="shared" si="309"/>
        <v>598.455</v>
      </c>
      <c r="J424" s="7">
        <f t="shared" si="310"/>
        <v>1504.4796</v>
      </c>
      <c r="K424" s="7">
        <f t="shared" si="311"/>
        <v>34.2147</v>
      </c>
      <c r="L424" s="7">
        <f t="shared" si="312"/>
        <v>5623.83657</v>
      </c>
      <c r="M424" s="7">
        <f t="shared" si="313"/>
        <v>1181.00568</v>
      </c>
      <c r="N424" s="7">
        <f t="shared" si="314"/>
        <v>6804.84225</v>
      </c>
    </row>
    <row r="425" ht="15.75" hidden="1" customHeight="1">
      <c r="A425" s="5" t="s">
        <v>30</v>
      </c>
      <c r="B425" s="14">
        <v>10389.0</v>
      </c>
      <c r="C425" s="12">
        <v>10649.0</v>
      </c>
      <c r="D425" s="5">
        <f t="shared" si="305"/>
        <v>0.26</v>
      </c>
      <c r="E425" s="5">
        <f t="shared" ref="E425:E426" si="315">29.8+9.34</f>
        <v>39.14</v>
      </c>
      <c r="F425" s="5">
        <v>55.0</v>
      </c>
      <c r="G425" s="7">
        <f t="shared" si="307"/>
        <v>670.6232</v>
      </c>
      <c r="H425" s="7">
        <f t="shared" si="308"/>
        <v>25.9246</v>
      </c>
      <c r="I425" s="7">
        <f t="shared" si="309"/>
        <v>128.7</v>
      </c>
      <c r="J425" s="7">
        <f t="shared" si="310"/>
        <v>323.544</v>
      </c>
      <c r="K425" s="7">
        <f t="shared" si="311"/>
        <v>7.358</v>
      </c>
      <c r="L425" s="7">
        <f t="shared" si="312"/>
        <v>1250.2898</v>
      </c>
      <c r="M425" s="7">
        <f t="shared" si="313"/>
        <v>262.560858</v>
      </c>
      <c r="N425" s="7">
        <f t="shared" si="314"/>
        <v>1512.850658</v>
      </c>
    </row>
    <row r="426" ht="15.75" hidden="1" customHeight="1">
      <c r="A426" s="5" t="s">
        <v>31</v>
      </c>
      <c r="B426" s="14">
        <v>48770.0</v>
      </c>
      <c r="C426" s="12">
        <v>50091.0</v>
      </c>
      <c r="D426" s="5">
        <f t="shared" si="305"/>
        <v>1.321</v>
      </c>
      <c r="E426" s="5">
        <f t="shared" si="315"/>
        <v>39.14</v>
      </c>
      <c r="F426" s="5">
        <v>55.0</v>
      </c>
      <c r="G426" s="7">
        <f t="shared" si="307"/>
        <v>3407.28172</v>
      </c>
      <c r="H426" s="7">
        <f t="shared" si="308"/>
        <v>131.71691</v>
      </c>
      <c r="I426" s="7">
        <f t="shared" si="309"/>
        <v>653.895</v>
      </c>
      <c r="J426" s="7">
        <f t="shared" si="310"/>
        <v>1643.8524</v>
      </c>
      <c r="K426" s="7">
        <f t="shared" si="311"/>
        <v>37.3843</v>
      </c>
      <c r="L426" s="13">
        <f t="shared" si="312"/>
        <v>5968.27033</v>
      </c>
      <c r="M426" s="7">
        <f t="shared" si="313"/>
        <v>1253.336769</v>
      </c>
      <c r="N426" s="7">
        <f t="shared" si="314"/>
        <v>7221.607099</v>
      </c>
    </row>
    <row r="427" ht="15.75" hidden="1" customHeight="1">
      <c r="A427" s="5"/>
      <c r="C427" s="4"/>
      <c r="D427" s="5"/>
      <c r="G427" s="5"/>
      <c r="L427" s="18">
        <f>SUM(L416:L426)</f>
        <v>16010.09109</v>
      </c>
      <c r="M427" s="19">
        <f t="shared" si="313"/>
        <v>3362.119129</v>
      </c>
      <c r="N427" s="20">
        <f t="shared" si="314"/>
        <v>19372.21022</v>
      </c>
    </row>
    <row r="428" ht="15.75" hidden="1" customHeight="1">
      <c r="A428" s="5"/>
      <c r="C428" s="4"/>
      <c r="D428" s="5">
        <f>SUM(D416:D426)</f>
        <v>3.333</v>
      </c>
      <c r="G428" s="5"/>
    </row>
    <row r="429" ht="15.75" hidden="1" customHeight="1">
      <c r="A429" s="5"/>
      <c r="C429" s="4"/>
      <c r="D429" s="5"/>
      <c r="G429" s="5"/>
    </row>
    <row r="430" ht="15.75" hidden="1" customHeight="1">
      <c r="A430" s="5"/>
      <c r="C430" s="4"/>
      <c r="D430" s="5"/>
      <c r="G430" s="5"/>
    </row>
    <row r="431" ht="15.75" hidden="1" customHeight="1">
      <c r="A431" s="5" t="s">
        <v>51</v>
      </c>
      <c r="C431" s="4"/>
      <c r="D431" s="5"/>
      <c r="G431" s="5"/>
    </row>
    <row r="432" ht="15.75" hidden="1" customHeight="1">
      <c r="A432" s="5" t="s">
        <v>11</v>
      </c>
      <c r="B432" s="14">
        <v>3004.0</v>
      </c>
      <c r="C432" s="12">
        <v>3133.0</v>
      </c>
      <c r="D432" s="5">
        <f t="shared" ref="D432:D442" si="316">(C432-B432)/1000</f>
        <v>0.129</v>
      </c>
      <c r="E432" s="5">
        <f t="shared" ref="E432:E439" si="317">29.8+9.34</f>
        <v>39.14</v>
      </c>
      <c r="F432" s="5">
        <v>55.0</v>
      </c>
      <c r="G432" s="7">
        <f t="shared" ref="G432:G442" si="318">D432*$G$2</f>
        <v>332.73228</v>
      </c>
      <c r="H432" s="7">
        <f t="shared" ref="H432:H442" si="319">D432*$H$2</f>
        <v>12.86259</v>
      </c>
      <c r="I432" s="7">
        <f t="shared" ref="I432:I442" si="320">D432*$I$2</f>
        <v>63.855</v>
      </c>
      <c r="J432" s="7">
        <f t="shared" ref="J432:J442" si="321">D432*$J$2</f>
        <v>160.5276</v>
      </c>
      <c r="K432" s="7">
        <f t="shared" ref="K432:K442" si="322">D432*$K$2</f>
        <v>3.6507</v>
      </c>
      <c r="L432" s="7">
        <f t="shared" ref="L432:L442" si="323">SUM(E432:K432)</f>
        <v>667.76817</v>
      </c>
      <c r="M432" s="7">
        <f t="shared" ref="M432:M443" si="324">L432*0.21</f>
        <v>140.2313157</v>
      </c>
      <c r="N432" s="7">
        <f t="shared" ref="N432:N443" si="325">L432+M432</f>
        <v>807.9994857</v>
      </c>
    </row>
    <row r="433" ht="15.75" hidden="1" customHeight="1">
      <c r="A433" s="5" t="s">
        <v>12</v>
      </c>
      <c r="B433" s="14">
        <v>2269.0</v>
      </c>
      <c r="C433" s="12">
        <v>2359.0</v>
      </c>
      <c r="D433" s="5">
        <f t="shared" si="316"/>
        <v>0.09</v>
      </c>
      <c r="E433" s="5">
        <f t="shared" si="317"/>
        <v>39.14</v>
      </c>
      <c r="F433" s="5">
        <v>55.0</v>
      </c>
      <c r="G433" s="7">
        <f t="shared" si="318"/>
        <v>232.1388</v>
      </c>
      <c r="H433" s="7">
        <f t="shared" si="319"/>
        <v>8.9739</v>
      </c>
      <c r="I433" s="7">
        <f t="shared" si="320"/>
        <v>44.55</v>
      </c>
      <c r="J433" s="7">
        <f t="shared" si="321"/>
        <v>111.996</v>
      </c>
      <c r="K433" s="7">
        <f t="shared" si="322"/>
        <v>2.547</v>
      </c>
      <c r="L433" s="7">
        <f t="shared" si="323"/>
        <v>494.3457</v>
      </c>
      <c r="M433" s="7">
        <f t="shared" si="324"/>
        <v>103.812597</v>
      </c>
      <c r="N433" s="7">
        <f t="shared" si="325"/>
        <v>598.158297</v>
      </c>
    </row>
    <row r="434" ht="15.75" hidden="1" customHeight="1">
      <c r="A434" s="5" t="s">
        <v>13</v>
      </c>
      <c r="B434" s="14">
        <v>2903.0</v>
      </c>
      <c r="C434" s="12">
        <v>3011.0</v>
      </c>
      <c r="D434" s="5">
        <f t="shared" si="316"/>
        <v>0.108</v>
      </c>
      <c r="E434" s="5">
        <f t="shared" si="317"/>
        <v>39.14</v>
      </c>
      <c r="F434" s="5">
        <v>55.0</v>
      </c>
      <c r="G434" s="7">
        <f t="shared" si="318"/>
        <v>278.56656</v>
      </c>
      <c r="H434" s="7">
        <f t="shared" si="319"/>
        <v>10.76868</v>
      </c>
      <c r="I434" s="7">
        <f t="shared" si="320"/>
        <v>53.46</v>
      </c>
      <c r="J434" s="7">
        <f t="shared" si="321"/>
        <v>134.3952</v>
      </c>
      <c r="K434" s="7">
        <f t="shared" si="322"/>
        <v>3.0564</v>
      </c>
      <c r="L434" s="7">
        <f t="shared" si="323"/>
        <v>574.38684</v>
      </c>
      <c r="M434" s="7">
        <f t="shared" si="324"/>
        <v>120.6212364</v>
      </c>
      <c r="N434" s="7">
        <f t="shared" si="325"/>
        <v>695.0080764</v>
      </c>
    </row>
    <row r="435" ht="15.75" hidden="1" customHeight="1">
      <c r="A435" s="5" t="s">
        <v>14</v>
      </c>
      <c r="B435" s="14">
        <v>2378.0</v>
      </c>
      <c r="C435" s="12">
        <v>2478.0</v>
      </c>
      <c r="D435" s="5">
        <f t="shared" si="316"/>
        <v>0.1</v>
      </c>
      <c r="E435" s="5">
        <f t="shared" si="317"/>
        <v>39.14</v>
      </c>
      <c r="F435" s="5">
        <v>55.0</v>
      </c>
      <c r="G435" s="7">
        <f t="shared" si="318"/>
        <v>257.932</v>
      </c>
      <c r="H435" s="7">
        <f t="shared" si="319"/>
        <v>9.971</v>
      </c>
      <c r="I435" s="7">
        <f t="shared" si="320"/>
        <v>49.5</v>
      </c>
      <c r="J435" s="7">
        <f t="shared" si="321"/>
        <v>124.44</v>
      </c>
      <c r="K435" s="7">
        <f t="shared" si="322"/>
        <v>2.83</v>
      </c>
      <c r="L435" s="7">
        <f t="shared" si="323"/>
        <v>538.813</v>
      </c>
      <c r="M435" s="7">
        <f t="shared" si="324"/>
        <v>113.15073</v>
      </c>
      <c r="N435" s="7">
        <f t="shared" si="325"/>
        <v>651.96373</v>
      </c>
    </row>
    <row r="436" ht="15.75" hidden="1" customHeight="1">
      <c r="A436" s="5" t="s">
        <v>15</v>
      </c>
      <c r="B436" s="14">
        <v>2576.0</v>
      </c>
      <c r="C436" s="12">
        <v>2686.0</v>
      </c>
      <c r="D436" s="5">
        <f t="shared" si="316"/>
        <v>0.11</v>
      </c>
      <c r="E436" s="5">
        <f t="shared" si="317"/>
        <v>39.14</v>
      </c>
      <c r="F436" s="5">
        <v>55.0</v>
      </c>
      <c r="G436" s="7">
        <f t="shared" si="318"/>
        <v>283.7252</v>
      </c>
      <c r="H436" s="7">
        <f t="shared" si="319"/>
        <v>10.9681</v>
      </c>
      <c r="I436" s="7">
        <f t="shared" si="320"/>
        <v>54.45</v>
      </c>
      <c r="J436" s="7">
        <f t="shared" si="321"/>
        <v>136.884</v>
      </c>
      <c r="K436" s="7">
        <f t="shared" si="322"/>
        <v>3.113</v>
      </c>
      <c r="L436" s="7">
        <f t="shared" si="323"/>
        <v>583.2803</v>
      </c>
      <c r="M436" s="7">
        <f t="shared" si="324"/>
        <v>122.488863</v>
      </c>
      <c r="N436" s="7">
        <f t="shared" si="325"/>
        <v>705.769163</v>
      </c>
    </row>
    <row r="437" ht="15.75" hidden="1" customHeight="1">
      <c r="A437" s="5" t="s">
        <v>16</v>
      </c>
      <c r="B437" s="14">
        <v>2011.0</v>
      </c>
      <c r="C437" s="12">
        <v>2088.0</v>
      </c>
      <c r="D437" s="5">
        <f t="shared" si="316"/>
        <v>0.077</v>
      </c>
      <c r="E437" s="5">
        <f t="shared" si="317"/>
        <v>39.14</v>
      </c>
      <c r="F437" s="5">
        <v>55.0</v>
      </c>
      <c r="G437" s="7">
        <f t="shared" si="318"/>
        <v>198.60764</v>
      </c>
      <c r="H437" s="7">
        <f t="shared" si="319"/>
        <v>7.67767</v>
      </c>
      <c r="I437" s="7">
        <f t="shared" si="320"/>
        <v>38.115</v>
      </c>
      <c r="J437" s="7">
        <f t="shared" si="321"/>
        <v>95.8188</v>
      </c>
      <c r="K437" s="7">
        <f t="shared" si="322"/>
        <v>2.1791</v>
      </c>
      <c r="L437" s="7">
        <f t="shared" si="323"/>
        <v>436.53821</v>
      </c>
      <c r="M437" s="7">
        <f t="shared" si="324"/>
        <v>91.6730241</v>
      </c>
      <c r="N437" s="7">
        <f t="shared" si="325"/>
        <v>528.2112341</v>
      </c>
    </row>
    <row r="438" ht="15.75" hidden="1" customHeight="1">
      <c r="A438" s="5" t="s">
        <v>17</v>
      </c>
      <c r="B438" s="14">
        <v>2287.0</v>
      </c>
      <c r="C438" s="12">
        <v>2389.0</v>
      </c>
      <c r="D438" s="5">
        <f t="shared" si="316"/>
        <v>0.102</v>
      </c>
      <c r="E438" s="5">
        <f t="shared" si="317"/>
        <v>39.14</v>
      </c>
      <c r="F438" s="5">
        <v>55.0</v>
      </c>
      <c r="G438" s="7">
        <f t="shared" si="318"/>
        <v>263.09064</v>
      </c>
      <c r="H438" s="7">
        <f t="shared" si="319"/>
        <v>10.17042</v>
      </c>
      <c r="I438" s="7">
        <f t="shared" si="320"/>
        <v>50.49</v>
      </c>
      <c r="J438" s="7">
        <f t="shared" si="321"/>
        <v>126.9288</v>
      </c>
      <c r="K438" s="7">
        <f t="shared" si="322"/>
        <v>2.8866</v>
      </c>
      <c r="L438" s="7">
        <f t="shared" si="323"/>
        <v>547.70646</v>
      </c>
      <c r="M438" s="7">
        <f t="shared" si="324"/>
        <v>115.0183566</v>
      </c>
      <c r="N438" s="7">
        <f t="shared" si="325"/>
        <v>662.7248166</v>
      </c>
    </row>
    <row r="439" ht="15.75" hidden="1" customHeight="1">
      <c r="A439" s="5" t="s">
        <v>18</v>
      </c>
      <c r="B439" s="14">
        <v>2292.0</v>
      </c>
      <c r="C439" s="12">
        <v>2390.0</v>
      </c>
      <c r="D439" s="5">
        <f t="shared" si="316"/>
        <v>0.098</v>
      </c>
      <c r="E439" s="5">
        <f t="shared" si="317"/>
        <v>39.14</v>
      </c>
      <c r="F439" s="5">
        <v>55.0</v>
      </c>
      <c r="G439" s="7">
        <f t="shared" si="318"/>
        <v>252.77336</v>
      </c>
      <c r="H439" s="7">
        <f t="shared" si="319"/>
        <v>9.77158</v>
      </c>
      <c r="I439" s="7">
        <f t="shared" si="320"/>
        <v>48.51</v>
      </c>
      <c r="J439" s="7">
        <f t="shared" si="321"/>
        <v>121.9512</v>
      </c>
      <c r="K439" s="7">
        <f t="shared" si="322"/>
        <v>2.7734</v>
      </c>
      <c r="L439" s="7">
        <f t="shared" si="323"/>
        <v>529.91954</v>
      </c>
      <c r="M439" s="7">
        <f t="shared" si="324"/>
        <v>111.2831034</v>
      </c>
      <c r="N439" s="7">
        <f t="shared" si="325"/>
        <v>641.2026434</v>
      </c>
    </row>
    <row r="440" ht="15.75" hidden="1" customHeight="1">
      <c r="A440" s="5" t="s">
        <v>19</v>
      </c>
      <c r="B440" s="14">
        <v>71638.0</v>
      </c>
      <c r="C440" s="12">
        <v>73704.0</v>
      </c>
      <c r="D440" s="5">
        <f t="shared" si="316"/>
        <v>2.066</v>
      </c>
      <c r="E440" s="5">
        <v>169.69</v>
      </c>
      <c r="F440" s="5">
        <v>78.05</v>
      </c>
      <c r="G440" s="7">
        <f t="shared" si="318"/>
        <v>5328.87512</v>
      </c>
      <c r="H440" s="7">
        <f t="shared" si="319"/>
        <v>206.00086</v>
      </c>
      <c r="I440" s="7">
        <f t="shared" si="320"/>
        <v>1022.67</v>
      </c>
      <c r="J440" s="7">
        <f t="shared" si="321"/>
        <v>2570.9304</v>
      </c>
      <c r="K440" s="7">
        <f t="shared" si="322"/>
        <v>58.4678</v>
      </c>
      <c r="L440" s="7">
        <f t="shared" si="323"/>
        <v>9434.68418</v>
      </c>
      <c r="M440" s="7">
        <f t="shared" si="324"/>
        <v>1981.283678</v>
      </c>
      <c r="N440" s="7">
        <f t="shared" si="325"/>
        <v>11415.96786</v>
      </c>
    </row>
    <row r="441" ht="15.75" hidden="1" customHeight="1">
      <c r="A441" s="5" t="s">
        <v>30</v>
      </c>
      <c r="B441" s="14">
        <v>10649.0</v>
      </c>
      <c r="C441" s="12">
        <v>10912.0</v>
      </c>
      <c r="D441" s="5">
        <f t="shared" si="316"/>
        <v>0.263</v>
      </c>
      <c r="E441" s="5">
        <f t="shared" ref="E441:E442" si="326">29.8+9.34</f>
        <v>39.14</v>
      </c>
      <c r="F441" s="5">
        <v>55.0</v>
      </c>
      <c r="G441" s="7">
        <f t="shared" si="318"/>
        <v>678.36116</v>
      </c>
      <c r="H441" s="7">
        <f t="shared" si="319"/>
        <v>26.22373</v>
      </c>
      <c r="I441" s="7">
        <f t="shared" si="320"/>
        <v>130.185</v>
      </c>
      <c r="J441" s="7">
        <f t="shared" si="321"/>
        <v>327.2772</v>
      </c>
      <c r="K441" s="7">
        <f t="shared" si="322"/>
        <v>7.4429</v>
      </c>
      <c r="L441" s="7">
        <f t="shared" si="323"/>
        <v>1263.62999</v>
      </c>
      <c r="M441" s="7">
        <f t="shared" si="324"/>
        <v>265.3622979</v>
      </c>
      <c r="N441" s="7">
        <f t="shared" si="325"/>
        <v>1528.992288</v>
      </c>
    </row>
    <row r="442" ht="15.75" hidden="1" customHeight="1">
      <c r="A442" s="5" t="s">
        <v>31</v>
      </c>
      <c r="B442" s="14">
        <v>50091.0</v>
      </c>
      <c r="C442" s="12">
        <v>51400.0</v>
      </c>
      <c r="D442" s="5">
        <f t="shared" si="316"/>
        <v>1.309</v>
      </c>
      <c r="E442" s="5">
        <f t="shared" si="326"/>
        <v>39.14</v>
      </c>
      <c r="F442" s="5">
        <v>55.0</v>
      </c>
      <c r="G442" s="7">
        <f t="shared" si="318"/>
        <v>3376.32988</v>
      </c>
      <c r="H442" s="7">
        <f t="shared" si="319"/>
        <v>130.52039</v>
      </c>
      <c r="I442" s="7">
        <f t="shared" si="320"/>
        <v>647.955</v>
      </c>
      <c r="J442" s="7">
        <f t="shared" si="321"/>
        <v>1628.9196</v>
      </c>
      <c r="K442" s="7">
        <f t="shared" si="322"/>
        <v>37.0447</v>
      </c>
      <c r="L442" s="13">
        <f t="shared" si="323"/>
        <v>5914.90957</v>
      </c>
      <c r="M442" s="7">
        <f t="shared" si="324"/>
        <v>1242.13101</v>
      </c>
      <c r="N442" s="7">
        <f t="shared" si="325"/>
        <v>7157.04058</v>
      </c>
    </row>
    <row r="443" ht="15.75" hidden="1" customHeight="1">
      <c r="A443" s="5"/>
      <c r="C443" s="4"/>
      <c r="D443" s="5"/>
      <c r="G443" s="5"/>
      <c r="L443" s="18">
        <f>SUM(L432:L442)</f>
        <v>20985.98196</v>
      </c>
      <c r="M443" s="19">
        <f t="shared" si="324"/>
        <v>4407.056212</v>
      </c>
      <c r="N443" s="20">
        <f t="shared" si="325"/>
        <v>25393.03817</v>
      </c>
    </row>
    <row r="444" ht="15.75" hidden="1" customHeight="1">
      <c r="A444" s="5"/>
      <c r="C444" s="4"/>
      <c r="D444" s="5">
        <f>SUM(D432:D442)</f>
        <v>4.452</v>
      </c>
      <c r="G444" s="5"/>
    </row>
    <row r="445" ht="15.75" hidden="1" customHeight="1">
      <c r="A445" s="5"/>
      <c r="C445" s="4"/>
      <c r="D445" s="5"/>
      <c r="G445" s="5"/>
    </row>
    <row r="446" ht="15.75" hidden="1" customHeight="1">
      <c r="A446" s="21" t="s">
        <v>52</v>
      </c>
      <c r="B446" s="22"/>
      <c r="C446" s="23"/>
      <c r="D446" s="21"/>
      <c r="E446" s="22"/>
      <c r="F446" s="22"/>
      <c r="G446" s="21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hidden="1" customHeight="1">
      <c r="A447" s="5"/>
      <c r="C447" s="4"/>
      <c r="D447" s="5"/>
      <c r="G447" s="5"/>
    </row>
    <row r="448" ht="15.75" hidden="1" customHeight="1">
      <c r="A448" s="5" t="s">
        <v>53</v>
      </c>
      <c r="C448" s="4"/>
      <c r="D448" s="5"/>
      <c r="G448" s="5"/>
    </row>
    <row r="449" ht="15.75" hidden="1" customHeight="1">
      <c r="A449" s="5" t="s">
        <v>11</v>
      </c>
      <c r="B449" s="14">
        <v>3133.0</v>
      </c>
      <c r="C449" s="12">
        <v>3189.0</v>
      </c>
      <c r="D449" s="5">
        <f t="shared" ref="D449:D459" si="327">(C449-B449)/1000</f>
        <v>0.056</v>
      </c>
      <c r="E449" s="5">
        <f t="shared" ref="E449:E456" si="328">29.8+9.34</f>
        <v>39.14</v>
      </c>
      <c r="F449" s="5">
        <v>55.0</v>
      </c>
      <c r="G449" s="7">
        <f t="shared" ref="G449:G459" si="329">D449*$G$2</f>
        <v>144.44192</v>
      </c>
      <c r="H449" s="7">
        <f t="shared" ref="H449:H459" si="330">D449*$H$2</f>
        <v>5.58376</v>
      </c>
      <c r="I449" s="7">
        <f t="shared" ref="I449:I459" si="331">D449*$I$2</f>
        <v>27.72</v>
      </c>
      <c r="J449" s="7">
        <f t="shared" ref="J449:J459" si="332">D449*$J$2</f>
        <v>69.6864</v>
      </c>
      <c r="K449" s="7">
        <f t="shared" ref="K449:K459" si="333">D449*$K$2</f>
        <v>1.5848</v>
      </c>
      <c r="L449" s="7">
        <f t="shared" ref="L449:L459" si="334">SUM(E449:K449)</f>
        <v>343.15688</v>
      </c>
      <c r="M449" s="7">
        <f t="shared" ref="M449:M460" si="335">L449*0.21</f>
        <v>72.0629448</v>
      </c>
      <c r="N449" s="7">
        <f t="shared" ref="N449:N460" si="336">L449+M449</f>
        <v>415.2198248</v>
      </c>
    </row>
    <row r="450" ht="15.75" hidden="1" customHeight="1">
      <c r="A450" s="5" t="s">
        <v>12</v>
      </c>
      <c r="B450" s="14">
        <v>2359.0</v>
      </c>
      <c r="C450" s="12">
        <v>2416.0</v>
      </c>
      <c r="D450" s="5">
        <f t="shared" si="327"/>
        <v>0.057</v>
      </c>
      <c r="E450" s="5">
        <f t="shared" si="328"/>
        <v>39.14</v>
      </c>
      <c r="F450" s="5">
        <v>55.0</v>
      </c>
      <c r="G450" s="7">
        <f t="shared" si="329"/>
        <v>147.02124</v>
      </c>
      <c r="H450" s="7">
        <f t="shared" si="330"/>
        <v>5.68347</v>
      </c>
      <c r="I450" s="7">
        <f t="shared" si="331"/>
        <v>28.215</v>
      </c>
      <c r="J450" s="7">
        <f t="shared" si="332"/>
        <v>70.9308</v>
      </c>
      <c r="K450" s="7">
        <f t="shared" si="333"/>
        <v>1.6131</v>
      </c>
      <c r="L450" s="7">
        <f t="shared" si="334"/>
        <v>347.60361</v>
      </c>
      <c r="M450" s="7">
        <f t="shared" si="335"/>
        <v>72.9967581</v>
      </c>
      <c r="N450" s="7">
        <f t="shared" si="336"/>
        <v>420.6003681</v>
      </c>
    </row>
    <row r="451" ht="15.75" hidden="1" customHeight="1">
      <c r="A451" s="5" t="s">
        <v>13</v>
      </c>
      <c r="B451" s="14">
        <v>3011.0</v>
      </c>
      <c r="C451" s="12">
        <v>3086.0</v>
      </c>
      <c r="D451" s="5">
        <f t="shared" si="327"/>
        <v>0.075</v>
      </c>
      <c r="E451" s="5">
        <f t="shared" si="328"/>
        <v>39.14</v>
      </c>
      <c r="F451" s="5">
        <v>55.0</v>
      </c>
      <c r="G451" s="7">
        <f t="shared" si="329"/>
        <v>193.449</v>
      </c>
      <c r="H451" s="7">
        <f t="shared" si="330"/>
        <v>7.47825</v>
      </c>
      <c r="I451" s="7">
        <f t="shared" si="331"/>
        <v>37.125</v>
      </c>
      <c r="J451" s="7">
        <f t="shared" si="332"/>
        <v>93.33</v>
      </c>
      <c r="K451" s="7">
        <f t="shared" si="333"/>
        <v>2.1225</v>
      </c>
      <c r="L451" s="7">
        <f t="shared" si="334"/>
        <v>427.64475</v>
      </c>
      <c r="M451" s="7">
        <f t="shared" si="335"/>
        <v>89.8053975</v>
      </c>
      <c r="N451" s="7">
        <f t="shared" si="336"/>
        <v>517.4501475</v>
      </c>
    </row>
    <row r="452" ht="15.75" hidden="1" customHeight="1">
      <c r="A452" s="5" t="s">
        <v>14</v>
      </c>
      <c r="B452" s="14">
        <v>2478.0</v>
      </c>
      <c r="C452" s="12">
        <v>2531.0</v>
      </c>
      <c r="D452" s="5">
        <f t="shared" si="327"/>
        <v>0.053</v>
      </c>
      <c r="E452" s="5">
        <f t="shared" si="328"/>
        <v>39.14</v>
      </c>
      <c r="F452" s="5">
        <v>55.0</v>
      </c>
      <c r="G452" s="7">
        <f t="shared" si="329"/>
        <v>136.70396</v>
      </c>
      <c r="H452" s="7">
        <f t="shared" si="330"/>
        <v>5.28463</v>
      </c>
      <c r="I452" s="7">
        <f t="shared" si="331"/>
        <v>26.235</v>
      </c>
      <c r="J452" s="7">
        <f t="shared" si="332"/>
        <v>65.9532</v>
      </c>
      <c r="K452" s="7">
        <f t="shared" si="333"/>
        <v>1.4999</v>
      </c>
      <c r="L452" s="7">
        <f t="shared" si="334"/>
        <v>329.81669</v>
      </c>
      <c r="M452" s="7">
        <f t="shared" si="335"/>
        <v>69.2615049</v>
      </c>
      <c r="N452" s="7">
        <f t="shared" si="336"/>
        <v>399.0781949</v>
      </c>
    </row>
    <row r="453" ht="15.75" hidden="1" customHeight="1">
      <c r="A453" s="5" t="s">
        <v>15</v>
      </c>
      <c r="B453" s="14">
        <v>2686.0</v>
      </c>
      <c r="C453" s="12">
        <v>2716.0</v>
      </c>
      <c r="D453" s="5">
        <f t="shared" si="327"/>
        <v>0.03</v>
      </c>
      <c r="E453" s="5">
        <f t="shared" si="328"/>
        <v>39.14</v>
      </c>
      <c r="F453" s="5">
        <v>55.0</v>
      </c>
      <c r="G453" s="7">
        <f t="shared" si="329"/>
        <v>77.3796</v>
      </c>
      <c r="H453" s="7">
        <f t="shared" si="330"/>
        <v>2.9913</v>
      </c>
      <c r="I453" s="7">
        <f t="shared" si="331"/>
        <v>14.85</v>
      </c>
      <c r="J453" s="7">
        <f t="shared" si="332"/>
        <v>37.332</v>
      </c>
      <c r="K453" s="7">
        <f t="shared" si="333"/>
        <v>0.849</v>
      </c>
      <c r="L453" s="7">
        <f t="shared" si="334"/>
        <v>227.5419</v>
      </c>
      <c r="M453" s="7">
        <f t="shared" si="335"/>
        <v>47.783799</v>
      </c>
      <c r="N453" s="7">
        <f t="shared" si="336"/>
        <v>275.325699</v>
      </c>
    </row>
    <row r="454" ht="15.75" hidden="1" customHeight="1">
      <c r="A454" s="5" t="s">
        <v>16</v>
      </c>
      <c r="B454" s="14">
        <v>2088.0</v>
      </c>
      <c r="C454" s="12">
        <v>2127.0</v>
      </c>
      <c r="D454" s="5">
        <f t="shared" si="327"/>
        <v>0.039</v>
      </c>
      <c r="E454" s="5">
        <f t="shared" si="328"/>
        <v>39.14</v>
      </c>
      <c r="F454" s="5">
        <v>55.0</v>
      </c>
      <c r="G454" s="7">
        <f t="shared" si="329"/>
        <v>100.59348</v>
      </c>
      <c r="H454" s="7">
        <f t="shared" si="330"/>
        <v>3.88869</v>
      </c>
      <c r="I454" s="7">
        <f t="shared" si="331"/>
        <v>19.305</v>
      </c>
      <c r="J454" s="7">
        <f t="shared" si="332"/>
        <v>48.5316</v>
      </c>
      <c r="K454" s="7">
        <f t="shared" si="333"/>
        <v>1.1037</v>
      </c>
      <c r="L454" s="7">
        <f t="shared" si="334"/>
        <v>267.56247</v>
      </c>
      <c r="M454" s="7">
        <f t="shared" si="335"/>
        <v>56.1881187</v>
      </c>
      <c r="N454" s="7">
        <f t="shared" si="336"/>
        <v>323.7505887</v>
      </c>
    </row>
    <row r="455" ht="15.75" hidden="1" customHeight="1">
      <c r="A455" s="5" t="s">
        <v>17</v>
      </c>
      <c r="B455" s="14">
        <v>2389.0</v>
      </c>
      <c r="C455" s="12">
        <v>2442.0</v>
      </c>
      <c r="D455" s="5">
        <f t="shared" si="327"/>
        <v>0.053</v>
      </c>
      <c r="E455" s="5">
        <f t="shared" si="328"/>
        <v>39.14</v>
      </c>
      <c r="F455" s="5">
        <v>55.0</v>
      </c>
      <c r="G455" s="7">
        <f t="shared" si="329"/>
        <v>136.70396</v>
      </c>
      <c r="H455" s="7">
        <f t="shared" si="330"/>
        <v>5.28463</v>
      </c>
      <c r="I455" s="7">
        <f t="shared" si="331"/>
        <v>26.235</v>
      </c>
      <c r="J455" s="7">
        <f t="shared" si="332"/>
        <v>65.9532</v>
      </c>
      <c r="K455" s="7">
        <f t="shared" si="333"/>
        <v>1.4999</v>
      </c>
      <c r="L455" s="7">
        <f t="shared" si="334"/>
        <v>329.81669</v>
      </c>
      <c r="M455" s="7">
        <f t="shared" si="335"/>
        <v>69.2615049</v>
      </c>
      <c r="N455" s="7">
        <f t="shared" si="336"/>
        <v>399.0781949</v>
      </c>
    </row>
    <row r="456" ht="15.75" hidden="1" customHeight="1">
      <c r="A456" s="5" t="s">
        <v>18</v>
      </c>
      <c r="B456" s="14">
        <v>2390.0</v>
      </c>
      <c r="C456" s="12">
        <v>2453.0</v>
      </c>
      <c r="D456" s="5">
        <f t="shared" si="327"/>
        <v>0.063</v>
      </c>
      <c r="E456" s="5">
        <f t="shared" si="328"/>
        <v>39.14</v>
      </c>
      <c r="F456" s="5">
        <v>55.0</v>
      </c>
      <c r="G456" s="7">
        <f t="shared" si="329"/>
        <v>162.49716</v>
      </c>
      <c r="H456" s="7">
        <f t="shared" si="330"/>
        <v>6.28173</v>
      </c>
      <c r="I456" s="7">
        <f t="shared" si="331"/>
        <v>31.185</v>
      </c>
      <c r="J456" s="7">
        <f t="shared" si="332"/>
        <v>78.3972</v>
      </c>
      <c r="K456" s="7">
        <f t="shared" si="333"/>
        <v>1.7829</v>
      </c>
      <c r="L456" s="7">
        <f t="shared" si="334"/>
        <v>374.28399</v>
      </c>
      <c r="M456" s="7">
        <f t="shared" si="335"/>
        <v>78.5996379</v>
      </c>
      <c r="N456" s="7">
        <f t="shared" si="336"/>
        <v>452.8836279</v>
      </c>
    </row>
    <row r="457" ht="15.75" hidden="1" customHeight="1">
      <c r="A457" s="5" t="s">
        <v>19</v>
      </c>
      <c r="B457" s="14">
        <v>73704.0</v>
      </c>
      <c r="C457" s="12">
        <v>75516.0</v>
      </c>
      <c r="D457" s="5">
        <f t="shared" si="327"/>
        <v>1.812</v>
      </c>
      <c r="E457" s="5">
        <v>169.69</v>
      </c>
      <c r="F457" s="5">
        <v>78.05</v>
      </c>
      <c r="G457" s="7">
        <f t="shared" si="329"/>
        <v>4673.72784</v>
      </c>
      <c r="H457" s="7">
        <f t="shared" si="330"/>
        <v>180.67452</v>
      </c>
      <c r="I457" s="7">
        <f t="shared" si="331"/>
        <v>896.94</v>
      </c>
      <c r="J457" s="7">
        <f t="shared" si="332"/>
        <v>2254.8528</v>
      </c>
      <c r="K457" s="7">
        <f t="shared" si="333"/>
        <v>51.2796</v>
      </c>
      <c r="L457" s="7">
        <f t="shared" si="334"/>
        <v>8305.21476</v>
      </c>
      <c r="M457" s="7">
        <f t="shared" si="335"/>
        <v>1744.0951</v>
      </c>
      <c r="N457" s="7">
        <f t="shared" si="336"/>
        <v>10049.30986</v>
      </c>
    </row>
    <row r="458" ht="15.75" hidden="1" customHeight="1">
      <c r="A458" s="5" t="s">
        <v>30</v>
      </c>
      <c r="B458" s="14">
        <v>10912.0</v>
      </c>
      <c r="C458" s="12">
        <v>11142.0</v>
      </c>
      <c r="D458" s="5">
        <f t="shared" si="327"/>
        <v>0.23</v>
      </c>
      <c r="E458" s="5">
        <f t="shared" ref="E458:E459" si="337">29.8+9.34</f>
        <v>39.14</v>
      </c>
      <c r="F458" s="5">
        <v>55.0</v>
      </c>
      <c r="G458" s="7">
        <f t="shared" si="329"/>
        <v>593.2436</v>
      </c>
      <c r="H458" s="7">
        <f t="shared" si="330"/>
        <v>22.9333</v>
      </c>
      <c r="I458" s="7">
        <f t="shared" si="331"/>
        <v>113.85</v>
      </c>
      <c r="J458" s="7">
        <f t="shared" si="332"/>
        <v>286.212</v>
      </c>
      <c r="K458" s="7">
        <f t="shared" si="333"/>
        <v>6.509</v>
      </c>
      <c r="L458" s="7">
        <f t="shared" si="334"/>
        <v>1116.8879</v>
      </c>
      <c r="M458" s="7">
        <f t="shared" si="335"/>
        <v>234.546459</v>
      </c>
      <c r="N458" s="7">
        <f t="shared" si="336"/>
        <v>1351.434359</v>
      </c>
    </row>
    <row r="459" ht="15.75" hidden="1" customHeight="1">
      <c r="A459" s="5" t="s">
        <v>31</v>
      </c>
      <c r="B459" s="14">
        <v>51400.0</v>
      </c>
      <c r="C459" s="12">
        <v>52595.0</v>
      </c>
      <c r="D459" s="5">
        <f t="shared" si="327"/>
        <v>1.195</v>
      </c>
      <c r="E459" s="5">
        <f t="shared" si="337"/>
        <v>39.14</v>
      </c>
      <c r="F459" s="5">
        <v>55.0</v>
      </c>
      <c r="G459" s="7">
        <f t="shared" si="329"/>
        <v>3082.2874</v>
      </c>
      <c r="H459" s="7">
        <f t="shared" si="330"/>
        <v>119.15345</v>
      </c>
      <c r="I459" s="7">
        <f t="shared" si="331"/>
        <v>591.525</v>
      </c>
      <c r="J459" s="7">
        <f t="shared" si="332"/>
        <v>1487.058</v>
      </c>
      <c r="K459" s="7">
        <f t="shared" si="333"/>
        <v>33.8185</v>
      </c>
      <c r="L459" s="13">
        <f t="shared" si="334"/>
        <v>5407.98235</v>
      </c>
      <c r="M459" s="7">
        <f t="shared" si="335"/>
        <v>1135.676294</v>
      </c>
      <c r="N459" s="7">
        <f t="shared" si="336"/>
        <v>6543.658644</v>
      </c>
    </row>
    <row r="460" ht="15.75" hidden="1" customHeight="1">
      <c r="A460" s="5"/>
      <c r="C460" s="4"/>
      <c r="D460" s="5"/>
      <c r="G460" s="5"/>
      <c r="L460" s="18">
        <f>SUM(L449:L459)</f>
        <v>17477.51199</v>
      </c>
      <c r="M460" s="19">
        <f t="shared" si="335"/>
        <v>3670.277518</v>
      </c>
      <c r="N460" s="20">
        <f t="shared" si="336"/>
        <v>21147.78951</v>
      </c>
    </row>
    <row r="461" ht="15.75" hidden="1" customHeight="1">
      <c r="A461" s="5"/>
      <c r="C461" s="4"/>
      <c r="D461" s="5">
        <f>SUM(D449:D459)</f>
        <v>3.663</v>
      </c>
      <c r="G461" s="5"/>
    </row>
    <row r="462" ht="15.75" hidden="1" customHeight="1">
      <c r="A462" s="5"/>
      <c r="C462" s="4"/>
      <c r="D462" s="5"/>
      <c r="G462" s="5"/>
    </row>
    <row r="463" ht="15.75" hidden="1" customHeight="1">
      <c r="A463" s="5"/>
      <c r="C463" s="4"/>
      <c r="D463" s="5"/>
      <c r="G463" s="5"/>
    </row>
    <row r="464" ht="15.75" hidden="1" customHeight="1">
      <c r="A464" s="5" t="s">
        <v>54</v>
      </c>
      <c r="C464" s="4"/>
      <c r="D464" s="5"/>
      <c r="G464" s="5"/>
    </row>
    <row r="465" ht="15.75" hidden="1" customHeight="1">
      <c r="A465" s="5" t="s">
        <v>11</v>
      </c>
      <c r="B465" s="14">
        <v>3189.0</v>
      </c>
      <c r="C465" s="12">
        <v>3379.0</v>
      </c>
      <c r="D465" s="5">
        <f t="shared" ref="D465:D475" si="338">(C465-B465)/1000</f>
        <v>0.19</v>
      </c>
      <c r="E465" s="5">
        <f t="shared" ref="E465:E472" si="339">29.8+9.34</f>
        <v>39.14</v>
      </c>
      <c r="F465" s="5">
        <v>55.0</v>
      </c>
      <c r="G465" s="7">
        <f t="shared" ref="G465:G475" si="340">D465*$G$2</f>
        <v>490.0708</v>
      </c>
      <c r="H465" s="7">
        <f t="shared" ref="H465:H475" si="341">D465*$H$2</f>
        <v>18.9449</v>
      </c>
      <c r="I465" s="7">
        <f t="shared" ref="I465:I475" si="342">D465*$I$2</f>
        <v>94.05</v>
      </c>
      <c r="J465" s="7">
        <f t="shared" ref="J465:J475" si="343">D465*$J$2</f>
        <v>236.436</v>
      </c>
      <c r="K465" s="7">
        <f t="shared" ref="K465:K475" si="344">D465*$K$2</f>
        <v>5.377</v>
      </c>
      <c r="L465" s="7">
        <f t="shared" ref="L465:L475" si="345">SUM(E465:K465)</f>
        <v>939.0187</v>
      </c>
      <c r="M465" s="7">
        <f t="shared" ref="M465:M476" si="346">L465*0.21</f>
        <v>197.193927</v>
      </c>
      <c r="N465" s="7">
        <f t="shared" ref="N465:N476" si="347">L465+M465</f>
        <v>1136.212627</v>
      </c>
    </row>
    <row r="466" ht="15.75" hidden="1" customHeight="1">
      <c r="A466" s="5" t="s">
        <v>12</v>
      </c>
      <c r="B466" s="14">
        <v>2416.0</v>
      </c>
      <c r="C466" s="12">
        <v>2481.0</v>
      </c>
      <c r="D466" s="5">
        <f t="shared" si="338"/>
        <v>0.065</v>
      </c>
      <c r="E466" s="5">
        <f t="shared" si="339"/>
        <v>39.14</v>
      </c>
      <c r="F466" s="5">
        <v>55.0</v>
      </c>
      <c r="G466" s="7">
        <f t="shared" si="340"/>
        <v>167.6558</v>
      </c>
      <c r="H466" s="7">
        <f t="shared" si="341"/>
        <v>6.48115</v>
      </c>
      <c r="I466" s="7">
        <f t="shared" si="342"/>
        <v>32.175</v>
      </c>
      <c r="J466" s="7">
        <f t="shared" si="343"/>
        <v>80.886</v>
      </c>
      <c r="K466" s="7">
        <f t="shared" si="344"/>
        <v>1.8395</v>
      </c>
      <c r="L466" s="7">
        <f t="shared" si="345"/>
        <v>383.17745</v>
      </c>
      <c r="M466" s="7">
        <f t="shared" si="346"/>
        <v>80.4672645</v>
      </c>
      <c r="N466" s="7">
        <f t="shared" si="347"/>
        <v>463.6447145</v>
      </c>
    </row>
    <row r="467" ht="15.75" hidden="1" customHeight="1">
      <c r="A467" s="5" t="s">
        <v>13</v>
      </c>
      <c r="B467" s="14">
        <v>3086.0</v>
      </c>
      <c r="C467" s="12">
        <v>3177.0</v>
      </c>
      <c r="D467" s="5">
        <f t="shared" si="338"/>
        <v>0.091</v>
      </c>
      <c r="E467" s="5">
        <f t="shared" si="339"/>
        <v>39.14</v>
      </c>
      <c r="F467" s="5">
        <v>55.0</v>
      </c>
      <c r="G467" s="7">
        <f t="shared" si="340"/>
        <v>234.71812</v>
      </c>
      <c r="H467" s="7">
        <f t="shared" si="341"/>
        <v>9.07361</v>
      </c>
      <c r="I467" s="7">
        <f t="shared" si="342"/>
        <v>45.045</v>
      </c>
      <c r="J467" s="7">
        <f t="shared" si="343"/>
        <v>113.2404</v>
      </c>
      <c r="K467" s="7">
        <f t="shared" si="344"/>
        <v>2.5753</v>
      </c>
      <c r="L467" s="7">
        <f t="shared" si="345"/>
        <v>498.79243</v>
      </c>
      <c r="M467" s="7">
        <f t="shared" si="346"/>
        <v>104.7464103</v>
      </c>
      <c r="N467" s="7">
        <f t="shared" si="347"/>
        <v>603.5388403</v>
      </c>
    </row>
    <row r="468" ht="15.75" hidden="1" customHeight="1">
      <c r="A468" s="5" t="s">
        <v>14</v>
      </c>
      <c r="B468" s="14">
        <v>2531.0</v>
      </c>
      <c r="C468" s="12">
        <v>2568.0</v>
      </c>
      <c r="D468" s="5">
        <f t="shared" si="338"/>
        <v>0.037</v>
      </c>
      <c r="E468" s="5">
        <f t="shared" si="339"/>
        <v>39.14</v>
      </c>
      <c r="F468" s="5">
        <v>55.0</v>
      </c>
      <c r="G468" s="7">
        <f t="shared" si="340"/>
        <v>95.43484</v>
      </c>
      <c r="H468" s="7">
        <f t="shared" si="341"/>
        <v>3.68927</v>
      </c>
      <c r="I468" s="7">
        <f t="shared" si="342"/>
        <v>18.315</v>
      </c>
      <c r="J468" s="7">
        <f t="shared" si="343"/>
        <v>46.0428</v>
      </c>
      <c r="K468" s="7">
        <f t="shared" si="344"/>
        <v>1.0471</v>
      </c>
      <c r="L468" s="7">
        <f t="shared" si="345"/>
        <v>258.66901</v>
      </c>
      <c r="M468" s="7">
        <f t="shared" si="346"/>
        <v>54.3204921</v>
      </c>
      <c r="N468" s="7">
        <f t="shared" si="347"/>
        <v>312.9895021</v>
      </c>
    </row>
    <row r="469" ht="15.75" hidden="1" customHeight="1">
      <c r="A469" s="5" t="s">
        <v>15</v>
      </c>
      <c r="B469" s="14">
        <v>2716.0</v>
      </c>
      <c r="C469" s="12">
        <v>2786.0</v>
      </c>
      <c r="D469" s="5">
        <f t="shared" si="338"/>
        <v>0.07</v>
      </c>
      <c r="E469" s="5">
        <f t="shared" si="339"/>
        <v>39.14</v>
      </c>
      <c r="F469" s="5">
        <v>55.0</v>
      </c>
      <c r="G469" s="7">
        <f t="shared" si="340"/>
        <v>180.5524</v>
      </c>
      <c r="H469" s="7">
        <f t="shared" si="341"/>
        <v>6.9797</v>
      </c>
      <c r="I469" s="7">
        <f t="shared" si="342"/>
        <v>34.65</v>
      </c>
      <c r="J469" s="7">
        <f t="shared" si="343"/>
        <v>87.108</v>
      </c>
      <c r="K469" s="7">
        <f t="shared" si="344"/>
        <v>1.981</v>
      </c>
      <c r="L469" s="7">
        <f t="shared" si="345"/>
        <v>405.4111</v>
      </c>
      <c r="M469" s="7">
        <f t="shared" si="346"/>
        <v>85.136331</v>
      </c>
      <c r="N469" s="7">
        <f t="shared" si="347"/>
        <v>490.547431</v>
      </c>
    </row>
    <row r="470" ht="15.75" hidden="1" customHeight="1">
      <c r="A470" s="5" t="s">
        <v>16</v>
      </c>
      <c r="B470" s="14">
        <v>2127.0</v>
      </c>
      <c r="C470" s="12">
        <v>2194.0</v>
      </c>
      <c r="D470" s="5">
        <f t="shared" si="338"/>
        <v>0.067</v>
      </c>
      <c r="E470" s="5">
        <f t="shared" si="339"/>
        <v>39.14</v>
      </c>
      <c r="F470" s="5">
        <v>55.0</v>
      </c>
      <c r="G470" s="7">
        <f t="shared" si="340"/>
        <v>172.81444</v>
      </c>
      <c r="H470" s="7">
        <f t="shared" si="341"/>
        <v>6.68057</v>
      </c>
      <c r="I470" s="7">
        <f t="shared" si="342"/>
        <v>33.165</v>
      </c>
      <c r="J470" s="7">
        <f t="shared" si="343"/>
        <v>83.3748</v>
      </c>
      <c r="K470" s="7">
        <f t="shared" si="344"/>
        <v>1.8961</v>
      </c>
      <c r="L470" s="7">
        <f t="shared" si="345"/>
        <v>392.07091</v>
      </c>
      <c r="M470" s="7">
        <f t="shared" si="346"/>
        <v>82.3348911</v>
      </c>
      <c r="N470" s="7">
        <f t="shared" si="347"/>
        <v>474.4058011</v>
      </c>
    </row>
    <row r="471" ht="15.75" hidden="1" customHeight="1">
      <c r="A471" s="5" t="s">
        <v>17</v>
      </c>
      <c r="B471" s="14">
        <v>2442.0</v>
      </c>
      <c r="C471" s="12">
        <v>2502.0</v>
      </c>
      <c r="D471" s="5">
        <f t="shared" si="338"/>
        <v>0.06</v>
      </c>
      <c r="E471" s="5">
        <f t="shared" si="339"/>
        <v>39.14</v>
      </c>
      <c r="F471" s="5">
        <v>55.0</v>
      </c>
      <c r="G471" s="7">
        <f t="shared" si="340"/>
        <v>154.7592</v>
      </c>
      <c r="H471" s="7">
        <f t="shared" si="341"/>
        <v>5.9826</v>
      </c>
      <c r="I471" s="7">
        <f t="shared" si="342"/>
        <v>29.7</v>
      </c>
      <c r="J471" s="7">
        <f t="shared" si="343"/>
        <v>74.664</v>
      </c>
      <c r="K471" s="7">
        <f t="shared" si="344"/>
        <v>1.698</v>
      </c>
      <c r="L471" s="7">
        <f t="shared" si="345"/>
        <v>360.9438</v>
      </c>
      <c r="M471" s="7">
        <f t="shared" si="346"/>
        <v>75.798198</v>
      </c>
      <c r="N471" s="7">
        <f t="shared" si="347"/>
        <v>436.741998</v>
      </c>
    </row>
    <row r="472" ht="15.75" hidden="1" customHeight="1">
      <c r="A472" s="5" t="s">
        <v>18</v>
      </c>
      <c r="B472" s="14">
        <v>2453.0</v>
      </c>
      <c r="C472" s="12">
        <v>2521.0</v>
      </c>
      <c r="D472" s="5">
        <f t="shared" si="338"/>
        <v>0.068</v>
      </c>
      <c r="E472" s="5">
        <f t="shared" si="339"/>
        <v>39.14</v>
      </c>
      <c r="F472" s="5">
        <v>55.0</v>
      </c>
      <c r="G472" s="7">
        <f t="shared" si="340"/>
        <v>175.39376</v>
      </c>
      <c r="H472" s="7">
        <f t="shared" si="341"/>
        <v>6.78028</v>
      </c>
      <c r="I472" s="7">
        <f t="shared" si="342"/>
        <v>33.66</v>
      </c>
      <c r="J472" s="7">
        <f t="shared" si="343"/>
        <v>84.6192</v>
      </c>
      <c r="K472" s="7">
        <f t="shared" si="344"/>
        <v>1.9244</v>
      </c>
      <c r="L472" s="7">
        <f t="shared" si="345"/>
        <v>396.51764</v>
      </c>
      <c r="M472" s="7">
        <f t="shared" si="346"/>
        <v>83.2687044</v>
      </c>
      <c r="N472" s="7">
        <f t="shared" si="347"/>
        <v>479.7863444</v>
      </c>
    </row>
    <row r="473" ht="15.75" hidden="1" customHeight="1">
      <c r="A473" s="5" t="s">
        <v>19</v>
      </c>
      <c r="B473" s="14">
        <v>75516.0</v>
      </c>
      <c r="C473" s="12">
        <v>77230.0</v>
      </c>
      <c r="D473" s="5">
        <f t="shared" si="338"/>
        <v>1.714</v>
      </c>
      <c r="E473" s="5">
        <v>169.69</v>
      </c>
      <c r="F473" s="5">
        <v>78.05</v>
      </c>
      <c r="G473" s="7">
        <f t="shared" si="340"/>
        <v>4420.95448</v>
      </c>
      <c r="H473" s="7">
        <f t="shared" si="341"/>
        <v>170.90294</v>
      </c>
      <c r="I473" s="7">
        <f t="shared" si="342"/>
        <v>848.43</v>
      </c>
      <c r="J473" s="7">
        <f t="shared" si="343"/>
        <v>2132.9016</v>
      </c>
      <c r="K473" s="7">
        <f t="shared" si="344"/>
        <v>48.5062</v>
      </c>
      <c r="L473" s="7">
        <f t="shared" si="345"/>
        <v>7869.43522</v>
      </c>
      <c r="M473" s="7">
        <f t="shared" si="346"/>
        <v>1652.581396</v>
      </c>
      <c r="N473" s="7">
        <f t="shared" si="347"/>
        <v>9522.016616</v>
      </c>
    </row>
    <row r="474" ht="15.75" hidden="1" customHeight="1">
      <c r="A474" s="5" t="s">
        <v>30</v>
      </c>
      <c r="B474" s="14">
        <v>11142.0</v>
      </c>
      <c r="C474" s="12">
        <v>11359.0</v>
      </c>
      <c r="D474" s="5">
        <f t="shared" si="338"/>
        <v>0.217</v>
      </c>
      <c r="E474" s="5">
        <f t="shared" ref="E474:E475" si="348">29.8+9.34</f>
        <v>39.14</v>
      </c>
      <c r="F474" s="5">
        <v>55.0</v>
      </c>
      <c r="G474" s="7">
        <f t="shared" si="340"/>
        <v>559.71244</v>
      </c>
      <c r="H474" s="7">
        <f t="shared" si="341"/>
        <v>21.63707</v>
      </c>
      <c r="I474" s="7">
        <f t="shared" si="342"/>
        <v>107.415</v>
      </c>
      <c r="J474" s="7">
        <f t="shared" si="343"/>
        <v>270.0348</v>
      </c>
      <c r="K474" s="7">
        <f t="shared" si="344"/>
        <v>6.1411</v>
      </c>
      <c r="L474" s="7">
        <f t="shared" si="345"/>
        <v>1059.08041</v>
      </c>
      <c r="M474" s="7">
        <f t="shared" si="346"/>
        <v>222.4068861</v>
      </c>
      <c r="N474" s="7">
        <f t="shared" si="347"/>
        <v>1281.487296</v>
      </c>
    </row>
    <row r="475" ht="15.75" hidden="1" customHeight="1">
      <c r="A475" s="5" t="s">
        <v>31</v>
      </c>
      <c r="B475" s="14">
        <v>52595.0</v>
      </c>
      <c r="C475" s="12">
        <v>53755.0</v>
      </c>
      <c r="D475" s="5">
        <f t="shared" si="338"/>
        <v>1.16</v>
      </c>
      <c r="E475" s="5">
        <f t="shared" si="348"/>
        <v>39.14</v>
      </c>
      <c r="F475" s="5">
        <v>55.0</v>
      </c>
      <c r="G475" s="7">
        <f t="shared" si="340"/>
        <v>2992.0112</v>
      </c>
      <c r="H475" s="7">
        <f t="shared" si="341"/>
        <v>115.6636</v>
      </c>
      <c r="I475" s="7">
        <f t="shared" si="342"/>
        <v>574.2</v>
      </c>
      <c r="J475" s="7">
        <f t="shared" si="343"/>
        <v>1443.504</v>
      </c>
      <c r="K475" s="7">
        <f t="shared" si="344"/>
        <v>32.828</v>
      </c>
      <c r="L475" s="13">
        <f t="shared" si="345"/>
        <v>5252.3468</v>
      </c>
      <c r="M475" s="7">
        <f t="shared" si="346"/>
        <v>1102.992828</v>
      </c>
      <c r="N475" s="7">
        <f t="shared" si="347"/>
        <v>6355.339628</v>
      </c>
    </row>
    <row r="476" ht="15.75" hidden="1" customHeight="1">
      <c r="A476" s="5"/>
      <c r="C476" s="4"/>
      <c r="D476" s="5"/>
      <c r="G476" s="5"/>
      <c r="L476" s="18">
        <f>SUM(L465:L475)</f>
        <v>17815.46347</v>
      </c>
      <c r="M476" s="19">
        <f t="shared" si="346"/>
        <v>3741.247329</v>
      </c>
      <c r="N476" s="20">
        <f t="shared" si="347"/>
        <v>21556.7108</v>
      </c>
    </row>
    <row r="477" ht="15.75" hidden="1" customHeight="1">
      <c r="A477" s="5"/>
      <c r="C477" s="4"/>
      <c r="D477" s="5">
        <f>SUM(D465:D475)</f>
        <v>3.739</v>
      </c>
      <c r="G477" s="5"/>
    </row>
    <row r="478" ht="15.75" hidden="1" customHeight="1">
      <c r="A478" s="5"/>
      <c r="C478" s="4"/>
      <c r="D478" s="5"/>
      <c r="G478" s="5"/>
    </row>
    <row r="479" ht="15.75" hidden="1" customHeight="1">
      <c r="A479" s="5"/>
      <c r="C479" s="4"/>
      <c r="D479" s="5"/>
      <c r="G479" s="5"/>
    </row>
    <row r="480" ht="15.75" hidden="1" customHeight="1">
      <c r="A480" s="5" t="s">
        <v>55</v>
      </c>
      <c r="C480" s="4"/>
      <c r="D480" s="5"/>
      <c r="G480" s="5"/>
    </row>
    <row r="481" ht="15.75" hidden="1" customHeight="1">
      <c r="A481" s="5" t="s">
        <v>11</v>
      </c>
      <c r="B481" s="14">
        <v>3379.0</v>
      </c>
      <c r="C481" s="12">
        <v>3519.0</v>
      </c>
      <c r="D481" s="5">
        <f t="shared" ref="D481:D491" si="349">(C481-B481)/1000</f>
        <v>0.14</v>
      </c>
      <c r="E481" s="5">
        <f t="shared" ref="E481:E488" si="350">29.8+9.34</f>
        <v>39.14</v>
      </c>
      <c r="F481" s="5">
        <v>55.0</v>
      </c>
      <c r="G481" s="7">
        <f t="shared" ref="G481:G491" si="351">D481*$G$2</f>
        <v>361.1048</v>
      </c>
      <c r="H481" s="7">
        <f t="shared" ref="H481:H491" si="352">D481*$H$2</f>
        <v>13.9594</v>
      </c>
      <c r="I481" s="7">
        <f t="shared" ref="I481:I491" si="353">D481*$I$2</f>
        <v>69.3</v>
      </c>
      <c r="J481" s="7">
        <f t="shared" ref="J481:J491" si="354">D481*$J$2</f>
        <v>174.216</v>
      </c>
      <c r="K481" s="7">
        <f t="shared" ref="K481:K491" si="355">D481*$K$2</f>
        <v>3.962</v>
      </c>
      <c r="L481" s="7">
        <f t="shared" ref="L481:L491" si="356">SUM(E481:K481)</f>
        <v>716.6822</v>
      </c>
      <c r="M481" s="7">
        <f t="shared" ref="M481:M492" si="357">L481*0.21</f>
        <v>150.503262</v>
      </c>
      <c r="N481" s="7">
        <f t="shared" ref="N481:N492" si="358">L481+M481</f>
        <v>867.185462</v>
      </c>
    </row>
    <row r="482" ht="15.75" hidden="1" customHeight="1">
      <c r="A482" s="5" t="s">
        <v>12</v>
      </c>
      <c r="B482" s="14">
        <v>2481.0</v>
      </c>
      <c r="C482" s="12">
        <v>2528.0</v>
      </c>
      <c r="D482" s="5">
        <f t="shared" si="349"/>
        <v>0.047</v>
      </c>
      <c r="E482" s="5">
        <f t="shared" si="350"/>
        <v>39.14</v>
      </c>
      <c r="F482" s="5">
        <v>55.0</v>
      </c>
      <c r="G482" s="7">
        <f t="shared" si="351"/>
        <v>121.22804</v>
      </c>
      <c r="H482" s="7">
        <f t="shared" si="352"/>
        <v>4.68637</v>
      </c>
      <c r="I482" s="7">
        <f t="shared" si="353"/>
        <v>23.265</v>
      </c>
      <c r="J482" s="7">
        <f t="shared" si="354"/>
        <v>58.4868</v>
      </c>
      <c r="K482" s="7">
        <f t="shared" si="355"/>
        <v>1.3301</v>
      </c>
      <c r="L482" s="7">
        <f t="shared" si="356"/>
        <v>303.13631</v>
      </c>
      <c r="M482" s="7">
        <f t="shared" si="357"/>
        <v>63.6586251</v>
      </c>
      <c r="N482" s="7">
        <f t="shared" si="358"/>
        <v>366.7949351</v>
      </c>
    </row>
    <row r="483" ht="15.75" hidden="1" customHeight="1">
      <c r="A483" s="5" t="s">
        <v>13</v>
      </c>
      <c r="B483" s="14">
        <v>3177.0</v>
      </c>
      <c r="C483" s="12">
        <v>3230.0</v>
      </c>
      <c r="D483" s="5">
        <f t="shared" si="349"/>
        <v>0.053</v>
      </c>
      <c r="E483" s="5">
        <f t="shared" si="350"/>
        <v>39.14</v>
      </c>
      <c r="F483" s="5">
        <v>55.0</v>
      </c>
      <c r="G483" s="7">
        <f t="shared" si="351"/>
        <v>136.70396</v>
      </c>
      <c r="H483" s="7">
        <f t="shared" si="352"/>
        <v>5.28463</v>
      </c>
      <c r="I483" s="7">
        <f t="shared" si="353"/>
        <v>26.235</v>
      </c>
      <c r="J483" s="7">
        <f t="shared" si="354"/>
        <v>65.9532</v>
      </c>
      <c r="K483" s="7">
        <f t="shared" si="355"/>
        <v>1.4999</v>
      </c>
      <c r="L483" s="7">
        <f t="shared" si="356"/>
        <v>329.81669</v>
      </c>
      <c r="M483" s="7">
        <f t="shared" si="357"/>
        <v>69.2615049</v>
      </c>
      <c r="N483" s="7">
        <f t="shared" si="358"/>
        <v>399.0781949</v>
      </c>
    </row>
    <row r="484" ht="15.75" hidden="1" customHeight="1">
      <c r="A484" s="5" t="s">
        <v>14</v>
      </c>
      <c r="B484" s="14">
        <v>2568.0</v>
      </c>
      <c r="C484" s="12">
        <v>2638.0</v>
      </c>
      <c r="D484" s="5">
        <f t="shared" si="349"/>
        <v>0.07</v>
      </c>
      <c r="E484" s="5">
        <f t="shared" si="350"/>
        <v>39.14</v>
      </c>
      <c r="F484" s="5">
        <v>55.0</v>
      </c>
      <c r="G484" s="7">
        <f t="shared" si="351"/>
        <v>180.5524</v>
      </c>
      <c r="H484" s="7">
        <f t="shared" si="352"/>
        <v>6.9797</v>
      </c>
      <c r="I484" s="7">
        <f t="shared" si="353"/>
        <v>34.65</v>
      </c>
      <c r="J484" s="7">
        <f t="shared" si="354"/>
        <v>87.108</v>
      </c>
      <c r="K484" s="7">
        <f t="shared" si="355"/>
        <v>1.981</v>
      </c>
      <c r="L484" s="7">
        <f t="shared" si="356"/>
        <v>405.4111</v>
      </c>
      <c r="M484" s="7">
        <f t="shared" si="357"/>
        <v>85.136331</v>
      </c>
      <c r="N484" s="7">
        <f t="shared" si="358"/>
        <v>490.547431</v>
      </c>
    </row>
    <row r="485" ht="15.75" hidden="1" customHeight="1">
      <c r="A485" s="5" t="s">
        <v>15</v>
      </c>
      <c r="B485" s="14">
        <v>2786.0</v>
      </c>
      <c r="C485" s="12">
        <v>2877.0</v>
      </c>
      <c r="D485" s="5">
        <f t="shared" si="349"/>
        <v>0.091</v>
      </c>
      <c r="E485" s="5">
        <f t="shared" si="350"/>
        <v>39.14</v>
      </c>
      <c r="F485" s="5">
        <v>55.0</v>
      </c>
      <c r="G485" s="7">
        <f t="shared" si="351"/>
        <v>234.71812</v>
      </c>
      <c r="H485" s="7">
        <f t="shared" si="352"/>
        <v>9.07361</v>
      </c>
      <c r="I485" s="7">
        <f t="shared" si="353"/>
        <v>45.045</v>
      </c>
      <c r="J485" s="7">
        <f t="shared" si="354"/>
        <v>113.2404</v>
      </c>
      <c r="K485" s="7">
        <f t="shared" si="355"/>
        <v>2.5753</v>
      </c>
      <c r="L485" s="7">
        <f t="shared" si="356"/>
        <v>498.79243</v>
      </c>
      <c r="M485" s="7">
        <f t="shared" si="357"/>
        <v>104.7464103</v>
      </c>
      <c r="N485" s="7">
        <f t="shared" si="358"/>
        <v>603.5388403</v>
      </c>
    </row>
    <row r="486" ht="15.75" hidden="1" customHeight="1">
      <c r="A486" s="5" t="s">
        <v>16</v>
      </c>
      <c r="B486" s="14">
        <v>2194.0</v>
      </c>
      <c r="C486" s="12">
        <v>2251.0</v>
      </c>
      <c r="D486" s="5">
        <f t="shared" si="349"/>
        <v>0.057</v>
      </c>
      <c r="E486" s="5">
        <f t="shared" si="350"/>
        <v>39.14</v>
      </c>
      <c r="F486" s="5">
        <v>55.0</v>
      </c>
      <c r="G486" s="7">
        <f t="shared" si="351"/>
        <v>147.02124</v>
      </c>
      <c r="H486" s="7">
        <f t="shared" si="352"/>
        <v>5.68347</v>
      </c>
      <c r="I486" s="7">
        <f t="shared" si="353"/>
        <v>28.215</v>
      </c>
      <c r="J486" s="7">
        <f t="shared" si="354"/>
        <v>70.9308</v>
      </c>
      <c r="K486" s="7">
        <f t="shared" si="355"/>
        <v>1.6131</v>
      </c>
      <c r="L486" s="7">
        <f t="shared" si="356"/>
        <v>347.60361</v>
      </c>
      <c r="M486" s="7">
        <f t="shared" si="357"/>
        <v>72.9967581</v>
      </c>
      <c r="N486" s="7">
        <f t="shared" si="358"/>
        <v>420.6003681</v>
      </c>
    </row>
    <row r="487" ht="15.75" hidden="1" customHeight="1">
      <c r="A487" s="5" t="s">
        <v>17</v>
      </c>
      <c r="B487" s="14">
        <v>2502.0</v>
      </c>
      <c r="C487" s="12">
        <v>2581.0</v>
      </c>
      <c r="D487" s="5">
        <f t="shared" si="349"/>
        <v>0.079</v>
      </c>
      <c r="E487" s="5">
        <f t="shared" si="350"/>
        <v>39.14</v>
      </c>
      <c r="F487" s="5">
        <v>55.0</v>
      </c>
      <c r="G487" s="7">
        <f t="shared" si="351"/>
        <v>203.76628</v>
      </c>
      <c r="H487" s="7">
        <f t="shared" si="352"/>
        <v>7.87709</v>
      </c>
      <c r="I487" s="7">
        <f t="shared" si="353"/>
        <v>39.105</v>
      </c>
      <c r="J487" s="7">
        <f t="shared" si="354"/>
        <v>98.3076</v>
      </c>
      <c r="K487" s="7">
        <f t="shared" si="355"/>
        <v>2.2357</v>
      </c>
      <c r="L487" s="7">
        <f t="shared" si="356"/>
        <v>445.43167</v>
      </c>
      <c r="M487" s="7">
        <f t="shared" si="357"/>
        <v>93.5406507</v>
      </c>
      <c r="N487" s="7">
        <f t="shared" si="358"/>
        <v>538.9723207</v>
      </c>
    </row>
    <row r="488" ht="15.75" hidden="1" customHeight="1">
      <c r="A488" s="5" t="s">
        <v>18</v>
      </c>
      <c r="B488" s="14">
        <v>2521.0</v>
      </c>
      <c r="C488" s="12">
        <v>2557.0</v>
      </c>
      <c r="D488" s="5">
        <f t="shared" si="349"/>
        <v>0.036</v>
      </c>
      <c r="E488" s="5">
        <f t="shared" si="350"/>
        <v>39.14</v>
      </c>
      <c r="F488" s="5">
        <v>55.0</v>
      </c>
      <c r="G488" s="7">
        <f t="shared" si="351"/>
        <v>92.85552</v>
      </c>
      <c r="H488" s="7">
        <f t="shared" si="352"/>
        <v>3.58956</v>
      </c>
      <c r="I488" s="7">
        <f t="shared" si="353"/>
        <v>17.82</v>
      </c>
      <c r="J488" s="7">
        <f t="shared" si="354"/>
        <v>44.7984</v>
      </c>
      <c r="K488" s="7">
        <f t="shared" si="355"/>
        <v>1.0188</v>
      </c>
      <c r="L488" s="7">
        <f t="shared" si="356"/>
        <v>254.22228</v>
      </c>
      <c r="M488" s="7">
        <f t="shared" si="357"/>
        <v>53.3866788</v>
      </c>
      <c r="N488" s="7">
        <f t="shared" si="358"/>
        <v>307.6089588</v>
      </c>
    </row>
    <row r="489" ht="15.75" hidden="1" customHeight="1">
      <c r="A489" s="5" t="s">
        <v>19</v>
      </c>
      <c r="B489" s="14">
        <v>77230.0</v>
      </c>
      <c r="C489" s="12">
        <v>78536.0</v>
      </c>
      <c r="D489" s="5">
        <f t="shared" si="349"/>
        <v>1.306</v>
      </c>
      <c r="E489" s="5">
        <v>169.69</v>
      </c>
      <c r="F489" s="5">
        <v>78.05</v>
      </c>
      <c r="G489" s="7">
        <f t="shared" si="351"/>
        <v>3368.59192</v>
      </c>
      <c r="H489" s="7">
        <f t="shared" si="352"/>
        <v>130.22126</v>
      </c>
      <c r="I489" s="7">
        <f t="shared" si="353"/>
        <v>646.47</v>
      </c>
      <c r="J489" s="7">
        <f t="shared" si="354"/>
        <v>1625.1864</v>
      </c>
      <c r="K489" s="7">
        <f t="shared" si="355"/>
        <v>36.9598</v>
      </c>
      <c r="L489" s="7">
        <f t="shared" si="356"/>
        <v>6055.16938</v>
      </c>
      <c r="M489" s="7">
        <f t="shared" si="357"/>
        <v>1271.58557</v>
      </c>
      <c r="N489" s="7">
        <f t="shared" si="358"/>
        <v>7326.75495</v>
      </c>
    </row>
    <row r="490" ht="15.75" hidden="1" customHeight="1">
      <c r="A490" s="5" t="s">
        <v>30</v>
      </c>
      <c r="B490" s="14">
        <v>11359.0</v>
      </c>
      <c r="C490" s="12">
        <v>11502.0</v>
      </c>
      <c r="D490" s="5">
        <f t="shared" si="349"/>
        <v>0.143</v>
      </c>
      <c r="E490" s="5">
        <f t="shared" ref="E490:E491" si="359">29.8+9.34</f>
        <v>39.14</v>
      </c>
      <c r="F490" s="5">
        <v>55.0</v>
      </c>
      <c r="G490" s="7">
        <f t="shared" si="351"/>
        <v>368.84276</v>
      </c>
      <c r="H490" s="7">
        <f t="shared" si="352"/>
        <v>14.25853</v>
      </c>
      <c r="I490" s="7">
        <f t="shared" si="353"/>
        <v>70.785</v>
      </c>
      <c r="J490" s="7">
        <f t="shared" si="354"/>
        <v>177.9492</v>
      </c>
      <c r="K490" s="7">
        <f t="shared" si="355"/>
        <v>4.0469</v>
      </c>
      <c r="L490" s="7">
        <f t="shared" si="356"/>
        <v>730.02239</v>
      </c>
      <c r="M490" s="7">
        <f t="shared" si="357"/>
        <v>153.3047019</v>
      </c>
      <c r="N490" s="7">
        <f t="shared" si="358"/>
        <v>883.3270919</v>
      </c>
    </row>
    <row r="491" ht="15.75" hidden="1" customHeight="1">
      <c r="A491" s="5" t="s">
        <v>31</v>
      </c>
      <c r="B491" s="14">
        <v>53755.0</v>
      </c>
      <c r="C491" s="12">
        <v>54454.0</v>
      </c>
      <c r="D491" s="5">
        <f t="shared" si="349"/>
        <v>0.699</v>
      </c>
      <c r="E491" s="5">
        <f t="shared" si="359"/>
        <v>39.14</v>
      </c>
      <c r="F491" s="5">
        <v>55.0</v>
      </c>
      <c r="G491" s="7">
        <f t="shared" si="351"/>
        <v>1802.94468</v>
      </c>
      <c r="H491" s="7">
        <f t="shared" si="352"/>
        <v>69.69729</v>
      </c>
      <c r="I491" s="7">
        <f t="shared" si="353"/>
        <v>346.005</v>
      </c>
      <c r="J491" s="7">
        <f t="shared" si="354"/>
        <v>869.8356</v>
      </c>
      <c r="K491" s="7">
        <f t="shared" si="355"/>
        <v>19.7817</v>
      </c>
      <c r="L491" s="13">
        <f t="shared" si="356"/>
        <v>3202.40427</v>
      </c>
      <c r="M491" s="7">
        <f t="shared" si="357"/>
        <v>672.5048967</v>
      </c>
      <c r="N491" s="7">
        <f t="shared" si="358"/>
        <v>3874.909167</v>
      </c>
    </row>
    <row r="492" ht="15.75" hidden="1" customHeight="1">
      <c r="A492" s="5"/>
      <c r="C492" s="4"/>
      <c r="D492" s="5"/>
      <c r="G492" s="5"/>
      <c r="L492" s="18">
        <f>SUM(L481:L491)</f>
        <v>13288.69233</v>
      </c>
      <c r="M492" s="19">
        <f t="shared" si="357"/>
        <v>2790.625389</v>
      </c>
      <c r="N492" s="20">
        <f t="shared" si="358"/>
        <v>16079.31772</v>
      </c>
    </row>
    <row r="493" ht="15.75" hidden="1" customHeight="1">
      <c r="A493" s="5"/>
      <c r="C493" s="4"/>
      <c r="D493" s="5">
        <f>SUM(D481:D491)</f>
        <v>2.721</v>
      </c>
      <c r="G493" s="5"/>
    </row>
    <row r="494" ht="15.75" hidden="1" customHeight="1">
      <c r="A494" s="5"/>
      <c r="C494" s="4"/>
      <c r="D494" s="5"/>
      <c r="G494" s="5"/>
    </row>
    <row r="495" ht="15.75" hidden="1" customHeight="1">
      <c r="A495" s="5"/>
      <c r="C495" s="4"/>
      <c r="D495" s="5"/>
      <c r="G495" s="5"/>
    </row>
    <row r="496" ht="15.75" hidden="1" customHeight="1">
      <c r="A496" s="5" t="s">
        <v>56</v>
      </c>
      <c r="C496" s="4"/>
      <c r="D496" s="5"/>
      <c r="G496" s="5"/>
    </row>
    <row r="497" ht="15.75" hidden="1" customHeight="1">
      <c r="A497" s="5" t="s">
        <v>11</v>
      </c>
      <c r="B497" s="14">
        <v>3519.0</v>
      </c>
      <c r="C497" s="12">
        <v>3603.0</v>
      </c>
      <c r="D497" s="5">
        <f t="shared" ref="D497:D507" si="360">(C497-B497)/1000</f>
        <v>0.084</v>
      </c>
      <c r="E497" s="5">
        <f t="shared" ref="E497:E504" si="361">29.8+9.34</f>
        <v>39.14</v>
      </c>
      <c r="F497" s="5">
        <v>55.0</v>
      </c>
      <c r="G497" s="7">
        <f t="shared" ref="G497:G507" si="362">D497*$G$2</f>
        <v>216.66288</v>
      </c>
      <c r="H497" s="7">
        <f t="shared" ref="H497:H507" si="363">D497*$H$2</f>
        <v>8.37564</v>
      </c>
      <c r="I497" s="7">
        <f t="shared" ref="I497:I507" si="364">D497*$I$2</f>
        <v>41.58</v>
      </c>
      <c r="J497" s="7">
        <f t="shared" ref="J497:J507" si="365">D497*$J$2</f>
        <v>104.5296</v>
      </c>
      <c r="K497" s="7">
        <f t="shared" ref="K497:K507" si="366">D497*$K$2</f>
        <v>2.3772</v>
      </c>
      <c r="L497" s="7">
        <f t="shared" ref="L497:L507" si="367">SUM(E497:K497)</f>
        <v>467.66532</v>
      </c>
      <c r="M497" s="7">
        <f t="shared" ref="M497:M508" si="368">L497*0.21</f>
        <v>98.2097172</v>
      </c>
      <c r="N497" s="7">
        <f t="shared" ref="N497:N508" si="369">L497+M497</f>
        <v>565.8750372</v>
      </c>
    </row>
    <row r="498" ht="15.75" hidden="1" customHeight="1">
      <c r="A498" s="5" t="s">
        <v>12</v>
      </c>
      <c r="B498" s="14">
        <v>2528.0</v>
      </c>
      <c r="C498" s="12">
        <v>2581.0</v>
      </c>
      <c r="D498" s="5">
        <f t="shared" si="360"/>
        <v>0.053</v>
      </c>
      <c r="E498" s="5">
        <f t="shared" si="361"/>
        <v>39.14</v>
      </c>
      <c r="F498" s="5">
        <v>55.0</v>
      </c>
      <c r="G498" s="7">
        <f t="shared" si="362"/>
        <v>136.70396</v>
      </c>
      <c r="H498" s="7">
        <f t="shared" si="363"/>
        <v>5.28463</v>
      </c>
      <c r="I498" s="7">
        <f t="shared" si="364"/>
        <v>26.235</v>
      </c>
      <c r="J498" s="7">
        <f t="shared" si="365"/>
        <v>65.9532</v>
      </c>
      <c r="K498" s="7">
        <f t="shared" si="366"/>
        <v>1.4999</v>
      </c>
      <c r="L498" s="7">
        <f t="shared" si="367"/>
        <v>329.81669</v>
      </c>
      <c r="M498" s="7">
        <f t="shared" si="368"/>
        <v>69.2615049</v>
      </c>
      <c r="N498" s="7">
        <f t="shared" si="369"/>
        <v>399.0781949</v>
      </c>
    </row>
    <row r="499" ht="15.75" hidden="1" customHeight="1">
      <c r="A499" s="5" t="s">
        <v>13</v>
      </c>
      <c r="B499" s="14">
        <v>3230.0</v>
      </c>
      <c r="C499" s="12">
        <v>3313.0</v>
      </c>
      <c r="D499" s="5">
        <f t="shared" si="360"/>
        <v>0.083</v>
      </c>
      <c r="E499" s="5">
        <f t="shared" si="361"/>
        <v>39.14</v>
      </c>
      <c r="F499" s="5">
        <v>55.0</v>
      </c>
      <c r="G499" s="7">
        <f t="shared" si="362"/>
        <v>214.08356</v>
      </c>
      <c r="H499" s="7">
        <f t="shared" si="363"/>
        <v>8.27593</v>
      </c>
      <c r="I499" s="7">
        <f t="shared" si="364"/>
        <v>41.085</v>
      </c>
      <c r="J499" s="7">
        <f t="shared" si="365"/>
        <v>103.2852</v>
      </c>
      <c r="K499" s="7">
        <f t="shared" si="366"/>
        <v>2.3489</v>
      </c>
      <c r="L499" s="7">
        <f t="shared" si="367"/>
        <v>463.21859</v>
      </c>
      <c r="M499" s="7">
        <f t="shared" si="368"/>
        <v>97.2759039</v>
      </c>
      <c r="N499" s="7">
        <f t="shared" si="369"/>
        <v>560.4944939</v>
      </c>
    </row>
    <row r="500" ht="15.75" hidden="1" customHeight="1">
      <c r="A500" s="5" t="s">
        <v>14</v>
      </c>
      <c r="B500" s="14">
        <v>2638.0</v>
      </c>
      <c r="C500" s="12">
        <v>2705.0</v>
      </c>
      <c r="D500" s="5">
        <f t="shared" si="360"/>
        <v>0.067</v>
      </c>
      <c r="E500" s="5">
        <f t="shared" si="361"/>
        <v>39.14</v>
      </c>
      <c r="F500" s="5">
        <v>55.0</v>
      </c>
      <c r="G500" s="7">
        <f t="shared" si="362"/>
        <v>172.81444</v>
      </c>
      <c r="H500" s="7">
        <f t="shared" si="363"/>
        <v>6.68057</v>
      </c>
      <c r="I500" s="7">
        <f t="shared" si="364"/>
        <v>33.165</v>
      </c>
      <c r="J500" s="7">
        <f t="shared" si="365"/>
        <v>83.3748</v>
      </c>
      <c r="K500" s="7">
        <f t="shared" si="366"/>
        <v>1.8961</v>
      </c>
      <c r="L500" s="7">
        <f t="shared" si="367"/>
        <v>392.07091</v>
      </c>
      <c r="M500" s="7">
        <f t="shared" si="368"/>
        <v>82.3348911</v>
      </c>
      <c r="N500" s="7">
        <f t="shared" si="369"/>
        <v>474.4058011</v>
      </c>
    </row>
    <row r="501" ht="15.75" hidden="1" customHeight="1">
      <c r="A501" s="5" t="s">
        <v>15</v>
      </c>
      <c r="B501" s="14">
        <v>2877.0</v>
      </c>
      <c r="C501" s="12">
        <v>2995.0</v>
      </c>
      <c r="D501" s="5">
        <f t="shared" si="360"/>
        <v>0.118</v>
      </c>
      <c r="E501" s="5">
        <f t="shared" si="361"/>
        <v>39.14</v>
      </c>
      <c r="F501" s="5">
        <v>55.0</v>
      </c>
      <c r="G501" s="7">
        <f t="shared" si="362"/>
        <v>304.35976</v>
      </c>
      <c r="H501" s="7">
        <f t="shared" si="363"/>
        <v>11.76578</v>
      </c>
      <c r="I501" s="7">
        <f t="shared" si="364"/>
        <v>58.41</v>
      </c>
      <c r="J501" s="7">
        <f t="shared" si="365"/>
        <v>146.8392</v>
      </c>
      <c r="K501" s="7">
        <f t="shared" si="366"/>
        <v>3.3394</v>
      </c>
      <c r="L501" s="7">
        <f t="shared" si="367"/>
        <v>618.85414</v>
      </c>
      <c r="M501" s="7">
        <f t="shared" si="368"/>
        <v>129.9593694</v>
      </c>
      <c r="N501" s="7">
        <f t="shared" si="369"/>
        <v>748.8135094</v>
      </c>
    </row>
    <row r="502" ht="15.75" hidden="1" customHeight="1">
      <c r="A502" s="5" t="s">
        <v>16</v>
      </c>
      <c r="B502" s="14">
        <v>2251.0</v>
      </c>
      <c r="C502" s="12">
        <v>2284.0</v>
      </c>
      <c r="D502" s="5">
        <f t="shared" si="360"/>
        <v>0.033</v>
      </c>
      <c r="E502" s="5">
        <f t="shared" si="361"/>
        <v>39.14</v>
      </c>
      <c r="F502" s="5">
        <v>55.0</v>
      </c>
      <c r="G502" s="7">
        <f t="shared" si="362"/>
        <v>85.11756</v>
      </c>
      <c r="H502" s="7">
        <f t="shared" si="363"/>
        <v>3.29043</v>
      </c>
      <c r="I502" s="7">
        <f t="shared" si="364"/>
        <v>16.335</v>
      </c>
      <c r="J502" s="7">
        <f t="shared" si="365"/>
        <v>41.0652</v>
      </c>
      <c r="K502" s="7">
        <f t="shared" si="366"/>
        <v>0.9339</v>
      </c>
      <c r="L502" s="7">
        <f t="shared" si="367"/>
        <v>240.88209</v>
      </c>
      <c r="M502" s="7">
        <f t="shared" si="368"/>
        <v>50.5852389</v>
      </c>
      <c r="N502" s="7">
        <f t="shared" si="369"/>
        <v>291.4673289</v>
      </c>
    </row>
    <row r="503" ht="15.75" hidden="1" customHeight="1">
      <c r="A503" s="5" t="s">
        <v>17</v>
      </c>
      <c r="B503" s="14">
        <v>2581.0</v>
      </c>
      <c r="C503" s="12">
        <v>2644.0</v>
      </c>
      <c r="D503" s="5">
        <f t="shared" si="360"/>
        <v>0.063</v>
      </c>
      <c r="E503" s="5">
        <f t="shared" si="361"/>
        <v>39.14</v>
      </c>
      <c r="F503" s="5">
        <v>55.0</v>
      </c>
      <c r="G503" s="7">
        <f t="shared" si="362"/>
        <v>162.49716</v>
      </c>
      <c r="H503" s="7">
        <f t="shared" si="363"/>
        <v>6.28173</v>
      </c>
      <c r="I503" s="7">
        <f t="shared" si="364"/>
        <v>31.185</v>
      </c>
      <c r="J503" s="7">
        <f t="shared" si="365"/>
        <v>78.3972</v>
      </c>
      <c r="K503" s="7">
        <f t="shared" si="366"/>
        <v>1.7829</v>
      </c>
      <c r="L503" s="7">
        <f t="shared" si="367"/>
        <v>374.28399</v>
      </c>
      <c r="M503" s="7">
        <f t="shared" si="368"/>
        <v>78.5996379</v>
      </c>
      <c r="N503" s="7">
        <f t="shared" si="369"/>
        <v>452.8836279</v>
      </c>
    </row>
    <row r="504" ht="15.75" hidden="1" customHeight="1">
      <c r="A504" s="5" t="s">
        <v>18</v>
      </c>
      <c r="B504" s="14">
        <v>2557.0</v>
      </c>
      <c r="C504" s="12">
        <v>2618.0</v>
      </c>
      <c r="D504" s="5">
        <f t="shared" si="360"/>
        <v>0.061</v>
      </c>
      <c r="E504" s="5">
        <f t="shared" si="361"/>
        <v>39.14</v>
      </c>
      <c r="F504" s="5">
        <v>55.0</v>
      </c>
      <c r="G504" s="7">
        <f t="shared" si="362"/>
        <v>157.33852</v>
      </c>
      <c r="H504" s="7">
        <f t="shared" si="363"/>
        <v>6.08231</v>
      </c>
      <c r="I504" s="7">
        <f t="shared" si="364"/>
        <v>30.195</v>
      </c>
      <c r="J504" s="7">
        <f t="shared" si="365"/>
        <v>75.9084</v>
      </c>
      <c r="K504" s="7">
        <f t="shared" si="366"/>
        <v>1.7263</v>
      </c>
      <c r="L504" s="7">
        <f t="shared" si="367"/>
        <v>365.39053</v>
      </c>
      <c r="M504" s="7">
        <f t="shared" si="368"/>
        <v>76.7320113</v>
      </c>
      <c r="N504" s="7">
        <f t="shared" si="369"/>
        <v>442.1225413</v>
      </c>
    </row>
    <row r="505" ht="15.75" hidden="1" customHeight="1">
      <c r="A505" s="5" t="s">
        <v>19</v>
      </c>
      <c r="B505" s="14">
        <v>78536.0</v>
      </c>
      <c r="C505" s="12">
        <v>80033.0</v>
      </c>
      <c r="D505" s="5">
        <f t="shared" si="360"/>
        <v>1.497</v>
      </c>
      <c r="E505" s="5">
        <v>169.69</v>
      </c>
      <c r="F505" s="5">
        <v>78.05</v>
      </c>
      <c r="G505" s="7">
        <f t="shared" si="362"/>
        <v>3861.24204</v>
      </c>
      <c r="H505" s="7">
        <f t="shared" si="363"/>
        <v>149.26587</v>
      </c>
      <c r="I505" s="7">
        <f t="shared" si="364"/>
        <v>741.015</v>
      </c>
      <c r="J505" s="7">
        <f t="shared" si="365"/>
        <v>1862.8668</v>
      </c>
      <c r="K505" s="7">
        <f t="shared" si="366"/>
        <v>42.3651</v>
      </c>
      <c r="L505" s="7">
        <f t="shared" si="367"/>
        <v>6904.49481</v>
      </c>
      <c r="M505" s="7">
        <f t="shared" si="368"/>
        <v>1449.94391</v>
      </c>
      <c r="N505" s="7">
        <f t="shared" si="369"/>
        <v>8354.43872</v>
      </c>
    </row>
    <row r="506" ht="15.75" hidden="1" customHeight="1">
      <c r="A506" s="5" t="s">
        <v>30</v>
      </c>
      <c r="B506" s="14">
        <v>11502.0</v>
      </c>
      <c r="C506" s="12">
        <v>11678.0</v>
      </c>
      <c r="D506" s="5">
        <f t="shared" si="360"/>
        <v>0.176</v>
      </c>
      <c r="E506" s="5">
        <f t="shared" ref="E506:E507" si="370">29.8+9.34</f>
        <v>39.14</v>
      </c>
      <c r="F506" s="5">
        <v>55.0</v>
      </c>
      <c r="G506" s="7">
        <f t="shared" si="362"/>
        <v>453.96032</v>
      </c>
      <c r="H506" s="7">
        <f t="shared" si="363"/>
        <v>17.54896</v>
      </c>
      <c r="I506" s="7">
        <f t="shared" si="364"/>
        <v>87.12</v>
      </c>
      <c r="J506" s="7">
        <f t="shared" si="365"/>
        <v>219.0144</v>
      </c>
      <c r="K506" s="7">
        <f t="shared" si="366"/>
        <v>4.9808</v>
      </c>
      <c r="L506" s="7">
        <f t="shared" si="367"/>
        <v>876.76448</v>
      </c>
      <c r="M506" s="7">
        <f t="shared" si="368"/>
        <v>184.1205408</v>
      </c>
      <c r="N506" s="7">
        <f t="shared" si="369"/>
        <v>1060.885021</v>
      </c>
    </row>
    <row r="507" ht="15.75" hidden="1" customHeight="1">
      <c r="A507" s="5" t="s">
        <v>31</v>
      </c>
      <c r="B507" s="14">
        <v>54454.0</v>
      </c>
      <c r="C507" s="12">
        <v>55428.0</v>
      </c>
      <c r="D507" s="5">
        <f t="shared" si="360"/>
        <v>0.974</v>
      </c>
      <c r="E507" s="5">
        <f t="shared" si="370"/>
        <v>39.14</v>
      </c>
      <c r="F507" s="5">
        <v>55.0</v>
      </c>
      <c r="G507" s="7">
        <f t="shared" si="362"/>
        <v>2512.25768</v>
      </c>
      <c r="H507" s="7">
        <f t="shared" si="363"/>
        <v>97.11754</v>
      </c>
      <c r="I507" s="7">
        <f t="shared" si="364"/>
        <v>482.13</v>
      </c>
      <c r="J507" s="7">
        <f t="shared" si="365"/>
        <v>1212.0456</v>
      </c>
      <c r="K507" s="7">
        <f t="shared" si="366"/>
        <v>27.5642</v>
      </c>
      <c r="L507" s="13">
        <f t="shared" si="367"/>
        <v>4425.25502</v>
      </c>
      <c r="M507" s="7">
        <f t="shared" si="368"/>
        <v>929.3035542</v>
      </c>
      <c r="N507" s="7">
        <f t="shared" si="369"/>
        <v>5354.558574</v>
      </c>
    </row>
    <row r="508" ht="15.75" hidden="1" customHeight="1">
      <c r="A508" s="5"/>
      <c r="C508" s="4"/>
      <c r="D508" s="5"/>
      <c r="G508" s="5"/>
      <c r="L508" s="18">
        <f>SUM(L497:L507)</f>
        <v>15458.69657</v>
      </c>
      <c r="M508" s="19">
        <f t="shared" si="368"/>
        <v>3246.32628</v>
      </c>
      <c r="N508" s="20">
        <f t="shared" si="369"/>
        <v>18705.02285</v>
      </c>
    </row>
    <row r="509" ht="15.75" hidden="1" customHeight="1">
      <c r="A509" s="5"/>
      <c r="C509" s="4"/>
      <c r="D509" s="5">
        <f>SUM(D497:D507)</f>
        <v>3.209</v>
      </c>
      <c r="G509" s="5"/>
    </row>
    <row r="510" ht="15.75" hidden="1" customHeight="1">
      <c r="A510" s="5"/>
      <c r="C510" s="4"/>
      <c r="D510" s="5"/>
      <c r="G510" s="5"/>
    </row>
    <row r="511" ht="15.75" hidden="1" customHeight="1">
      <c r="A511" s="5"/>
      <c r="C511" s="4"/>
      <c r="D511" s="5"/>
      <c r="G511" s="5"/>
    </row>
    <row r="512" ht="15.75" hidden="1" customHeight="1">
      <c r="A512" s="5" t="s">
        <v>57</v>
      </c>
      <c r="C512" s="4"/>
      <c r="D512" s="5"/>
      <c r="G512" s="5"/>
    </row>
    <row r="513" ht="15.75" hidden="1" customHeight="1">
      <c r="A513" s="5" t="s">
        <v>11</v>
      </c>
      <c r="B513" s="14">
        <v>3603.0</v>
      </c>
      <c r="C513" s="12">
        <v>3703.0</v>
      </c>
      <c r="D513" s="5">
        <f t="shared" ref="D513:D523" si="371">(C513-B513)/1000</f>
        <v>0.1</v>
      </c>
      <c r="E513" s="5">
        <f t="shared" ref="E513:E520" si="372">29.8+9.34</f>
        <v>39.14</v>
      </c>
      <c r="F513" s="5">
        <v>55.0</v>
      </c>
      <c r="G513" s="7">
        <f t="shared" ref="G513:G523" si="373">D513*$G$2</f>
        <v>257.932</v>
      </c>
      <c r="H513" s="7">
        <f t="shared" ref="H513:H523" si="374">D513*$H$2</f>
        <v>9.971</v>
      </c>
      <c r="I513" s="7">
        <f t="shared" ref="I513:I523" si="375">D513*$I$2</f>
        <v>49.5</v>
      </c>
      <c r="J513" s="7">
        <f t="shared" ref="J513:J523" si="376">D513*$J$2</f>
        <v>124.44</v>
      </c>
      <c r="K513" s="7">
        <f t="shared" ref="K513:K523" si="377">D513*$K$2</f>
        <v>2.83</v>
      </c>
      <c r="L513" s="7">
        <f t="shared" ref="L513:L523" si="378">SUM(E513:K513)</f>
        <v>538.813</v>
      </c>
      <c r="M513" s="7">
        <f t="shared" ref="M513:M524" si="379">L513*0.21</f>
        <v>113.15073</v>
      </c>
      <c r="N513" s="7">
        <f t="shared" ref="N513:N524" si="380">L513+M513</f>
        <v>651.96373</v>
      </c>
    </row>
    <row r="514" ht="15.75" hidden="1" customHeight="1">
      <c r="A514" s="5" t="s">
        <v>12</v>
      </c>
      <c r="B514" s="14">
        <v>2581.0</v>
      </c>
      <c r="C514" s="12">
        <v>2649.0</v>
      </c>
      <c r="D514" s="5">
        <f t="shared" si="371"/>
        <v>0.068</v>
      </c>
      <c r="E514" s="5">
        <f t="shared" si="372"/>
        <v>39.14</v>
      </c>
      <c r="F514" s="5">
        <v>55.0</v>
      </c>
      <c r="G514" s="7">
        <f t="shared" si="373"/>
        <v>175.39376</v>
      </c>
      <c r="H514" s="7">
        <f t="shared" si="374"/>
        <v>6.78028</v>
      </c>
      <c r="I514" s="7">
        <f t="shared" si="375"/>
        <v>33.66</v>
      </c>
      <c r="J514" s="7">
        <f t="shared" si="376"/>
        <v>84.6192</v>
      </c>
      <c r="K514" s="7">
        <f t="shared" si="377"/>
        <v>1.9244</v>
      </c>
      <c r="L514" s="7">
        <f t="shared" si="378"/>
        <v>396.51764</v>
      </c>
      <c r="M514" s="7">
        <f t="shared" si="379"/>
        <v>83.2687044</v>
      </c>
      <c r="N514" s="7">
        <f t="shared" si="380"/>
        <v>479.7863444</v>
      </c>
    </row>
    <row r="515" ht="15.75" hidden="1" customHeight="1">
      <c r="A515" s="5" t="s">
        <v>13</v>
      </c>
      <c r="B515" s="14">
        <v>3313.0</v>
      </c>
      <c r="C515" s="12">
        <v>3395.0</v>
      </c>
      <c r="D515" s="5">
        <f t="shared" si="371"/>
        <v>0.082</v>
      </c>
      <c r="E515" s="5">
        <f t="shared" si="372"/>
        <v>39.14</v>
      </c>
      <c r="F515" s="5">
        <v>55.0</v>
      </c>
      <c r="G515" s="7">
        <f t="shared" si="373"/>
        <v>211.50424</v>
      </c>
      <c r="H515" s="7">
        <f t="shared" si="374"/>
        <v>8.17622</v>
      </c>
      <c r="I515" s="7">
        <f t="shared" si="375"/>
        <v>40.59</v>
      </c>
      <c r="J515" s="7">
        <f t="shared" si="376"/>
        <v>102.0408</v>
      </c>
      <c r="K515" s="7">
        <f t="shared" si="377"/>
        <v>2.3206</v>
      </c>
      <c r="L515" s="7">
        <f t="shared" si="378"/>
        <v>458.77186</v>
      </c>
      <c r="M515" s="7">
        <f t="shared" si="379"/>
        <v>96.3420906</v>
      </c>
      <c r="N515" s="7">
        <f t="shared" si="380"/>
        <v>555.1139506</v>
      </c>
    </row>
    <row r="516" ht="15.75" hidden="1" customHeight="1">
      <c r="A516" s="5" t="s">
        <v>14</v>
      </c>
      <c r="B516" s="14">
        <v>2705.0</v>
      </c>
      <c r="C516" s="12">
        <v>2757.0</v>
      </c>
      <c r="D516" s="5">
        <f t="shared" si="371"/>
        <v>0.052</v>
      </c>
      <c r="E516" s="5">
        <f t="shared" si="372"/>
        <v>39.14</v>
      </c>
      <c r="F516" s="5">
        <v>55.0</v>
      </c>
      <c r="G516" s="7">
        <f t="shared" si="373"/>
        <v>134.12464</v>
      </c>
      <c r="H516" s="7">
        <f t="shared" si="374"/>
        <v>5.18492</v>
      </c>
      <c r="I516" s="7">
        <f t="shared" si="375"/>
        <v>25.74</v>
      </c>
      <c r="J516" s="7">
        <f t="shared" si="376"/>
        <v>64.7088</v>
      </c>
      <c r="K516" s="7">
        <f t="shared" si="377"/>
        <v>1.4716</v>
      </c>
      <c r="L516" s="7">
        <f t="shared" si="378"/>
        <v>325.36996</v>
      </c>
      <c r="M516" s="7">
        <f t="shared" si="379"/>
        <v>68.3276916</v>
      </c>
      <c r="N516" s="7">
        <f t="shared" si="380"/>
        <v>393.6976516</v>
      </c>
    </row>
    <row r="517" ht="15.75" hidden="1" customHeight="1">
      <c r="A517" s="5" t="s">
        <v>15</v>
      </c>
      <c r="B517" s="14">
        <v>2995.0</v>
      </c>
      <c r="C517" s="12">
        <v>3063.0</v>
      </c>
      <c r="D517" s="5">
        <f t="shared" si="371"/>
        <v>0.068</v>
      </c>
      <c r="E517" s="5">
        <f t="shared" si="372"/>
        <v>39.14</v>
      </c>
      <c r="F517" s="5">
        <v>55.0</v>
      </c>
      <c r="G517" s="7">
        <f t="shared" si="373"/>
        <v>175.39376</v>
      </c>
      <c r="H517" s="7">
        <f t="shared" si="374"/>
        <v>6.78028</v>
      </c>
      <c r="I517" s="7">
        <f t="shared" si="375"/>
        <v>33.66</v>
      </c>
      <c r="J517" s="7">
        <f t="shared" si="376"/>
        <v>84.6192</v>
      </c>
      <c r="K517" s="7">
        <f t="shared" si="377"/>
        <v>1.9244</v>
      </c>
      <c r="L517" s="7">
        <f t="shared" si="378"/>
        <v>396.51764</v>
      </c>
      <c r="M517" s="7">
        <f t="shared" si="379"/>
        <v>83.2687044</v>
      </c>
      <c r="N517" s="7">
        <f t="shared" si="380"/>
        <v>479.7863444</v>
      </c>
    </row>
    <row r="518" ht="15.75" hidden="1" customHeight="1">
      <c r="A518" s="5" t="s">
        <v>16</v>
      </c>
      <c r="B518" s="14">
        <v>2284.0</v>
      </c>
      <c r="C518" s="12">
        <v>2358.0</v>
      </c>
      <c r="D518" s="5">
        <f t="shared" si="371"/>
        <v>0.074</v>
      </c>
      <c r="E518" s="5">
        <f t="shared" si="372"/>
        <v>39.14</v>
      </c>
      <c r="F518" s="5">
        <v>55.0</v>
      </c>
      <c r="G518" s="7">
        <f t="shared" si="373"/>
        <v>190.86968</v>
      </c>
      <c r="H518" s="7">
        <f t="shared" si="374"/>
        <v>7.37854</v>
      </c>
      <c r="I518" s="7">
        <f t="shared" si="375"/>
        <v>36.63</v>
      </c>
      <c r="J518" s="7">
        <f t="shared" si="376"/>
        <v>92.0856</v>
      </c>
      <c r="K518" s="7">
        <f t="shared" si="377"/>
        <v>2.0942</v>
      </c>
      <c r="L518" s="7">
        <f t="shared" si="378"/>
        <v>423.19802</v>
      </c>
      <c r="M518" s="7">
        <f t="shared" si="379"/>
        <v>88.8715842</v>
      </c>
      <c r="N518" s="7">
        <f t="shared" si="380"/>
        <v>512.0696042</v>
      </c>
    </row>
    <row r="519" ht="15.75" hidden="1" customHeight="1">
      <c r="A519" s="5" t="s">
        <v>17</v>
      </c>
      <c r="B519" s="14">
        <v>2644.0</v>
      </c>
      <c r="C519" s="12">
        <v>2714.0</v>
      </c>
      <c r="D519" s="5">
        <f t="shared" si="371"/>
        <v>0.07</v>
      </c>
      <c r="E519" s="5">
        <f t="shared" si="372"/>
        <v>39.14</v>
      </c>
      <c r="F519" s="5">
        <v>55.0</v>
      </c>
      <c r="G519" s="7">
        <f t="shared" si="373"/>
        <v>180.5524</v>
      </c>
      <c r="H519" s="7">
        <f t="shared" si="374"/>
        <v>6.9797</v>
      </c>
      <c r="I519" s="7">
        <f t="shared" si="375"/>
        <v>34.65</v>
      </c>
      <c r="J519" s="7">
        <f t="shared" si="376"/>
        <v>87.108</v>
      </c>
      <c r="K519" s="7">
        <f t="shared" si="377"/>
        <v>1.981</v>
      </c>
      <c r="L519" s="7">
        <f t="shared" si="378"/>
        <v>405.4111</v>
      </c>
      <c r="M519" s="7">
        <f t="shared" si="379"/>
        <v>85.136331</v>
      </c>
      <c r="N519" s="7">
        <f t="shared" si="380"/>
        <v>490.547431</v>
      </c>
    </row>
    <row r="520" ht="15.75" hidden="1" customHeight="1">
      <c r="A520" s="5" t="s">
        <v>18</v>
      </c>
      <c r="B520" s="14">
        <v>2618.0</v>
      </c>
      <c r="C520" s="12">
        <v>2666.0</v>
      </c>
      <c r="D520" s="5">
        <f t="shared" si="371"/>
        <v>0.048</v>
      </c>
      <c r="E520" s="5">
        <f t="shared" si="372"/>
        <v>39.14</v>
      </c>
      <c r="F520" s="5">
        <v>55.0</v>
      </c>
      <c r="G520" s="7">
        <f t="shared" si="373"/>
        <v>123.80736</v>
      </c>
      <c r="H520" s="7">
        <f t="shared" si="374"/>
        <v>4.78608</v>
      </c>
      <c r="I520" s="7">
        <f t="shared" si="375"/>
        <v>23.76</v>
      </c>
      <c r="J520" s="7">
        <f t="shared" si="376"/>
        <v>59.7312</v>
      </c>
      <c r="K520" s="7">
        <f t="shared" si="377"/>
        <v>1.3584</v>
      </c>
      <c r="L520" s="7">
        <f t="shared" si="378"/>
        <v>307.58304</v>
      </c>
      <c r="M520" s="7">
        <f t="shared" si="379"/>
        <v>64.5924384</v>
      </c>
      <c r="N520" s="7">
        <f t="shared" si="380"/>
        <v>372.1754784</v>
      </c>
    </row>
    <row r="521" ht="15.75" hidden="1" customHeight="1">
      <c r="A521" s="5" t="s">
        <v>19</v>
      </c>
      <c r="B521" s="14">
        <v>80033.0</v>
      </c>
      <c r="C521" s="12">
        <v>81736.0</v>
      </c>
      <c r="D521" s="5">
        <f t="shared" si="371"/>
        <v>1.703</v>
      </c>
      <c r="E521" s="5">
        <v>169.69</v>
      </c>
      <c r="F521" s="5">
        <v>78.05</v>
      </c>
      <c r="G521" s="7">
        <f t="shared" si="373"/>
        <v>4392.58196</v>
      </c>
      <c r="H521" s="7">
        <f t="shared" si="374"/>
        <v>169.80613</v>
      </c>
      <c r="I521" s="7">
        <f t="shared" si="375"/>
        <v>842.985</v>
      </c>
      <c r="J521" s="7">
        <f t="shared" si="376"/>
        <v>2119.2132</v>
      </c>
      <c r="K521" s="7">
        <f t="shared" si="377"/>
        <v>48.1949</v>
      </c>
      <c r="L521" s="7">
        <f t="shared" si="378"/>
        <v>7820.52119</v>
      </c>
      <c r="M521" s="7">
        <f t="shared" si="379"/>
        <v>1642.30945</v>
      </c>
      <c r="N521" s="7">
        <f t="shared" si="380"/>
        <v>9462.83064</v>
      </c>
    </row>
    <row r="522" ht="15.75" hidden="1" customHeight="1">
      <c r="A522" s="5" t="s">
        <v>30</v>
      </c>
      <c r="B522" s="14">
        <v>11678.0</v>
      </c>
      <c r="C522" s="12">
        <v>11970.0</v>
      </c>
      <c r="D522" s="5">
        <f t="shared" si="371"/>
        <v>0.292</v>
      </c>
      <c r="E522" s="5">
        <f t="shared" ref="E522:E523" si="381">29.8+9.34</f>
        <v>39.14</v>
      </c>
      <c r="F522" s="5">
        <v>55.0</v>
      </c>
      <c r="G522" s="7">
        <f t="shared" si="373"/>
        <v>753.16144</v>
      </c>
      <c r="H522" s="7">
        <f t="shared" si="374"/>
        <v>29.11532</v>
      </c>
      <c r="I522" s="7">
        <f t="shared" si="375"/>
        <v>144.54</v>
      </c>
      <c r="J522" s="7">
        <f t="shared" si="376"/>
        <v>363.3648</v>
      </c>
      <c r="K522" s="7">
        <f t="shared" si="377"/>
        <v>8.2636</v>
      </c>
      <c r="L522" s="7">
        <f t="shared" si="378"/>
        <v>1392.58516</v>
      </c>
      <c r="M522" s="7">
        <f t="shared" si="379"/>
        <v>292.4428836</v>
      </c>
      <c r="N522" s="7">
        <f t="shared" si="380"/>
        <v>1685.028044</v>
      </c>
    </row>
    <row r="523" ht="15.75" hidden="1" customHeight="1">
      <c r="A523" s="5" t="s">
        <v>31</v>
      </c>
      <c r="B523" s="14">
        <v>55428.0</v>
      </c>
      <c r="C523" s="12">
        <v>56847.0</v>
      </c>
      <c r="D523" s="5">
        <f t="shared" si="371"/>
        <v>1.419</v>
      </c>
      <c r="E523" s="5">
        <f t="shared" si="381"/>
        <v>39.14</v>
      </c>
      <c r="F523" s="5">
        <v>55.0</v>
      </c>
      <c r="G523" s="7">
        <f t="shared" si="373"/>
        <v>3660.05508</v>
      </c>
      <c r="H523" s="7">
        <f t="shared" si="374"/>
        <v>141.48849</v>
      </c>
      <c r="I523" s="7">
        <f t="shared" si="375"/>
        <v>702.405</v>
      </c>
      <c r="J523" s="7">
        <f t="shared" si="376"/>
        <v>1765.8036</v>
      </c>
      <c r="K523" s="7">
        <f t="shared" si="377"/>
        <v>40.1577</v>
      </c>
      <c r="L523" s="13">
        <f t="shared" si="378"/>
        <v>6404.04987</v>
      </c>
      <c r="M523" s="7">
        <f t="shared" si="379"/>
        <v>1344.850473</v>
      </c>
      <c r="N523" s="7">
        <f t="shared" si="380"/>
        <v>7748.900343</v>
      </c>
    </row>
    <row r="524" ht="15.75" hidden="1" customHeight="1">
      <c r="A524" s="5"/>
      <c r="C524" s="4"/>
      <c r="D524" s="5"/>
      <c r="G524" s="5"/>
      <c r="L524" s="18">
        <f>SUM(L513:L523)</f>
        <v>18869.33848</v>
      </c>
      <c r="M524" s="19">
        <f t="shared" si="379"/>
        <v>3962.561081</v>
      </c>
      <c r="N524" s="20">
        <f t="shared" si="380"/>
        <v>22831.89956</v>
      </c>
    </row>
    <row r="525" ht="15.75" hidden="1" customHeight="1">
      <c r="A525" s="5"/>
      <c r="C525" s="4"/>
      <c r="D525" s="5">
        <f>SUM(D513:D523)</f>
        <v>3.976</v>
      </c>
      <c r="G525" s="5"/>
    </row>
    <row r="526" ht="15.75" hidden="1" customHeight="1">
      <c r="A526" s="5"/>
      <c r="C526" s="4"/>
      <c r="D526" s="5"/>
      <c r="G526" s="5"/>
    </row>
    <row r="527" ht="15.75" hidden="1" customHeight="1">
      <c r="A527" s="5"/>
      <c r="C527" s="4"/>
      <c r="D527" s="5"/>
      <c r="G527" s="5"/>
    </row>
    <row r="528" ht="15.75" hidden="1" customHeight="1">
      <c r="A528" s="5" t="s">
        <v>58</v>
      </c>
      <c r="C528" s="4"/>
      <c r="D528" s="5"/>
      <c r="G528" s="5"/>
    </row>
    <row r="529" ht="15.75" hidden="1" customHeight="1">
      <c r="A529" s="5" t="s">
        <v>11</v>
      </c>
      <c r="B529" s="14">
        <v>3703.0</v>
      </c>
      <c r="C529" s="12">
        <v>3783.0</v>
      </c>
      <c r="D529" s="5">
        <f t="shared" ref="D529:D539" si="382">(C529-B529)/1000</f>
        <v>0.08</v>
      </c>
      <c r="E529" s="5">
        <f t="shared" ref="E529:E536" si="383">29.8+9.34</f>
        <v>39.14</v>
      </c>
      <c r="F529" s="5">
        <v>55.0</v>
      </c>
      <c r="G529" s="7">
        <f t="shared" ref="G529:G539" si="384">D529*$G$2</f>
        <v>206.3456</v>
      </c>
      <c r="H529" s="7">
        <f t="shared" ref="H529:H539" si="385">D529*$H$2</f>
        <v>7.9768</v>
      </c>
      <c r="I529" s="7">
        <f t="shared" ref="I529:I539" si="386">D529*$I$2</f>
        <v>39.6</v>
      </c>
      <c r="J529" s="7">
        <f t="shared" ref="J529:J539" si="387">D529*$J$2</f>
        <v>99.552</v>
      </c>
      <c r="K529" s="7">
        <f t="shared" ref="K529:K539" si="388">D529*$K$2</f>
        <v>2.264</v>
      </c>
      <c r="L529" s="7">
        <f t="shared" ref="L529:L539" si="389">SUM(E529:K529)</f>
        <v>449.8784</v>
      </c>
      <c r="M529" s="7">
        <f t="shared" ref="M529:M540" si="390">L529*0.21</f>
        <v>94.474464</v>
      </c>
      <c r="N529" s="7">
        <f t="shared" ref="N529:N540" si="391">L529+M529</f>
        <v>544.352864</v>
      </c>
    </row>
    <row r="530" ht="15.75" hidden="1" customHeight="1">
      <c r="A530" s="5" t="s">
        <v>12</v>
      </c>
      <c r="B530" s="14">
        <v>2649.0</v>
      </c>
      <c r="C530" s="12">
        <v>2683.0</v>
      </c>
      <c r="D530" s="5">
        <f t="shared" si="382"/>
        <v>0.034</v>
      </c>
      <c r="E530" s="5">
        <f t="shared" si="383"/>
        <v>39.14</v>
      </c>
      <c r="F530" s="5">
        <v>55.0</v>
      </c>
      <c r="G530" s="7">
        <f t="shared" si="384"/>
        <v>87.69688</v>
      </c>
      <c r="H530" s="7">
        <f t="shared" si="385"/>
        <v>3.39014</v>
      </c>
      <c r="I530" s="7">
        <f t="shared" si="386"/>
        <v>16.83</v>
      </c>
      <c r="J530" s="7">
        <f t="shared" si="387"/>
        <v>42.3096</v>
      </c>
      <c r="K530" s="7">
        <f t="shared" si="388"/>
        <v>0.9622</v>
      </c>
      <c r="L530" s="7">
        <f t="shared" si="389"/>
        <v>245.32882</v>
      </c>
      <c r="M530" s="7">
        <f t="shared" si="390"/>
        <v>51.5190522</v>
      </c>
      <c r="N530" s="7">
        <f t="shared" si="391"/>
        <v>296.8478722</v>
      </c>
    </row>
    <row r="531" ht="15.75" hidden="1" customHeight="1">
      <c r="A531" s="5" t="s">
        <v>13</v>
      </c>
      <c r="B531" s="14">
        <v>3395.0</v>
      </c>
      <c r="C531" s="12">
        <v>3465.0</v>
      </c>
      <c r="D531" s="5">
        <f t="shared" si="382"/>
        <v>0.07</v>
      </c>
      <c r="E531" s="5">
        <f t="shared" si="383"/>
        <v>39.14</v>
      </c>
      <c r="F531" s="5">
        <v>55.0</v>
      </c>
      <c r="G531" s="7">
        <f t="shared" si="384"/>
        <v>180.5524</v>
      </c>
      <c r="H531" s="7">
        <f t="shared" si="385"/>
        <v>6.9797</v>
      </c>
      <c r="I531" s="7">
        <f t="shared" si="386"/>
        <v>34.65</v>
      </c>
      <c r="J531" s="7">
        <f t="shared" si="387"/>
        <v>87.108</v>
      </c>
      <c r="K531" s="7">
        <f t="shared" si="388"/>
        <v>1.981</v>
      </c>
      <c r="L531" s="7">
        <f t="shared" si="389"/>
        <v>405.4111</v>
      </c>
      <c r="M531" s="7">
        <f t="shared" si="390"/>
        <v>85.136331</v>
      </c>
      <c r="N531" s="7">
        <f t="shared" si="391"/>
        <v>490.547431</v>
      </c>
    </row>
    <row r="532" ht="15.75" hidden="1" customHeight="1">
      <c r="A532" s="5" t="s">
        <v>14</v>
      </c>
      <c r="B532" s="14">
        <v>2757.0</v>
      </c>
      <c r="C532" s="12">
        <v>2867.0</v>
      </c>
      <c r="D532" s="5">
        <f t="shared" si="382"/>
        <v>0.11</v>
      </c>
      <c r="E532" s="5">
        <f t="shared" si="383"/>
        <v>39.14</v>
      </c>
      <c r="F532" s="5">
        <v>55.0</v>
      </c>
      <c r="G532" s="7">
        <f t="shared" si="384"/>
        <v>283.7252</v>
      </c>
      <c r="H532" s="7">
        <f t="shared" si="385"/>
        <v>10.9681</v>
      </c>
      <c r="I532" s="7">
        <f t="shared" si="386"/>
        <v>54.45</v>
      </c>
      <c r="J532" s="7">
        <f t="shared" si="387"/>
        <v>136.884</v>
      </c>
      <c r="K532" s="7">
        <f t="shared" si="388"/>
        <v>3.113</v>
      </c>
      <c r="L532" s="7">
        <f t="shared" si="389"/>
        <v>583.2803</v>
      </c>
      <c r="M532" s="7">
        <f t="shared" si="390"/>
        <v>122.488863</v>
      </c>
      <c r="N532" s="7">
        <f t="shared" si="391"/>
        <v>705.769163</v>
      </c>
    </row>
    <row r="533" ht="15.75" hidden="1" customHeight="1">
      <c r="A533" s="5" t="s">
        <v>15</v>
      </c>
      <c r="B533" s="14">
        <v>3063.0</v>
      </c>
      <c r="C533" s="12">
        <v>3111.0</v>
      </c>
      <c r="D533" s="5">
        <f t="shared" si="382"/>
        <v>0.048</v>
      </c>
      <c r="E533" s="5">
        <f t="shared" si="383"/>
        <v>39.14</v>
      </c>
      <c r="F533" s="5">
        <v>55.0</v>
      </c>
      <c r="G533" s="7">
        <f t="shared" si="384"/>
        <v>123.80736</v>
      </c>
      <c r="H533" s="7">
        <f t="shared" si="385"/>
        <v>4.78608</v>
      </c>
      <c r="I533" s="7">
        <f t="shared" si="386"/>
        <v>23.76</v>
      </c>
      <c r="J533" s="7">
        <f t="shared" si="387"/>
        <v>59.7312</v>
      </c>
      <c r="K533" s="7">
        <f t="shared" si="388"/>
        <v>1.3584</v>
      </c>
      <c r="L533" s="7">
        <f t="shared" si="389"/>
        <v>307.58304</v>
      </c>
      <c r="M533" s="7">
        <f t="shared" si="390"/>
        <v>64.5924384</v>
      </c>
      <c r="N533" s="7">
        <f t="shared" si="391"/>
        <v>372.1754784</v>
      </c>
    </row>
    <row r="534" ht="15.75" hidden="1" customHeight="1">
      <c r="A534" s="5" t="s">
        <v>16</v>
      </c>
      <c r="B534" s="14">
        <v>2358.0</v>
      </c>
      <c r="C534" s="12">
        <v>2409.0</v>
      </c>
      <c r="D534" s="5">
        <f t="shared" si="382"/>
        <v>0.051</v>
      </c>
      <c r="E534" s="5">
        <f t="shared" si="383"/>
        <v>39.14</v>
      </c>
      <c r="F534" s="5">
        <v>55.0</v>
      </c>
      <c r="G534" s="7">
        <f t="shared" si="384"/>
        <v>131.54532</v>
      </c>
      <c r="H534" s="7">
        <f t="shared" si="385"/>
        <v>5.08521</v>
      </c>
      <c r="I534" s="7">
        <f t="shared" si="386"/>
        <v>25.245</v>
      </c>
      <c r="J534" s="7">
        <f t="shared" si="387"/>
        <v>63.4644</v>
      </c>
      <c r="K534" s="7">
        <f t="shared" si="388"/>
        <v>1.4433</v>
      </c>
      <c r="L534" s="7">
        <f t="shared" si="389"/>
        <v>320.92323</v>
      </c>
      <c r="M534" s="7">
        <f t="shared" si="390"/>
        <v>67.3938783</v>
      </c>
      <c r="N534" s="7">
        <f t="shared" si="391"/>
        <v>388.3171083</v>
      </c>
    </row>
    <row r="535" ht="15.75" hidden="1" customHeight="1">
      <c r="A535" s="5" t="s">
        <v>17</v>
      </c>
      <c r="B535" s="14">
        <v>2714.0</v>
      </c>
      <c r="C535" s="12">
        <v>2776.0</v>
      </c>
      <c r="D535" s="5">
        <f t="shared" si="382"/>
        <v>0.062</v>
      </c>
      <c r="E535" s="5">
        <f t="shared" si="383"/>
        <v>39.14</v>
      </c>
      <c r="F535" s="5">
        <v>55.0</v>
      </c>
      <c r="G535" s="7">
        <f t="shared" si="384"/>
        <v>159.91784</v>
      </c>
      <c r="H535" s="7">
        <f t="shared" si="385"/>
        <v>6.18202</v>
      </c>
      <c r="I535" s="7">
        <f t="shared" si="386"/>
        <v>30.69</v>
      </c>
      <c r="J535" s="7">
        <f t="shared" si="387"/>
        <v>77.1528</v>
      </c>
      <c r="K535" s="7">
        <f t="shared" si="388"/>
        <v>1.7546</v>
      </c>
      <c r="L535" s="7">
        <f t="shared" si="389"/>
        <v>369.83726</v>
      </c>
      <c r="M535" s="7">
        <f t="shared" si="390"/>
        <v>77.6658246</v>
      </c>
      <c r="N535" s="7">
        <f t="shared" si="391"/>
        <v>447.5030846</v>
      </c>
    </row>
    <row r="536" ht="15.75" hidden="1" customHeight="1">
      <c r="A536" s="5" t="s">
        <v>18</v>
      </c>
      <c r="B536" s="14">
        <v>2666.0</v>
      </c>
      <c r="C536" s="12">
        <v>2723.0</v>
      </c>
      <c r="D536" s="5">
        <f t="shared" si="382"/>
        <v>0.057</v>
      </c>
      <c r="E536" s="5">
        <f t="shared" si="383"/>
        <v>39.14</v>
      </c>
      <c r="F536" s="5">
        <v>55.0</v>
      </c>
      <c r="G536" s="7">
        <f t="shared" si="384"/>
        <v>147.02124</v>
      </c>
      <c r="H536" s="7">
        <f t="shared" si="385"/>
        <v>5.68347</v>
      </c>
      <c r="I536" s="7">
        <f t="shared" si="386"/>
        <v>28.215</v>
      </c>
      <c r="J536" s="7">
        <f t="shared" si="387"/>
        <v>70.9308</v>
      </c>
      <c r="K536" s="7">
        <f t="shared" si="388"/>
        <v>1.6131</v>
      </c>
      <c r="L536" s="7">
        <f t="shared" si="389"/>
        <v>347.60361</v>
      </c>
      <c r="M536" s="7">
        <f t="shared" si="390"/>
        <v>72.9967581</v>
      </c>
      <c r="N536" s="7">
        <f t="shared" si="391"/>
        <v>420.6003681</v>
      </c>
    </row>
    <row r="537" ht="15.75" hidden="1" customHeight="1">
      <c r="A537" s="5" t="s">
        <v>19</v>
      </c>
      <c r="B537" s="14">
        <v>81736.0</v>
      </c>
      <c r="C537" s="12">
        <v>83030.0</v>
      </c>
      <c r="D537" s="5">
        <f t="shared" si="382"/>
        <v>1.294</v>
      </c>
      <c r="E537" s="5">
        <v>169.69</v>
      </c>
      <c r="F537" s="5">
        <v>78.05</v>
      </c>
      <c r="G537" s="7">
        <f t="shared" si="384"/>
        <v>3337.64008</v>
      </c>
      <c r="H537" s="7">
        <f t="shared" si="385"/>
        <v>129.02474</v>
      </c>
      <c r="I537" s="7">
        <f t="shared" si="386"/>
        <v>640.53</v>
      </c>
      <c r="J537" s="7">
        <f t="shared" si="387"/>
        <v>1610.2536</v>
      </c>
      <c r="K537" s="7">
        <f t="shared" si="388"/>
        <v>36.6202</v>
      </c>
      <c r="L537" s="7">
        <f t="shared" si="389"/>
        <v>6001.80862</v>
      </c>
      <c r="M537" s="7">
        <f t="shared" si="390"/>
        <v>1260.37981</v>
      </c>
      <c r="N537" s="7">
        <f t="shared" si="391"/>
        <v>7262.18843</v>
      </c>
    </row>
    <row r="538" ht="15.75" hidden="1" customHeight="1">
      <c r="A538" s="5" t="s">
        <v>30</v>
      </c>
      <c r="B538" s="14">
        <v>11970.0</v>
      </c>
      <c r="C538" s="12">
        <v>12169.0</v>
      </c>
      <c r="D538" s="5">
        <f t="shared" si="382"/>
        <v>0.199</v>
      </c>
      <c r="E538" s="5">
        <f t="shared" ref="E538:E539" si="392">29.8+9.34</f>
        <v>39.14</v>
      </c>
      <c r="F538" s="5">
        <v>55.0</v>
      </c>
      <c r="G538" s="7">
        <f t="shared" si="384"/>
        <v>513.28468</v>
      </c>
      <c r="H538" s="7">
        <f t="shared" si="385"/>
        <v>19.84229</v>
      </c>
      <c r="I538" s="7">
        <f t="shared" si="386"/>
        <v>98.505</v>
      </c>
      <c r="J538" s="7">
        <f t="shared" si="387"/>
        <v>247.6356</v>
      </c>
      <c r="K538" s="7">
        <f t="shared" si="388"/>
        <v>5.6317</v>
      </c>
      <c r="L538" s="7">
        <f t="shared" si="389"/>
        <v>979.03927</v>
      </c>
      <c r="M538" s="7">
        <f t="shared" si="390"/>
        <v>205.5982467</v>
      </c>
      <c r="N538" s="7">
        <f t="shared" si="391"/>
        <v>1184.637517</v>
      </c>
    </row>
    <row r="539" ht="15.75" hidden="1" customHeight="1">
      <c r="A539" s="5" t="s">
        <v>31</v>
      </c>
      <c r="B539" s="14">
        <v>56847.0</v>
      </c>
      <c r="C539" s="12">
        <v>57848.0</v>
      </c>
      <c r="D539" s="5">
        <f t="shared" si="382"/>
        <v>1.001</v>
      </c>
      <c r="E539" s="5">
        <f t="shared" si="392"/>
        <v>39.14</v>
      </c>
      <c r="F539" s="5">
        <v>55.0</v>
      </c>
      <c r="G539" s="7">
        <f t="shared" si="384"/>
        <v>2581.89932</v>
      </c>
      <c r="H539" s="7">
        <f t="shared" si="385"/>
        <v>99.80971</v>
      </c>
      <c r="I539" s="7">
        <f t="shared" si="386"/>
        <v>495.495</v>
      </c>
      <c r="J539" s="7">
        <f t="shared" si="387"/>
        <v>1245.6444</v>
      </c>
      <c r="K539" s="7">
        <f t="shared" si="388"/>
        <v>28.3283</v>
      </c>
      <c r="L539" s="13">
        <f t="shared" si="389"/>
        <v>4545.31673</v>
      </c>
      <c r="M539" s="7">
        <f t="shared" si="390"/>
        <v>954.5165133</v>
      </c>
      <c r="N539" s="7">
        <f t="shared" si="391"/>
        <v>5499.833243</v>
      </c>
    </row>
    <row r="540" ht="15.75" hidden="1" customHeight="1">
      <c r="A540" s="5"/>
      <c r="C540" s="4"/>
      <c r="D540" s="5"/>
      <c r="G540" s="5"/>
      <c r="L540" s="18">
        <f>SUM(L529:L539)</f>
        <v>14556.01038</v>
      </c>
      <c r="M540" s="19">
        <f t="shared" si="390"/>
        <v>3056.76218</v>
      </c>
      <c r="N540" s="20">
        <f t="shared" si="391"/>
        <v>17612.77256</v>
      </c>
    </row>
    <row r="541" ht="15.75" hidden="1" customHeight="1">
      <c r="A541" s="5"/>
      <c r="C541" s="4"/>
      <c r="D541" s="5">
        <f>SUM(D529:D539)</f>
        <v>3.006</v>
      </c>
      <c r="G541" s="5"/>
    </row>
    <row r="542" ht="15.75" hidden="1" customHeight="1">
      <c r="A542" s="5"/>
      <c r="C542" s="4"/>
      <c r="D542" s="5"/>
      <c r="G542" s="5"/>
    </row>
    <row r="543" ht="15.75" hidden="1" customHeight="1">
      <c r="A543" s="5"/>
      <c r="C543" s="4"/>
      <c r="D543" s="5"/>
      <c r="G543" s="5"/>
    </row>
    <row r="544" ht="15.75" hidden="1" customHeight="1">
      <c r="A544" s="5"/>
      <c r="C544" s="4"/>
      <c r="D544" s="5"/>
      <c r="G544" s="5"/>
    </row>
    <row r="545" ht="15.75" hidden="1" customHeight="1">
      <c r="A545" s="5" t="s">
        <v>59</v>
      </c>
      <c r="C545" s="4"/>
      <c r="D545" s="5"/>
      <c r="G545" s="5"/>
    </row>
    <row r="546" ht="15.75" hidden="1" customHeight="1">
      <c r="A546" s="5" t="s">
        <v>11</v>
      </c>
      <c r="B546" s="14">
        <v>3783.0</v>
      </c>
      <c r="C546" s="12">
        <v>3880.0</v>
      </c>
      <c r="D546" s="5">
        <f t="shared" ref="D546:D556" si="393">(C546-B546)/1000</f>
        <v>0.097</v>
      </c>
      <c r="E546" s="5">
        <f t="shared" ref="E546:E553" si="394">29.8+9.34</f>
        <v>39.14</v>
      </c>
      <c r="F546" s="5">
        <v>55.0</v>
      </c>
      <c r="G546" s="7">
        <f t="shared" ref="G546:G556" si="395">D546*$G$2</f>
        <v>250.19404</v>
      </c>
      <c r="H546" s="7">
        <f t="shared" ref="H546:H556" si="396">D546*$H$2</f>
        <v>9.67187</v>
      </c>
      <c r="I546" s="7">
        <f t="shared" ref="I546:I556" si="397">D546*$I$2</f>
        <v>48.015</v>
      </c>
      <c r="J546" s="7">
        <f t="shared" ref="J546:J556" si="398">D546*$J$2</f>
        <v>120.7068</v>
      </c>
      <c r="K546" s="7">
        <f t="shared" ref="K546:K556" si="399">D546*$K$2</f>
        <v>2.7451</v>
      </c>
      <c r="L546" s="7">
        <f t="shared" ref="L546:L556" si="400">SUM(E546:K546)</f>
        <v>525.47281</v>
      </c>
      <c r="M546" s="7">
        <f t="shared" ref="M546:M557" si="401">L546*0.21</f>
        <v>110.3492901</v>
      </c>
      <c r="N546" s="7">
        <f t="shared" ref="N546:N557" si="402">L546+M546</f>
        <v>635.8221001</v>
      </c>
    </row>
    <row r="547" ht="15.75" hidden="1" customHeight="1">
      <c r="A547" s="5" t="s">
        <v>12</v>
      </c>
      <c r="B547" s="14">
        <v>2683.0</v>
      </c>
      <c r="C547" s="12">
        <v>2760.0</v>
      </c>
      <c r="D547" s="5">
        <f t="shared" si="393"/>
        <v>0.077</v>
      </c>
      <c r="E547" s="5">
        <f t="shared" si="394"/>
        <v>39.14</v>
      </c>
      <c r="F547" s="5">
        <v>55.0</v>
      </c>
      <c r="G547" s="7">
        <f t="shared" si="395"/>
        <v>198.60764</v>
      </c>
      <c r="H547" s="7">
        <f t="shared" si="396"/>
        <v>7.67767</v>
      </c>
      <c r="I547" s="7">
        <f t="shared" si="397"/>
        <v>38.115</v>
      </c>
      <c r="J547" s="7">
        <f t="shared" si="398"/>
        <v>95.8188</v>
      </c>
      <c r="K547" s="7">
        <f t="shared" si="399"/>
        <v>2.1791</v>
      </c>
      <c r="L547" s="7">
        <f t="shared" si="400"/>
        <v>436.53821</v>
      </c>
      <c r="M547" s="7">
        <f t="shared" si="401"/>
        <v>91.6730241</v>
      </c>
      <c r="N547" s="7">
        <f t="shared" si="402"/>
        <v>528.2112341</v>
      </c>
    </row>
    <row r="548" ht="15.75" hidden="1" customHeight="1">
      <c r="A548" s="5" t="s">
        <v>13</v>
      </c>
      <c r="B548" s="14">
        <v>3465.0</v>
      </c>
      <c r="C548" s="12">
        <v>3584.0</v>
      </c>
      <c r="D548" s="5">
        <f t="shared" si="393"/>
        <v>0.119</v>
      </c>
      <c r="E548" s="5">
        <f t="shared" si="394"/>
        <v>39.14</v>
      </c>
      <c r="F548" s="5">
        <v>55.0</v>
      </c>
      <c r="G548" s="7">
        <f t="shared" si="395"/>
        <v>306.93908</v>
      </c>
      <c r="H548" s="7">
        <f t="shared" si="396"/>
        <v>11.86549</v>
      </c>
      <c r="I548" s="7">
        <f t="shared" si="397"/>
        <v>58.905</v>
      </c>
      <c r="J548" s="7">
        <f t="shared" si="398"/>
        <v>148.0836</v>
      </c>
      <c r="K548" s="7">
        <f t="shared" si="399"/>
        <v>3.3677</v>
      </c>
      <c r="L548" s="7">
        <f t="shared" si="400"/>
        <v>623.30087</v>
      </c>
      <c r="M548" s="7">
        <f t="shared" si="401"/>
        <v>130.8931827</v>
      </c>
      <c r="N548" s="7">
        <f t="shared" si="402"/>
        <v>754.1940527</v>
      </c>
    </row>
    <row r="549" ht="15.75" hidden="1" customHeight="1">
      <c r="A549" s="5" t="s">
        <v>14</v>
      </c>
      <c r="B549" s="14">
        <v>2867.0</v>
      </c>
      <c r="C549" s="12">
        <v>2929.0</v>
      </c>
      <c r="D549" s="5">
        <f t="shared" si="393"/>
        <v>0.062</v>
      </c>
      <c r="E549" s="5">
        <f t="shared" si="394"/>
        <v>39.14</v>
      </c>
      <c r="F549" s="5">
        <v>55.0</v>
      </c>
      <c r="G549" s="7">
        <f t="shared" si="395"/>
        <v>159.91784</v>
      </c>
      <c r="H549" s="7">
        <f t="shared" si="396"/>
        <v>6.18202</v>
      </c>
      <c r="I549" s="7">
        <f t="shared" si="397"/>
        <v>30.69</v>
      </c>
      <c r="J549" s="7">
        <f t="shared" si="398"/>
        <v>77.1528</v>
      </c>
      <c r="K549" s="7">
        <f t="shared" si="399"/>
        <v>1.7546</v>
      </c>
      <c r="L549" s="7">
        <f t="shared" si="400"/>
        <v>369.83726</v>
      </c>
      <c r="M549" s="7">
        <f t="shared" si="401"/>
        <v>77.6658246</v>
      </c>
      <c r="N549" s="7">
        <f t="shared" si="402"/>
        <v>447.5030846</v>
      </c>
    </row>
    <row r="550" ht="15.75" hidden="1" customHeight="1">
      <c r="A550" s="5" t="s">
        <v>15</v>
      </c>
      <c r="B550" s="14">
        <v>3111.0</v>
      </c>
      <c r="C550" s="12">
        <v>3208.0</v>
      </c>
      <c r="D550" s="5">
        <f t="shared" si="393"/>
        <v>0.097</v>
      </c>
      <c r="E550" s="5">
        <f t="shared" si="394"/>
        <v>39.14</v>
      </c>
      <c r="F550" s="5">
        <v>55.0</v>
      </c>
      <c r="G550" s="7">
        <f t="shared" si="395"/>
        <v>250.19404</v>
      </c>
      <c r="H550" s="7">
        <f t="shared" si="396"/>
        <v>9.67187</v>
      </c>
      <c r="I550" s="7">
        <f t="shared" si="397"/>
        <v>48.015</v>
      </c>
      <c r="J550" s="7">
        <f t="shared" si="398"/>
        <v>120.7068</v>
      </c>
      <c r="K550" s="7">
        <f t="shared" si="399"/>
        <v>2.7451</v>
      </c>
      <c r="L550" s="7">
        <f t="shared" si="400"/>
        <v>525.47281</v>
      </c>
      <c r="M550" s="7">
        <f t="shared" si="401"/>
        <v>110.3492901</v>
      </c>
      <c r="N550" s="7">
        <f t="shared" si="402"/>
        <v>635.8221001</v>
      </c>
    </row>
    <row r="551" ht="15.75" hidden="1" customHeight="1">
      <c r="A551" s="5" t="s">
        <v>16</v>
      </c>
      <c r="B551" s="14">
        <v>2409.0</v>
      </c>
      <c r="C551" s="12">
        <v>2463.0</v>
      </c>
      <c r="D551" s="5">
        <f t="shared" si="393"/>
        <v>0.054</v>
      </c>
      <c r="E551" s="5">
        <f t="shared" si="394"/>
        <v>39.14</v>
      </c>
      <c r="F551" s="5">
        <v>55.0</v>
      </c>
      <c r="G551" s="7">
        <f t="shared" si="395"/>
        <v>139.28328</v>
      </c>
      <c r="H551" s="7">
        <f t="shared" si="396"/>
        <v>5.38434</v>
      </c>
      <c r="I551" s="7">
        <f t="shared" si="397"/>
        <v>26.73</v>
      </c>
      <c r="J551" s="7">
        <f t="shared" si="398"/>
        <v>67.1976</v>
      </c>
      <c r="K551" s="7">
        <f t="shared" si="399"/>
        <v>1.5282</v>
      </c>
      <c r="L551" s="7">
        <f t="shared" si="400"/>
        <v>334.26342</v>
      </c>
      <c r="M551" s="7">
        <f t="shared" si="401"/>
        <v>70.1953182</v>
      </c>
      <c r="N551" s="7">
        <f t="shared" si="402"/>
        <v>404.4587382</v>
      </c>
    </row>
    <row r="552" ht="15.75" hidden="1" customHeight="1">
      <c r="A552" s="5" t="s">
        <v>17</v>
      </c>
      <c r="B552" s="14">
        <v>2776.0</v>
      </c>
      <c r="C552" s="12">
        <v>2862.0</v>
      </c>
      <c r="D552" s="5">
        <f t="shared" si="393"/>
        <v>0.086</v>
      </c>
      <c r="E552" s="5">
        <f t="shared" si="394"/>
        <v>39.14</v>
      </c>
      <c r="F552" s="5">
        <v>55.0</v>
      </c>
      <c r="G552" s="7">
        <f t="shared" si="395"/>
        <v>221.82152</v>
      </c>
      <c r="H552" s="7">
        <f t="shared" si="396"/>
        <v>8.57506</v>
      </c>
      <c r="I552" s="7">
        <f t="shared" si="397"/>
        <v>42.57</v>
      </c>
      <c r="J552" s="7">
        <f t="shared" si="398"/>
        <v>107.0184</v>
      </c>
      <c r="K552" s="7">
        <f t="shared" si="399"/>
        <v>2.4338</v>
      </c>
      <c r="L552" s="7">
        <f t="shared" si="400"/>
        <v>476.55878</v>
      </c>
      <c r="M552" s="7">
        <f t="shared" si="401"/>
        <v>100.0773438</v>
      </c>
      <c r="N552" s="7">
        <f t="shared" si="402"/>
        <v>576.6361238</v>
      </c>
    </row>
    <row r="553" ht="15.75" hidden="1" customHeight="1">
      <c r="A553" s="5" t="s">
        <v>18</v>
      </c>
      <c r="B553" s="14">
        <v>2723.0</v>
      </c>
      <c r="C553" s="12">
        <v>2786.0</v>
      </c>
      <c r="D553" s="5">
        <f t="shared" si="393"/>
        <v>0.063</v>
      </c>
      <c r="E553" s="5">
        <f t="shared" si="394"/>
        <v>39.14</v>
      </c>
      <c r="F553" s="5">
        <v>55.0</v>
      </c>
      <c r="G553" s="7">
        <f t="shared" si="395"/>
        <v>162.49716</v>
      </c>
      <c r="H553" s="7">
        <f t="shared" si="396"/>
        <v>6.28173</v>
      </c>
      <c r="I553" s="7">
        <f t="shared" si="397"/>
        <v>31.185</v>
      </c>
      <c r="J553" s="7">
        <f t="shared" si="398"/>
        <v>78.3972</v>
      </c>
      <c r="K553" s="7">
        <f t="shared" si="399"/>
        <v>1.7829</v>
      </c>
      <c r="L553" s="7">
        <f t="shared" si="400"/>
        <v>374.28399</v>
      </c>
      <c r="M553" s="7">
        <f t="shared" si="401"/>
        <v>78.5996379</v>
      </c>
      <c r="N553" s="7">
        <f t="shared" si="402"/>
        <v>452.8836279</v>
      </c>
    </row>
    <row r="554" ht="15.75" hidden="1" customHeight="1">
      <c r="A554" s="5" t="s">
        <v>19</v>
      </c>
      <c r="B554" s="14">
        <v>83030.0</v>
      </c>
      <c r="C554" s="12">
        <v>84618.0</v>
      </c>
      <c r="D554" s="5">
        <f t="shared" si="393"/>
        <v>1.588</v>
      </c>
      <c r="E554" s="5">
        <v>169.69</v>
      </c>
      <c r="F554" s="5">
        <v>78.05</v>
      </c>
      <c r="G554" s="7">
        <f t="shared" si="395"/>
        <v>4095.96016</v>
      </c>
      <c r="H554" s="7">
        <f t="shared" si="396"/>
        <v>158.33948</v>
      </c>
      <c r="I554" s="7">
        <f t="shared" si="397"/>
        <v>786.06</v>
      </c>
      <c r="J554" s="7">
        <f t="shared" si="398"/>
        <v>1976.1072</v>
      </c>
      <c r="K554" s="7">
        <f t="shared" si="399"/>
        <v>44.9404</v>
      </c>
      <c r="L554" s="7">
        <f t="shared" si="400"/>
        <v>7309.14724</v>
      </c>
      <c r="M554" s="7">
        <f t="shared" si="401"/>
        <v>1534.92092</v>
      </c>
      <c r="N554" s="7">
        <f t="shared" si="402"/>
        <v>8844.06816</v>
      </c>
    </row>
    <row r="555" ht="15.75" hidden="1" customHeight="1">
      <c r="A555" s="5" t="s">
        <v>30</v>
      </c>
      <c r="B555" s="14">
        <v>12169.0</v>
      </c>
      <c r="C555" s="12">
        <v>12407.0</v>
      </c>
      <c r="D555" s="5">
        <f t="shared" si="393"/>
        <v>0.238</v>
      </c>
      <c r="E555" s="5">
        <f t="shared" ref="E555:E556" si="403">29.8+9.34</f>
        <v>39.14</v>
      </c>
      <c r="F555" s="5">
        <v>55.0</v>
      </c>
      <c r="G555" s="7">
        <f t="shared" si="395"/>
        <v>613.87816</v>
      </c>
      <c r="H555" s="7">
        <f t="shared" si="396"/>
        <v>23.73098</v>
      </c>
      <c r="I555" s="7">
        <f t="shared" si="397"/>
        <v>117.81</v>
      </c>
      <c r="J555" s="7">
        <f t="shared" si="398"/>
        <v>296.1672</v>
      </c>
      <c r="K555" s="7">
        <f t="shared" si="399"/>
        <v>6.7354</v>
      </c>
      <c r="L555" s="7">
        <f t="shared" si="400"/>
        <v>1152.46174</v>
      </c>
      <c r="M555" s="7">
        <f t="shared" si="401"/>
        <v>242.0169654</v>
      </c>
      <c r="N555" s="7">
        <f t="shared" si="402"/>
        <v>1394.478705</v>
      </c>
    </row>
    <row r="556" ht="15.75" hidden="1" customHeight="1">
      <c r="A556" s="5" t="s">
        <v>31</v>
      </c>
      <c r="B556" s="14">
        <v>57848.0</v>
      </c>
      <c r="C556" s="12">
        <v>59045.0</v>
      </c>
      <c r="D556" s="5">
        <f t="shared" si="393"/>
        <v>1.197</v>
      </c>
      <c r="E556" s="5">
        <f t="shared" si="403"/>
        <v>39.14</v>
      </c>
      <c r="F556" s="5">
        <v>55.0</v>
      </c>
      <c r="G556" s="7">
        <f t="shared" si="395"/>
        <v>3087.44604</v>
      </c>
      <c r="H556" s="7">
        <f t="shared" si="396"/>
        <v>119.35287</v>
      </c>
      <c r="I556" s="7">
        <f t="shared" si="397"/>
        <v>592.515</v>
      </c>
      <c r="J556" s="7">
        <f t="shared" si="398"/>
        <v>1489.5468</v>
      </c>
      <c r="K556" s="7">
        <f t="shared" si="399"/>
        <v>33.8751</v>
      </c>
      <c r="L556" s="13">
        <f t="shared" si="400"/>
        <v>5416.87581</v>
      </c>
      <c r="M556" s="7">
        <f t="shared" si="401"/>
        <v>1137.54392</v>
      </c>
      <c r="N556" s="7">
        <f t="shared" si="402"/>
        <v>6554.41973</v>
      </c>
    </row>
    <row r="557" ht="15.75" hidden="1" customHeight="1">
      <c r="A557" s="5"/>
      <c r="C557" s="4"/>
      <c r="D557" s="5"/>
      <c r="G557" s="5"/>
      <c r="L557" s="18">
        <f>SUM(L546:L556)</f>
        <v>17544.21294</v>
      </c>
      <c r="M557" s="19">
        <f t="shared" si="401"/>
        <v>3684.284717</v>
      </c>
      <c r="N557" s="20">
        <f t="shared" si="402"/>
        <v>21228.49766</v>
      </c>
    </row>
    <row r="558" ht="15.75" hidden="1" customHeight="1">
      <c r="A558" s="5"/>
      <c r="C558" s="4"/>
      <c r="D558" s="5">
        <f>SUM(D546:D556)</f>
        <v>3.678</v>
      </c>
      <c r="G558" s="5"/>
    </row>
    <row r="559" ht="15.75" hidden="1" customHeight="1">
      <c r="A559" s="5"/>
      <c r="C559" s="4"/>
      <c r="D559" s="5"/>
      <c r="G559" s="5"/>
    </row>
    <row r="560" ht="15.75" hidden="1" customHeight="1">
      <c r="A560" s="5"/>
      <c r="C560" s="4"/>
      <c r="D560" s="5"/>
      <c r="G560" s="5"/>
    </row>
    <row r="561" ht="15.75" hidden="1" customHeight="1">
      <c r="A561" s="5"/>
      <c r="C561" s="4"/>
      <c r="D561" s="5"/>
      <c r="G561" s="5"/>
    </row>
    <row r="562" ht="15.75" hidden="1" customHeight="1">
      <c r="A562" s="5" t="s">
        <v>21</v>
      </c>
      <c r="C562" s="4"/>
      <c r="D562" s="5"/>
      <c r="G562" s="5"/>
    </row>
    <row r="563" ht="15.75" hidden="1" customHeight="1">
      <c r="A563" s="5" t="s">
        <v>11</v>
      </c>
      <c r="B563" s="14">
        <v>3880.0</v>
      </c>
      <c r="C563" s="12">
        <v>3976.0</v>
      </c>
      <c r="D563" s="5">
        <f t="shared" ref="D563:D573" si="404">(C563-B563)/1000</f>
        <v>0.096</v>
      </c>
      <c r="E563" s="5">
        <f t="shared" ref="E563:E570" si="405">29.8+9.34</f>
        <v>39.14</v>
      </c>
      <c r="F563" s="5">
        <v>55.0</v>
      </c>
      <c r="G563" s="7">
        <f t="shared" ref="G563:G573" si="406">D563*$G$2</f>
        <v>247.61472</v>
      </c>
      <c r="H563" s="7">
        <f t="shared" ref="H563:H573" si="407">D563*$H$2</f>
        <v>9.57216</v>
      </c>
      <c r="I563" s="7">
        <f t="shared" ref="I563:I573" si="408">D563*$I$2</f>
        <v>47.52</v>
      </c>
      <c r="J563" s="7">
        <f t="shared" ref="J563:J573" si="409">D563*$J$2</f>
        <v>119.4624</v>
      </c>
      <c r="K563" s="7">
        <f t="shared" ref="K563:K573" si="410">D563*$K$2</f>
        <v>2.7168</v>
      </c>
      <c r="L563" s="7">
        <f t="shared" ref="L563:L573" si="411">SUM(E563:K563)</f>
        <v>521.02608</v>
      </c>
      <c r="M563" s="7">
        <f t="shared" ref="M563:M574" si="412">L563*0.21</f>
        <v>109.4154768</v>
      </c>
      <c r="N563" s="7">
        <f t="shared" ref="N563:N574" si="413">L563+M563</f>
        <v>630.4415568</v>
      </c>
    </row>
    <row r="564" ht="15.75" hidden="1" customHeight="1">
      <c r="A564" s="5" t="s">
        <v>12</v>
      </c>
      <c r="B564" s="14">
        <v>2760.0</v>
      </c>
      <c r="C564" s="12">
        <v>2828.0</v>
      </c>
      <c r="D564" s="5">
        <f t="shared" si="404"/>
        <v>0.068</v>
      </c>
      <c r="E564" s="5">
        <f t="shared" si="405"/>
        <v>39.14</v>
      </c>
      <c r="F564" s="5">
        <v>55.0</v>
      </c>
      <c r="G564" s="7">
        <f t="shared" si="406"/>
        <v>175.39376</v>
      </c>
      <c r="H564" s="7">
        <f t="shared" si="407"/>
        <v>6.78028</v>
      </c>
      <c r="I564" s="7">
        <f t="shared" si="408"/>
        <v>33.66</v>
      </c>
      <c r="J564" s="7">
        <f t="shared" si="409"/>
        <v>84.6192</v>
      </c>
      <c r="K564" s="7">
        <f t="shared" si="410"/>
        <v>1.9244</v>
      </c>
      <c r="L564" s="7">
        <f t="shared" si="411"/>
        <v>396.51764</v>
      </c>
      <c r="M564" s="7">
        <f t="shared" si="412"/>
        <v>83.2687044</v>
      </c>
      <c r="N564" s="7">
        <f t="shared" si="413"/>
        <v>479.7863444</v>
      </c>
    </row>
    <row r="565" ht="15.75" hidden="1" customHeight="1">
      <c r="A565" s="5" t="s">
        <v>13</v>
      </c>
      <c r="B565" s="14">
        <v>3584.0</v>
      </c>
      <c r="C565" s="12">
        <v>3690.0</v>
      </c>
      <c r="D565" s="5">
        <f t="shared" si="404"/>
        <v>0.106</v>
      </c>
      <c r="E565" s="5">
        <f t="shared" si="405"/>
        <v>39.14</v>
      </c>
      <c r="F565" s="5">
        <v>55.0</v>
      </c>
      <c r="G565" s="7">
        <f t="shared" si="406"/>
        <v>273.40792</v>
      </c>
      <c r="H565" s="7">
        <f t="shared" si="407"/>
        <v>10.56926</v>
      </c>
      <c r="I565" s="7">
        <f t="shared" si="408"/>
        <v>52.47</v>
      </c>
      <c r="J565" s="7">
        <f t="shared" si="409"/>
        <v>131.9064</v>
      </c>
      <c r="K565" s="7">
        <f t="shared" si="410"/>
        <v>2.9998</v>
      </c>
      <c r="L565" s="7">
        <f t="shared" si="411"/>
        <v>565.49338</v>
      </c>
      <c r="M565" s="7">
        <f t="shared" si="412"/>
        <v>118.7536098</v>
      </c>
      <c r="N565" s="7">
        <f t="shared" si="413"/>
        <v>684.2469898</v>
      </c>
    </row>
    <row r="566" ht="15.75" hidden="1" customHeight="1">
      <c r="A566" s="5" t="s">
        <v>14</v>
      </c>
      <c r="B566" s="14">
        <v>2929.0</v>
      </c>
      <c r="C566" s="12">
        <v>2999.0</v>
      </c>
      <c r="D566" s="5">
        <f t="shared" si="404"/>
        <v>0.07</v>
      </c>
      <c r="E566" s="5">
        <f t="shared" si="405"/>
        <v>39.14</v>
      </c>
      <c r="F566" s="5">
        <v>55.0</v>
      </c>
      <c r="G566" s="7">
        <f t="shared" si="406"/>
        <v>180.5524</v>
      </c>
      <c r="H566" s="7">
        <f t="shared" si="407"/>
        <v>6.9797</v>
      </c>
      <c r="I566" s="7">
        <f t="shared" si="408"/>
        <v>34.65</v>
      </c>
      <c r="J566" s="7">
        <f t="shared" si="409"/>
        <v>87.108</v>
      </c>
      <c r="K566" s="7">
        <f t="shared" si="410"/>
        <v>1.981</v>
      </c>
      <c r="L566" s="7">
        <f t="shared" si="411"/>
        <v>405.4111</v>
      </c>
      <c r="M566" s="7">
        <f t="shared" si="412"/>
        <v>85.136331</v>
      </c>
      <c r="N566" s="7">
        <f t="shared" si="413"/>
        <v>490.547431</v>
      </c>
    </row>
    <row r="567" ht="15.75" hidden="1" customHeight="1">
      <c r="A567" s="5" t="s">
        <v>15</v>
      </c>
      <c r="B567" s="14">
        <v>3208.0</v>
      </c>
      <c r="C567" s="12">
        <v>3289.0</v>
      </c>
      <c r="D567" s="5">
        <f t="shared" si="404"/>
        <v>0.081</v>
      </c>
      <c r="E567" s="5">
        <f t="shared" si="405"/>
        <v>39.14</v>
      </c>
      <c r="F567" s="5">
        <v>55.0</v>
      </c>
      <c r="G567" s="7">
        <f t="shared" si="406"/>
        <v>208.92492</v>
      </c>
      <c r="H567" s="7">
        <f t="shared" si="407"/>
        <v>8.07651</v>
      </c>
      <c r="I567" s="7">
        <f t="shared" si="408"/>
        <v>40.095</v>
      </c>
      <c r="J567" s="7">
        <f t="shared" si="409"/>
        <v>100.7964</v>
      </c>
      <c r="K567" s="7">
        <f t="shared" si="410"/>
        <v>2.2923</v>
      </c>
      <c r="L567" s="7">
        <f t="shared" si="411"/>
        <v>454.32513</v>
      </c>
      <c r="M567" s="7">
        <f t="shared" si="412"/>
        <v>95.4082773</v>
      </c>
      <c r="N567" s="7">
        <f t="shared" si="413"/>
        <v>549.7334073</v>
      </c>
    </row>
    <row r="568" ht="15.75" hidden="1" customHeight="1">
      <c r="A568" s="5" t="s">
        <v>16</v>
      </c>
      <c r="B568" s="14">
        <v>2463.0</v>
      </c>
      <c r="C568" s="12">
        <v>2502.0</v>
      </c>
      <c r="D568" s="5">
        <f t="shared" si="404"/>
        <v>0.039</v>
      </c>
      <c r="E568" s="5">
        <f t="shared" si="405"/>
        <v>39.14</v>
      </c>
      <c r="F568" s="5">
        <v>55.0</v>
      </c>
      <c r="G568" s="7">
        <f t="shared" si="406"/>
        <v>100.59348</v>
      </c>
      <c r="H568" s="7">
        <f t="shared" si="407"/>
        <v>3.88869</v>
      </c>
      <c r="I568" s="7">
        <f t="shared" si="408"/>
        <v>19.305</v>
      </c>
      <c r="J568" s="7">
        <f t="shared" si="409"/>
        <v>48.5316</v>
      </c>
      <c r="K568" s="7">
        <f t="shared" si="410"/>
        <v>1.1037</v>
      </c>
      <c r="L568" s="7">
        <f t="shared" si="411"/>
        <v>267.56247</v>
      </c>
      <c r="M568" s="7">
        <f t="shared" si="412"/>
        <v>56.1881187</v>
      </c>
      <c r="N568" s="7">
        <f t="shared" si="413"/>
        <v>323.7505887</v>
      </c>
    </row>
    <row r="569" ht="15.75" hidden="1" customHeight="1">
      <c r="A569" s="5" t="s">
        <v>17</v>
      </c>
      <c r="B569" s="14">
        <v>2862.0</v>
      </c>
      <c r="C569" s="12">
        <v>2952.0</v>
      </c>
      <c r="D569" s="5">
        <f t="shared" si="404"/>
        <v>0.09</v>
      </c>
      <c r="E569" s="5">
        <f t="shared" si="405"/>
        <v>39.14</v>
      </c>
      <c r="F569" s="5">
        <v>55.0</v>
      </c>
      <c r="G569" s="7">
        <f t="shared" si="406"/>
        <v>232.1388</v>
      </c>
      <c r="H569" s="7">
        <f t="shared" si="407"/>
        <v>8.9739</v>
      </c>
      <c r="I569" s="7">
        <f t="shared" si="408"/>
        <v>44.55</v>
      </c>
      <c r="J569" s="7">
        <f t="shared" si="409"/>
        <v>111.996</v>
      </c>
      <c r="K569" s="7">
        <f t="shared" si="410"/>
        <v>2.547</v>
      </c>
      <c r="L569" s="7">
        <f t="shared" si="411"/>
        <v>494.3457</v>
      </c>
      <c r="M569" s="7">
        <f t="shared" si="412"/>
        <v>103.812597</v>
      </c>
      <c r="N569" s="7">
        <f t="shared" si="413"/>
        <v>598.158297</v>
      </c>
    </row>
    <row r="570" ht="15.75" hidden="1" customHeight="1">
      <c r="A570" s="5" t="s">
        <v>18</v>
      </c>
      <c r="B570" s="14">
        <v>2786.0</v>
      </c>
      <c r="C570" s="12">
        <v>2862.0</v>
      </c>
      <c r="D570" s="5">
        <f t="shared" si="404"/>
        <v>0.076</v>
      </c>
      <c r="E570" s="5">
        <f t="shared" si="405"/>
        <v>39.14</v>
      </c>
      <c r="F570" s="5">
        <v>55.0</v>
      </c>
      <c r="G570" s="7">
        <f t="shared" si="406"/>
        <v>196.02832</v>
      </c>
      <c r="H570" s="7">
        <f t="shared" si="407"/>
        <v>7.57796</v>
      </c>
      <c r="I570" s="7">
        <f t="shared" si="408"/>
        <v>37.62</v>
      </c>
      <c r="J570" s="7">
        <f t="shared" si="409"/>
        <v>94.5744</v>
      </c>
      <c r="K570" s="7">
        <f t="shared" si="410"/>
        <v>2.1508</v>
      </c>
      <c r="L570" s="7">
        <f t="shared" si="411"/>
        <v>432.09148</v>
      </c>
      <c r="M570" s="7">
        <f t="shared" si="412"/>
        <v>90.7392108</v>
      </c>
      <c r="N570" s="7">
        <f t="shared" si="413"/>
        <v>522.8306908</v>
      </c>
    </row>
    <row r="571" ht="15.75" hidden="1" customHeight="1">
      <c r="A571" s="5" t="s">
        <v>19</v>
      </c>
      <c r="B571" s="14">
        <v>84618.0</v>
      </c>
      <c r="C571" s="12">
        <v>86231.0</v>
      </c>
      <c r="D571" s="5">
        <f t="shared" si="404"/>
        <v>1.613</v>
      </c>
      <c r="E571" s="5">
        <v>169.69</v>
      </c>
      <c r="F571" s="5">
        <v>78.05</v>
      </c>
      <c r="G571" s="7">
        <f t="shared" si="406"/>
        <v>4160.44316</v>
      </c>
      <c r="H571" s="7">
        <f t="shared" si="407"/>
        <v>160.83223</v>
      </c>
      <c r="I571" s="7">
        <f t="shared" si="408"/>
        <v>798.435</v>
      </c>
      <c r="J571" s="7">
        <f t="shared" si="409"/>
        <v>2007.2172</v>
      </c>
      <c r="K571" s="7">
        <f t="shared" si="410"/>
        <v>45.6479</v>
      </c>
      <c r="L571" s="7">
        <f t="shared" si="411"/>
        <v>7420.31549</v>
      </c>
      <c r="M571" s="7">
        <f t="shared" si="412"/>
        <v>1558.266253</v>
      </c>
      <c r="N571" s="7">
        <f t="shared" si="413"/>
        <v>8978.581743</v>
      </c>
    </row>
    <row r="572" ht="15.75" hidden="1" customHeight="1">
      <c r="A572" s="5" t="s">
        <v>30</v>
      </c>
      <c r="B572" s="14">
        <v>12407.0</v>
      </c>
      <c r="C572" s="12">
        <v>12625.0</v>
      </c>
      <c r="D572" s="5">
        <f t="shared" si="404"/>
        <v>0.218</v>
      </c>
      <c r="E572" s="5">
        <f t="shared" ref="E572:E573" si="414">29.8+9.34</f>
        <v>39.14</v>
      </c>
      <c r="F572" s="5">
        <v>55.0</v>
      </c>
      <c r="G572" s="7">
        <f t="shared" si="406"/>
        <v>562.29176</v>
      </c>
      <c r="H572" s="7">
        <f t="shared" si="407"/>
        <v>21.73678</v>
      </c>
      <c r="I572" s="7">
        <f t="shared" si="408"/>
        <v>107.91</v>
      </c>
      <c r="J572" s="7">
        <f t="shared" si="409"/>
        <v>271.2792</v>
      </c>
      <c r="K572" s="7">
        <f t="shared" si="410"/>
        <v>6.1694</v>
      </c>
      <c r="L572" s="7">
        <f t="shared" si="411"/>
        <v>1063.52714</v>
      </c>
      <c r="M572" s="7">
        <f t="shared" si="412"/>
        <v>223.3406994</v>
      </c>
      <c r="N572" s="7">
        <f t="shared" si="413"/>
        <v>1286.867839</v>
      </c>
    </row>
    <row r="573" ht="15.75" hidden="1" customHeight="1">
      <c r="A573" s="5" t="s">
        <v>31</v>
      </c>
      <c r="B573" s="14">
        <v>59045.0</v>
      </c>
      <c r="C573" s="12">
        <v>60167.0</v>
      </c>
      <c r="D573" s="5">
        <f t="shared" si="404"/>
        <v>1.122</v>
      </c>
      <c r="E573" s="5">
        <f t="shared" si="414"/>
        <v>39.14</v>
      </c>
      <c r="F573" s="5">
        <v>55.0</v>
      </c>
      <c r="G573" s="7">
        <f t="shared" si="406"/>
        <v>2893.99704</v>
      </c>
      <c r="H573" s="7">
        <f t="shared" si="407"/>
        <v>111.87462</v>
      </c>
      <c r="I573" s="7">
        <f t="shared" si="408"/>
        <v>555.39</v>
      </c>
      <c r="J573" s="7">
        <f t="shared" si="409"/>
        <v>1396.2168</v>
      </c>
      <c r="K573" s="7">
        <f t="shared" si="410"/>
        <v>31.7526</v>
      </c>
      <c r="L573" s="13">
        <f t="shared" si="411"/>
        <v>5083.37106</v>
      </c>
      <c r="M573" s="7">
        <f t="shared" si="412"/>
        <v>1067.507923</v>
      </c>
      <c r="N573" s="7">
        <f t="shared" si="413"/>
        <v>6150.878983</v>
      </c>
    </row>
    <row r="574" ht="15.75" hidden="1" customHeight="1">
      <c r="A574" s="5"/>
      <c r="C574" s="4"/>
      <c r="D574" s="5"/>
      <c r="G574" s="5"/>
      <c r="L574" s="18">
        <f>SUM(L563:L573)</f>
        <v>17103.98667</v>
      </c>
      <c r="M574" s="19">
        <f t="shared" si="412"/>
        <v>3591.837201</v>
      </c>
      <c r="N574" s="20">
        <f t="shared" si="413"/>
        <v>20695.82387</v>
      </c>
    </row>
    <row r="575" ht="15.75" hidden="1" customHeight="1">
      <c r="A575" s="5"/>
      <c r="C575" s="4"/>
      <c r="D575" s="5">
        <f>SUM(D563:D573)</f>
        <v>3.579</v>
      </c>
      <c r="G575" s="5"/>
    </row>
    <row r="576" ht="15.75" hidden="1" customHeight="1">
      <c r="A576" s="5"/>
      <c r="C576" s="4"/>
      <c r="D576" s="5"/>
      <c r="G576" s="5"/>
    </row>
    <row r="577" ht="15.75" hidden="1" customHeight="1">
      <c r="A577" s="5"/>
      <c r="C577" s="4"/>
      <c r="D577" s="5"/>
      <c r="G577" s="5"/>
    </row>
    <row r="578" ht="15.75" hidden="1" customHeight="1">
      <c r="A578" s="5"/>
      <c r="C578" s="4"/>
      <c r="D578" s="5"/>
      <c r="G578" s="5"/>
    </row>
    <row r="579" ht="15.75" hidden="1" customHeight="1">
      <c r="A579" s="5" t="s">
        <v>22</v>
      </c>
      <c r="C579" s="4"/>
      <c r="D579" s="5"/>
      <c r="G579" s="5"/>
    </row>
    <row r="580" ht="15.75" hidden="1" customHeight="1">
      <c r="A580" s="5" t="s">
        <v>11</v>
      </c>
      <c r="B580" s="14">
        <v>3976.0</v>
      </c>
      <c r="C580" s="12">
        <v>4049.0</v>
      </c>
      <c r="D580" s="5">
        <f t="shared" ref="D580:D590" si="415">(C580-B580)/1000</f>
        <v>0.073</v>
      </c>
      <c r="E580" s="5">
        <f t="shared" ref="E580:E587" si="416">29.8+9.34</f>
        <v>39.14</v>
      </c>
      <c r="F580" s="5">
        <v>55.0</v>
      </c>
      <c r="G580" s="7">
        <f t="shared" ref="G580:G590" si="417">D580*$G$2</f>
        <v>188.29036</v>
      </c>
      <c r="H580" s="7">
        <f t="shared" ref="H580:H590" si="418">D580*$H$2</f>
        <v>7.27883</v>
      </c>
      <c r="I580" s="7">
        <f t="shared" ref="I580:I590" si="419">D580*$I$2</f>
        <v>36.135</v>
      </c>
      <c r="J580" s="7">
        <f t="shared" ref="J580:J590" si="420">D580*$J$2</f>
        <v>90.8412</v>
      </c>
      <c r="K580" s="7">
        <f t="shared" ref="K580:K590" si="421">D580*$K$2</f>
        <v>2.0659</v>
      </c>
      <c r="L580" s="7">
        <f t="shared" ref="L580:L590" si="422">SUM(E580:K580)</f>
        <v>418.75129</v>
      </c>
      <c r="M580" s="7">
        <f t="shared" ref="M580:M591" si="423">L580*0.21</f>
        <v>87.9377709</v>
      </c>
      <c r="N580" s="7">
        <f t="shared" ref="N580:N591" si="424">L580+M580</f>
        <v>506.6890609</v>
      </c>
    </row>
    <row r="581" ht="15.75" hidden="1" customHeight="1">
      <c r="A581" s="5" t="s">
        <v>12</v>
      </c>
      <c r="B581" s="14">
        <v>2828.0</v>
      </c>
      <c r="C581" s="12">
        <v>2908.0</v>
      </c>
      <c r="D581" s="5">
        <f t="shared" si="415"/>
        <v>0.08</v>
      </c>
      <c r="E581" s="5">
        <f t="shared" si="416"/>
        <v>39.14</v>
      </c>
      <c r="F581" s="5">
        <v>55.0</v>
      </c>
      <c r="G581" s="7">
        <f t="shared" si="417"/>
        <v>206.3456</v>
      </c>
      <c r="H581" s="7">
        <f t="shared" si="418"/>
        <v>7.9768</v>
      </c>
      <c r="I581" s="7">
        <f t="shared" si="419"/>
        <v>39.6</v>
      </c>
      <c r="J581" s="7">
        <f t="shared" si="420"/>
        <v>99.552</v>
      </c>
      <c r="K581" s="7">
        <f t="shared" si="421"/>
        <v>2.264</v>
      </c>
      <c r="L581" s="7">
        <f t="shared" si="422"/>
        <v>449.8784</v>
      </c>
      <c r="M581" s="7">
        <f t="shared" si="423"/>
        <v>94.474464</v>
      </c>
      <c r="N581" s="7">
        <f t="shared" si="424"/>
        <v>544.352864</v>
      </c>
    </row>
    <row r="582" ht="15.75" hidden="1" customHeight="1">
      <c r="A582" s="5" t="s">
        <v>13</v>
      </c>
      <c r="B582" s="14">
        <v>3690.0</v>
      </c>
      <c r="C582" s="12">
        <v>3797.0</v>
      </c>
      <c r="D582" s="5">
        <f t="shared" si="415"/>
        <v>0.107</v>
      </c>
      <c r="E582" s="5">
        <f t="shared" si="416"/>
        <v>39.14</v>
      </c>
      <c r="F582" s="5">
        <v>55.0</v>
      </c>
      <c r="G582" s="7">
        <f t="shared" si="417"/>
        <v>275.98724</v>
      </c>
      <c r="H582" s="7">
        <f t="shared" si="418"/>
        <v>10.66897</v>
      </c>
      <c r="I582" s="7">
        <f t="shared" si="419"/>
        <v>52.965</v>
      </c>
      <c r="J582" s="7">
        <f t="shared" si="420"/>
        <v>133.1508</v>
      </c>
      <c r="K582" s="7">
        <f t="shared" si="421"/>
        <v>3.0281</v>
      </c>
      <c r="L582" s="7">
        <f t="shared" si="422"/>
        <v>569.94011</v>
      </c>
      <c r="M582" s="7">
        <f t="shared" si="423"/>
        <v>119.6874231</v>
      </c>
      <c r="N582" s="7">
        <f t="shared" si="424"/>
        <v>689.6275331</v>
      </c>
    </row>
    <row r="583" ht="15.75" hidden="1" customHeight="1">
      <c r="A583" s="5" t="s">
        <v>14</v>
      </c>
      <c r="B583" s="14">
        <v>2999.0</v>
      </c>
      <c r="C583" s="12">
        <v>3075.0</v>
      </c>
      <c r="D583" s="5">
        <f t="shared" si="415"/>
        <v>0.076</v>
      </c>
      <c r="E583" s="5">
        <f t="shared" si="416"/>
        <v>39.14</v>
      </c>
      <c r="F583" s="5">
        <v>55.0</v>
      </c>
      <c r="G583" s="7">
        <f t="shared" si="417"/>
        <v>196.02832</v>
      </c>
      <c r="H583" s="7">
        <f t="shared" si="418"/>
        <v>7.57796</v>
      </c>
      <c r="I583" s="7">
        <f t="shared" si="419"/>
        <v>37.62</v>
      </c>
      <c r="J583" s="7">
        <f t="shared" si="420"/>
        <v>94.5744</v>
      </c>
      <c r="K583" s="7">
        <f t="shared" si="421"/>
        <v>2.1508</v>
      </c>
      <c r="L583" s="7">
        <f t="shared" si="422"/>
        <v>432.09148</v>
      </c>
      <c r="M583" s="7">
        <f t="shared" si="423"/>
        <v>90.7392108</v>
      </c>
      <c r="N583" s="7">
        <f t="shared" si="424"/>
        <v>522.8306908</v>
      </c>
    </row>
    <row r="584" ht="15.75" hidden="1" customHeight="1">
      <c r="A584" s="5" t="s">
        <v>15</v>
      </c>
      <c r="B584" s="14">
        <v>3289.0</v>
      </c>
      <c r="C584" s="12">
        <v>3368.0</v>
      </c>
      <c r="D584" s="5">
        <f t="shared" si="415"/>
        <v>0.079</v>
      </c>
      <c r="E584" s="5">
        <f t="shared" si="416"/>
        <v>39.14</v>
      </c>
      <c r="F584" s="5">
        <v>55.0</v>
      </c>
      <c r="G584" s="7">
        <f t="shared" si="417"/>
        <v>203.76628</v>
      </c>
      <c r="H584" s="7">
        <f t="shared" si="418"/>
        <v>7.87709</v>
      </c>
      <c r="I584" s="7">
        <f t="shared" si="419"/>
        <v>39.105</v>
      </c>
      <c r="J584" s="7">
        <f t="shared" si="420"/>
        <v>98.3076</v>
      </c>
      <c r="K584" s="7">
        <f t="shared" si="421"/>
        <v>2.2357</v>
      </c>
      <c r="L584" s="7">
        <f t="shared" si="422"/>
        <v>445.43167</v>
      </c>
      <c r="M584" s="7">
        <f t="shared" si="423"/>
        <v>93.5406507</v>
      </c>
      <c r="N584" s="7">
        <f t="shared" si="424"/>
        <v>538.9723207</v>
      </c>
    </row>
    <row r="585" ht="15.75" hidden="1" customHeight="1">
      <c r="A585" s="5" t="s">
        <v>16</v>
      </c>
      <c r="B585" s="14">
        <v>2502.0</v>
      </c>
      <c r="C585" s="12">
        <v>2558.0</v>
      </c>
      <c r="D585" s="5">
        <f t="shared" si="415"/>
        <v>0.056</v>
      </c>
      <c r="E585" s="5">
        <f t="shared" si="416"/>
        <v>39.14</v>
      </c>
      <c r="F585" s="5">
        <v>55.0</v>
      </c>
      <c r="G585" s="7">
        <f t="shared" si="417"/>
        <v>144.44192</v>
      </c>
      <c r="H585" s="7">
        <f t="shared" si="418"/>
        <v>5.58376</v>
      </c>
      <c r="I585" s="7">
        <f t="shared" si="419"/>
        <v>27.72</v>
      </c>
      <c r="J585" s="7">
        <f t="shared" si="420"/>
        <v>69.6864</v>
      </c>
      <c r="K585" s="7">
        <f t="shared" si="421"/>
        <v>1.5848</v>
      </c>
      <c r="L585" s="7">
        <f t="shared" si="422"/>
        <v>343.15688</v>
      </c>
      <c r="M585" s="7">
        <f t="shared" si="423"/>
        <v>72.0629448</v>
      </c>
      <c r="N585" s="7">
        <f t="shared" si="424"/>
        <v>415.2198248</v>
      </c>
    </row>
    <row r="586" ht="15.75" hidden="1" customHeight="1">
      <c r="A586" s="5" t="s">
        <v>17</v>
      </c>
      <c r="B586" s="14">
        <v>2952.0</v>
      </c>
      <c r="C586" s="12">
        <v>3020.0</v>
      </c>
      <c r="D586" s="5">
        <f t="shared" si="415"/>
        <v>0.068</v>
      </c>
      <c r="E586" s="5">
        <f t="shared" si="416"/>
        <v>39.14</v>
      </c>
      <c r="F586" s="5">
        <v>55.0</v>
      </c>
      <c r="G586" s="7">
        <f t="shared" si="417"/>
        <v>175.39376</v>
      </c>
      <c r="H586" s="7">
        <f t="shared" si="418"/>
        <v>6.78028</v>
      </c>
      <c r="I586" s="7">
        <f t="shared" si="419"/>
        <v>33.66</v>
      </c>
      <c r="J586" s="7">
        <f t="shared" si="420"/>
        <v>84.6192</v>
      </c>
      <c r="K586" s="7">
        <f t="shared" si="421"/>
        <v>1.9244</v>
      </c>
      <c r="L586" s="7">
        <f t="shared" si="422"/>
        <v>396.51764</v>
      </c>
      <c r="M586" s="7">
        <f t="shared" si="423"/>
        <v>83.2687044</v>
      </c>
      <c r="N586" s="7">
        <f t="shared" si="424"/>
        <v>479.7863444</v>
      </c>
    </row>
    <row r="587" ht="15.75" hidden="1" customHeight="1">
      <c r="A587" s="5" t="s">
        <v>18</v>
      </c>
      <c r="B587" s="14">
        <v>2862.0</v>
      </c>
      <c r="C587" s="12">
        <v>2958.0</v>
      </c>
      <c r="D587" s="5">
        <f t="shared" si="415"/>
        <v>0.096</v>
      </c>
      <c r="E587" s="5">
        <f t="shared" si="416"/>
        <v>39.14</v>
      </c>
      <c r="F587" s="5">
        <v>55.0</v>
      </c>
      <c r="G587" s="7">
        <f t="shared" si="417"/>
        <v>247.61472</v>
      </c>
      <c r="H587" s="7">
        <f t="shared" si="418"/>
        <v>9.57216</v>
      </c>
      <c r="I587" s="7">
        <f t="shared" si="419"/>
        <v>47.52</v>
      </c>
      <c r="J587" s="7">
        <f t="shared" si="420"/>
        <v>119.4624</v>
      </c>
      <c r="K587" s="7">
        <f t="shared" si="421"/>
        <v>2.7168</v>
      </c>
      <c r="L587" s="7">
        <f t="shared" si="422"/>
        <v>521.02608</v>
      </c>
      <c r="M587" s="7">
        <f t="shared" si="423"/>
        <v>109.4154768</v>
      </c>
      <c r="N587" s="7">
        <f t="shared" si="424"/>
        <v>630.4415568</v>
      </c>
    </row>
    <row r="588" ht="15.75" hidden="1" customHeight="1">
      <c r="A588" s="5" t="s">
        <v>19</v>
      </c>
      <c r="B588" s="14">
        <v>86231.0</v>
      </c>
      <c r="C588" s="12">
        <v>87468.0</v>
      </c>
      <c r="D588" s="5">
        <f t="shared" si="415"/>
        <v>1.237</v>
      </c>
      <c r="E588" s="5">
        <v>169.69</v>
      </c>
      <c r="F588" s="5">
        <v>78.05</v>
      </c>
      <c r="G588" s="7">
        <f t="shared" si="417"/>
        <v>3190.61884</v>
      </c>
      <c r="H588" s="7">
        <f t="shared" si="418"/>
        <v>123.34127</v>
      </c>
      <c r="I588" s="7">
        <f t="shared" si="419"/>
        <v>612.315</v>
      </c>
      <c r="J588" s="7">
        <f t="shared" si="420"/>
        <v>1539.3228</v>
      </c>
      <c r="K588" s="7">
        <f t="shared" si="421"/>
        <v>35.0071</v>
      </c>
      <c r="L588" s="7">
        <f t="shared" si="422"/>
        <v>5748.34501</v>
      </c>
      <c r="M588" s="7">
        <f t="shared" si="423"/>
        <v>1207.152452</v>
      </c>
      <c r="N588" s="7">
        <f t="shared" si="424"/>
        <v>6955.497462</v>
      </c>
    </row>
    <row r="589" ht="15.75" hidden="1" customHeight="1">
      <c r="A589" s="5" t="s">
        <v>30</v>
      </c>
      <c r="B589" s="14">
        <v>12625.0</v>
      </c>
      <c r="C589" s="12">
        <v>12789.0</v>
      </c>
      <c r="D589" s="5">
        <f t="shared" si="415"/>
        <v>0.164</v>
      </c>
      <c r="E589" s="5">
        <f t="shared" ref="E589:E590" si="425">29.8+9.34</f>
        <v>39.14</v>
      </c>
      <c r="F589" s="5">
        <v>55.0</v>
      </c>
      <c r="G589" s="7">
        <f t="shared" si="417"/>
        <v>423.00848</v>
      </c>
      <c r="H589" s="7">
        <f t="shared" si="418"/>
        <v>16.35244</v>
      </c>
      <c r="I589" s="7">
        <f t="shared" si="419"/>
        <v>81.18</v>
      </c>
      <c r="J589" s="7">
        <f t="shared" si="420"/>
        <v>204.0816</v>
      </c>
      <c r="K589" s="7">
        <f t="shared" si="421"/>
        <v>4.6412</v>
      </c>
      <c r="L589" s="7">
        <f t="shared" si="422"/>
        <v>823.40372</v>
      </c>
      <c r="M589" s="7">
        <f t="shared" si="423"/>
        <v>172.9147812</v>
      </c>
      <c r="N589" s="7">
        <f t="shared" si="424"/>
        <v>996.3185012</v>
      </c>
    </row>
    <row r="590" ht="15.75" hidden="1" customHeight="1">
      <c r="A590" s="5" t="s">
        <v>31</v>
      </c>
      <c r="B590" s="14">
        <v>60167.0</v>
      </c>
      <c r="C590" s="12">
        <v>61059.0</v>
      </c>
      <c r="D590" s="5">
        <f t="shared" si="415"/>
        <v>0.892</v>
      </c>
      <c r="E590" s="5">
        <f t="shared" si="425"/>
        <v>39.14</v>
      </c>
      <c r="F590" s="5">
        <v>55.0</v>
      </c>
      <c r="G590" s="7">
        <f t="shared" si="417"/>
        <v>2300.75344</v>
      </c>
      <c r="H590" s="7">
        <f t="shared" si="418"/>
        <v>88.94132</v>
      </c>
      <c r="I590" s="7">
        <f t="shared" si="419"/>
        <v>441.54</v>
      </c>
      <c r="J590" s="7">
        <f t="shared" si="420"/>
        <v>1110.0048</v>
      </c>
      <c r="K590" s="7">
        <f t="shared" si="421"/>
        <v>25.2436</v>
      </c>
      <c r="L590" s="13">
        <f t="shared" si="422"/>
        <v>4060.62316</v>
      </c>
      <c r="M590" s="7">
        <f t="shared" si="423"/>
        <v>852.7308636</v>
      </c>
      <c r="N590" s="7">
        <f t="shared" si="424"/>
        <v>4913.354024</v>
      </c>
    </row>
    <row r="591" ht="15.75" hidden="1" customHeight="1">
      <c r="A591" s="5"/>
      <c r="C591" s="4"/>
      <c r="D591" s="5"/>
      <c r="G591" s="5"/>
      <c r="L591" s="18">
        <f>SUM(L580:L590)</f>
        <v>14209.16544</v>
      </c>
      <c r="M591" s="19">
        <f t="shared" si="423"/>
        <v>2983.924742</v>
      </c>
      <c r="N591" s="20">
        <f t="shared" si="424"/>
        <v>17193.09018</v>
      </c>
    </row>
    <row r="592" ht="15.75" hidden="1" customHeight="1">
      <c r="A592" s="5"/>
      <c r="C592" s="4"/>
      <c r="D592" s="5">
        <f>SUM(D580:D590)</f>
        <v>2.928</v>
      </c>
      <c r="G592" s="5"/>
    </row>
    <row r="593" ht="15.75" hidden="1" customHeight="1">
      <c r="A593" s="5"/>
      <c r="C593" s="4"/>
      <c r="D593" s="5"/>
      <c r="G593" s="5"/>
    </row>
    <row r="594" ht="15.75" hidden="1" customHeight="1">
      <c r="A594" s="5"/>
      <c r="C594" s="4"/>
      <c r="D594" s="5"/>
      <c r="G594" s="5"/>
    </row>
    <row r="595" ht="15.75" hidden="1" customHeight="1">
      <c r="A595" s="5"/>
      <c r="C595" s="4"/>
      <c r="D595" s="5"/>
      <c r="G595" s="5"/>
    </row>
    <row r="596" ht="15.75" hidden="1" customHeight="1">
      <c r="A596" s="5" t="s">
        <v>60</v>
      </c>
      <c r="C596" s="4"/>
      <c r="D596" s="5"/>
      <c r="G596" s="5"/>
    </row>
    <row r="597" ht="15.75" hidden="1" customHeight="1">
      <c r="A597" s="5" t="s">
        <v>11</v>
      </c>
      <c r="B597" s="14">
        <v>4049.0</v>
      </c>
      <c r="C597" s="12">
        <v>4164.0</v>
      </c>
      <c r="D597" s="5">
        <f t="shared" ref="D597:D607" si="426">(C597-B597)/1000</f>
        <v>0.115</v>
      </c>
      <c r="E597" s="5">
        <f t="shared" ref="E597:E604" si="427">29.8+9.34</f>
        <v>39.14</v>
      </c>
      <c r="F597" s="5">
        <v>55.0</v>
      </c>
      <c r="G597" s="7">
        <f t="shared" ref="G597:G607" si="428">D597*$G$2</f>
        <v>296.6218</v>
      </c>
      <c r="H597" s="7">
        <f t="shared" ref="H597:H607" si="429">D597*$H$2</f>
        <v>11.46665</v>
      </c>
      <c r="I597" s="7">
        <f t="shared" ref="I597:I607" si="430">D597*$I$2</f>
        <v>56.925</v>
      </c>
      <c r="J597" s="7">
        <f t="shared" ref="J597:J607" si="431">D597*$J$2</f>
        <v>143.106</v>
      </c>
      <c r="K597" s="7">
        <f t="shared" ref="K597:K607" si="432">D597*$K$2</f>
        <v>3.2545</v>
      </c>
      <c r="L597" s="7">
        <f t="shared" ref="L597:L607" si="433">SUM(E597:K597)</f>
        <v>605.51395</v>
      </c>
      <c r="M597" s="7">
        <f t="shared" ref="M597:M608" si="434">L597*0.21</f>
        <v>127.1579295</v>
      </c>
      <c r="N597" s="7">
        <f t="shared" ref="N597:N608" si="435">L597+M597</f>
        <v>732.6718795</v>
      </c>
    </row>
    <row r="598" ht="15.75" hidden="1" customHeight="1">
      <c r="A598" s="5" t="s">
        <v>12</v>
      </c>
      <c r="B598" s="14">
        <v>2908.0</v>
      </c>
      <c r="C598" s="12">
        <v>2982.0</v>
      </c>
      <c r="D598" s="5">
        <f t="shared" si="426"/>
        <v>0.074</v>
      </c>
      <c r="E598" s="5">
        <f t="shared" si="427"/>
        <v>39.14</v>
      </c>
      <c r="F598" s="5">
        <v>55.0</v>
      </c>
      <c r="G598" s="7">
        <f t="shared" si="428"/>
        <v>190.86968</v>
      </c>
      <c r="H598" s="7">
        <f t="shared" si="429"/>
        <v>7.37854</v>
      </c>
      <c r="I598" s="7">
        <f t="shared" si="430"/>
        <v>36.63</v>
      </c>
      <c r="J598" s="7">
        <f t="shared" si="431"/>
        <v>92.0856</v>
      </c>
      <c r="K598" s="7">
        <f t="shared" si="432"/>
        <v>2.0942</v>
      </c>
      <c r="L598" s="7">
        <f t="shared" si="433"/>
        <v>423.19802</v>
      </c>
      <c r="M598" s="7">
        <f t="shared" si="434"/>
        <v>88.8715842</v>
      </c>
      <c r="N598" s="7">
        <f t="shared" si="435"/>
        <v>512.0696042</v>
      </c>
    </row>
    <row r="599" ht="15.75" hidden="1" customHeight="1">
      <c r="A599" s="5" t="s">
        <v>13</v>
      </c>
      <c r="B599" s="14">
        <v>3797.0</v>
      </c>
      <c r="C599" s="12">
        <v>3894.0</v>
      </c>
      <c r="D599" s="5">
        <f t="shared" si="426"/>
        <v>0.097</v>
      </c>
      <c r="E599" s="5">
        <f t="shared" si="427"/>
        <v>39.14</v>
      </c>
      <c r="F599" s="5">
        <v>55.0</v>
      </c>
      <c r="G599" s="7">
        <f t="shared" si="428"/>
        <v>250.19404</v>
      </c>
      <c r="H599" s="7">
        <f t="shared" si="429"/>
        <v>9.67187</v>
      </c>
      <c r="I599" s="7">
        <f t="shared" si="430"/>
        <v>48.015</v>
      </c>
      <c r="J599" s="7">
        <f t="shared" si="431"/>
        <v>120.7068</v>
      </c>
      <c r="K599" s="7">
        <f t="shared" si="432"/>
        <v>2.7451</v>
      </c>
      <c r="L599" s="7">
        <f t="shared" si="433"/>
        <v>525.47281</v>
      </c>
      <c r="M599" s="7">
        <f t="shared" si="434"/>
        <v>110.3492901</v>
      </c>
      <c r="N599" s="7">
        <f t="shared" si="435"/>
        <v>635.8221001</v>
      </c>
    </row>
    <row r="600" ht="15.75" hidden="1" customHeight="1">
      <c r="A600" s="5" t="s">
        <v>14</v>
      </c>
      <c r="B600" s="14">
        <v>3075.0</v>
      </c>
      <c r="C600" s="12">
        <v>3198.0</v>
      </c>
      <c r="D600" s="5">
        <f t="shared" si="426"/>
        <v>0.123</v>
      </c>
      <c r="E600" s="5">
        <f t="shared" si="427"/>
        <v>39.14</v>
      </c>
      <c r="F600" s="5">
        <v>55.0</v>
      </c>
      <c r="G600" s="7">
        <f t="shared" si="428"/>
        <v>317.25636</v>
      </c>
      <c r="H600" s="7">
        <f t="shared" si="429"/>
        <v>12.26433</v>
      </c>
      <c r="I600" s="7">
        <f t="shared" si="430"/>
        <v>60.885</v>
      </c>
      <c r="J600" s="7">
        <f t="shared" si="431"/>
        <v>153.0612</v>
      </c>
      <c r="K600" s="7">
        <f t="shared" si="432"/>
        <v>3.4809</v>
      </c>
      <c r="L600" s="7">
        <f t="shared" si="433"/>
        <v>641.08779</v>
      </c>
      <c r="M600" s="7">
        <f t="shared" si="434"/>
        <v>134.6284359</v>
      </c>
      <c r="N600" s="7">
        <f t="shared" si="435"/>
        <v>775.7162259</v>
      </c>
    </row>
    <row r="601" ht="15.75" hidden="1" customHeight="1">
      <c r="A601" s="5" t="s">
        <v>15</v>
      </c>
      <c r="B601" s="14">
        <v>3368.0</v>
      </c>
      <c r="C601" s="12">
        <v>3463.0</v>
      </c>
      <c r="D601" s="5">
        <f t="shared" si="426"/>
        <v>0.095</v>
      </c>
      <c r="E601" s="5">
        <f t="shared" si="427"/>
        <v>39.14</v>
      </c>
      <c r="F601" s="5">
        <v>55.0</v>
      </c>
      <c r="G601" s="7">
        <f t="shared" si="428"/>
        <v>245.0354</v>
      </c>
      <c r="H601" s="7">
        <f t="shared" si="429"/>
        <v>9.47245</v>
      </c>
      <c r="I601" s="7">
        <f t="shared" si="430"/>
        <v>47.025</v>
      </c>
      <c r="J601" s="7">
        <f t="shared" si="431"/>
        <v>118.218</v>
      </c>
      <c r="K601" s="7">
        <f t="shared" si="432"/>
        <v>2.6885</v>
      </c>
      <c r="L601" s="7">
        <f t="shared" si="433"/>
        <v>516.57935</v>
      </c>
      <c r="M601" s="7">
        <f t="shared" si="434"/>
        <v>108.4816635</v>
      </c>
      <c r="N601" s="7">
        <f t="shared" si="435"/>
        <v>625.0610135</v>
      </c>
    </row>
    <row r="602" ht="15.75" hidden="1" customHeight="1">
      <c r="A602" s="5" t="s">
        <v>16</v>
      </c>
      <c r="B602" s="14">
        <v>2558.0</v>
      </c>
      <c r="C602" s="12">
        <v>2596.0</v>
      </c>
      <c r="D602" s="5">
        <f t="shared" si="426"/>
        <v>0.038</v>
      </c>
      <c r="E602" s="5">
        <f t="shared" si="427"/>
        <v>39.14</v>
      </c>
      <c r="F602" s="5">
        <v>55.0</v>
      </c>
      <c r="G602" s="7">
        <f t="shared" si="428"/>
        <v>98.01416</v>
      </c>
      <c r="H602" s="7">
        <f t="shared" si="429"/>
        <v>3.78898</v>
      </c>
      <c r="I602" s="7">
        <f t="shared" si="430"/>
        <v>18.81</v>
      </c>
      <c r="J602" s="7">
        <f t="shared" si="431"/>
        <v>47.2872</v>
      </c>
      <c r="K602" s="7">
        <f t="shared" si="432"/>
        <v>1.0754</v>
      </c>
      <c r="L602" s="7">
        <f t="shared" si="433"/>
        <v>263.11574</v>
      </c>
      <c r="M602" s="7">
        <f t="shared" si="434"/>
        <v>55.2543054</v>
      </c>
      <c r="N602" s="7">
        <f t="shared" si="435"/>
        <v>318.3700454</v>
      </c>
    </row>
    <row r="603" ht="15.75" hidden="1" customHeight="1">
      <c r="A603" s="5" t="s">
        <v>17</v>
      </c>
      <c r="B603" s="14">
        <v>3020.0</v>
      </c>
      <c r="C603" s="12">
        <v>3145.0</v>
      </c>
      <c r="D603" s="5">
        <f t="shared" si="426"/>
        <v>0.125</v>
      </c>
      <c r="E603" s="5">
        <f t="shared" si="427"/>
        <v>39.14</v>
      </c>
      <c r="F603" s="5">
        <v>55.0</v>
      </c>
      <c r="G603" s="7">
        <f t="shared" si="428"/>
        <v>322.415</v>
      </c>
      <c r="H603" s="7">
        <f t="shared" si="429"/>
        <v>12.46375</v>
      </c>
      <c r="I603" s="7">
        <f t="shared" si="430"/>
        <v>61.875</v>
      </c>
      <c r="J603" s="7">
        <f t="shared" si="431"/>
        <v>155.55</v>
      </c>
      <c r="K603" s="7">
        <f t="shared" si="432"/>
        <v>3.5375</v>
      </c>
      <c r="L603" s="7">
        <f t="shared" si="433"/>
        <v>649.98125</v>
      </c>
      <c r="M603" s="7">
        <f t="shared" si="434"/>
        <v>136.4960625</v>
      </c>
      <c r="N603" s="7">
        <f t="shared" si="435"/>
        <v>786.4773125</v>
      </c>
    </row>
    <row r="604" ht="15.75" hidden="1" customHeight="1">
      <c r="A604" s="5" t="s">
        <v>18</v>
      </c>
      <c r="B604" s="14">
        <v>2958.0</v>
      </c>
      <c r="C604" s="12">
        <v>3030.0</v>
      </c>
      <c r="D604" s="5">
        <f t="shared" si="426"/>
        <v>0.072</v>
      </c>
      <c r="E604" s="5">
        <f t="shared" si="427"/>
        <v>39.14</v>
      </c>
      <c r="F604" s="5">
        <v>55.0</v>
      </c>
      <c r="G604" s="7">
        <f t="shared" si="428"/>
        <v>185.71104</v>
      </c>
      <c r="H604" s="7">
        <f t="shared" si="429"/>
        <v>7.17912</v>
      </c>
      <c r="I604" s="7">
        <f t="shared" si="430"/>
        <v>35.64</v>
      </c>
      <c r="J604" s="7">
        <f t="shared" si="431"/>
        <v>89.5968</v>
      </c>
      <c r="K604" s="7">
        <f t="shared" si="432"/>
        <v>2.0376</v>
      </c>
      <c r="L604" s="7">
        <f t="shared" si="433"/>
        <v>414.30456</v>
      </c>
      <c r="M604" s="7">
        <f t="shared" si="434"/>
        <v>87.0039576</v>
      </c>
      <c r="N604" s="7">
        <f t="shared" si="435"/>
        <v>501.3085176</v>
      </c>
    </row>
    <row r="605" ht="15.75" hidden="1" customHeight="1">
      <c r="A605" s="5" t="s">
        <v>19</v>
      </c>
      <c r="B605" s="14">
        <v>87468.0</v>
      </c>
      <c r="C605" s="12">
        <v>89184.0</v>
      </c>
      <c r="D605" s="5">
        <f t="shared" si="426"/>
        <v>1.716</v>
      </c>
      <c r="E605" s="5">
        <v>169.69</v>
      </c>
      <c r="F605" s="5">
        <v>78.05</v>
      </c>
      <c r="G605" s="7">
        <f t="shared" si="428"/>
        <v>4426.11312</v>
      </c>
      <c r="H605" s="7">
        <f t="shared" si="429"/>
        <v>171.10236</v>
      </c>
      <c r="I605" s="7">
        <f t="shared" si="430"/>
        <v>849.42</v>
      </c>
      <c r="J605" s="7">
        <f t="shared" si="431"/>
        <v>2135.3904</v>
      </c>
      <c r="K605" s="7">
        <f t="shared" si="432"/>
        <v>48.5628</v>
      </c>
      <c r="L605" s="7">
        <f t="shared" si="433"/>
        <v>7878.32868</v>
      </c>
      <c r="M605" s="7">
        <f t="shared" si="434"/>
        <v>1654.449023</v>
      </c>
      <c r="N605" s="7">
        <f t="shared" si="435"/>
        <v>9532.777703</v>
      </c>
    </row>
    <row r="606" ht="15.75" hidden="1" customHeight="1">
      <c r="A606" s="5" t="s">
        <v>30</v>
      </c>
      <c r="B606" s="14">
        <v>12789.0</v>
      </c>
      <c r="C606" s="12">
        <v>13019.0</v>
      </c>
      <c r="D606" s="5">
        <f t="shared" si="426"/>
        <v>0.23</v>
      </c>
      <c r="E606" s="5">
        <f t="shared" ref="E606:E607" si="436">29.8+9.34</f>
        <v>39.14</v>
      </c>
      <c r="F606" s="5">
        <v>55.0</v>
      </c>
      <c r="G606" s="7">
        <f t="shared" si="428"/>
        <v>593.2436</v>
      </c>
      <c r="H606" s="7">
        <f t="shared" si="429"/>
        <v>22.9333</v>
      </c>
      <c r="I606" s="7">
        <f t="shared" si="430"/>
        <v>113.85</v>
      </c>
      <c r="J606" s="7">
        <f t="shared" si="431"/>
        <v>286.212</v>
      </c>
      <c r="K606" s="7">
        <f t="shared" si="432"/>
        <v>6.509</v>
      </c>
      <c r="L606" s="7">
        <f t="shared" si="433"/>
        <v>1116.8879</v>
      </c>
      <c r="M606" s="7">
        <f t="shared" si="434"/>
        <v>234.546459</v>
      </c>
      <c r="N606" s="7">
        <f t="shared" si="435"/>
        <v>1351.434359</v>
      </c>
    </row>
    <row r="607" ht="15.75" hidden="1" customHeight="1">
      <c r="A607" s="5" t="s">
        <v>31</v>
      </c>
      <c r="B607" s="14">
        <v>61059.0</v>
      </c>
      <c r="C607" s="12">
        <v>62320.0</v>
      </c>
      <c r="D607" s="5">
        <f t="shared" si="426"/>
        <v>1.261</v>
      </c>
      <c r="E607" s="5">
        <f t="shared" si="436"/>
        <v>39.14</v>
      </c>
      <c r="F607" s="5">
        <v>55.0</v>
      </c>
      <c r="G607" s="7">
        <f t="shared" si="428"/>
        <v>3252.52252</v>
      </c>
      <c r="H607" s="7">
        <f t="shared" si="429"/>
        <v>125.73431</v>
      </c>
      <c r="I607" s="7">
        <f t="shared" si="430"/>
        <v>624.195</v>
      </c>
      <c r="J607" s="7">
        <f t="shared" si="431"/>
        <v>1569.1884</v>
      </c>
      <c r="K607" s="7">
        <f t="shared" si="432"/>
        <v>35.6863</v>
      </c>
      <c r="L607" s="13">
        <f t="shared" si="433"/>
        <v>5701.46653</v>
      </c>
      <c r="M607" s="7">
        <f t="shared" si="434"/>
        <v>1197.307971</v>
      </c>
      <c r="N607" s="7">
        <f t="shared" si="435"/>
        <v>6898.774501</v>
      </c>
    </row>
    <row r="608" ht="15.75" hidden="1" customHeight="1">
      <c r="A608" s="5"/>
      <c r="C608" s="4"/>
      <c r="D608" s="5"/>
      <c r="G608" s="5"/>
      <c r="L608" s="18">
        <f>SUM(L597:L607)</f>
        <v>18735.93658</v>
      </c>
      <c r="M608" s="19">
        <f t="shared" si="434"/>
        <v>3934.546682</v>
      </c>
      <c r="N608" s="20">
        <f t="shared" si="435"/>
        <v>22670.48326</v>
      </c>
    </row>
    <row r="609" ht="15.75" hidden="1" customHeight="1">
      <c r="A609" s="5"/>
      <c r="C609" s="4"/>
      <c r="D609" s="5">
        <f>SUM(D597:D607)</f>
        <v>3.946</v>
      </c>
      <c r="G609" s="5"/>
    </row>
    <row r="610" ht="15.75" hidden="1" customHeight="1">
      <c r="A610" s="5"/>
      <c r="C610" s="4"/>
      <c r="D610" s="5"/>
      <c r="G610" s="5"/>
    </row>
    <row r="611" ht="15.75" hidden="1" customHeight="1">
      <c r="A611" s="5" t="s">
        <v>61</v>
      </c>
      <c r="C611" s="4"/>
      <c r="D611" s="5"/>
      <c r="G611" s="5"/>
    </row>
    <row r="612" ht="15.75" hidden="1" customHeight="1">
      <c r="A612" s="5" t="s">
        <v>11</v>
      </c>
      <c r="B612" s="14">
        <v>4164.0</v>
      </c>
      <c r="C612" s="12">
        <v>4231.0</v>
      </c>
      <c r="D612" s="5">
        <f t="shared" ref="D612:D622" si="437">(C612-B612)/1000</f>
        <v>0.067</v>
      </c>
      <c r="E612" s="5">
        <f t="shared" ref="E612:E619" si="438">29.8+9.34</f>
        <v>39.14</v>
      </c>
      <c r="F612" s="5">
        <v>55.0</v>
      </c>
      <c r="G612" s="7">
        <f t="shared" ref="G612:G622" si="439">D612*$G$2</f>
        <v>172.81444</v>
      </c>
      <c r="H612" s="7">
        <f t="shared" ref="H612:H622" si="440">D612*$H$2</f>
        <v>6.68057</v>
      </c>
      <c r="I612" s="7">
        <f t="shared" ref="I612:I622" si="441">D612*$I$2</f>
        <v>33.165</v>
      </c>
      <c r="J612" s="7">
        <f t="shared" ref="J612:J622" si="442">D612*$J$2</f>
        <v>83.3748</v>
      </c>
      <c r="K612" s="7">
        <f t="shared" ref="K612:K622" si="443">D612*$K$2</f>
        <v>1.8961</v>
      </c>
      <c r="L612" s="7">
        <f t="shared" ref="L612:L622" si="444">SUM(E612:K612)</f>
        <v>392.07091</v>
      </c>
      <c r="M612" s="7">
        <f t="shared" ref="M612:M623" si="445">L612*0.21</f>
        <v>82.3348911</v>
      </c>
      <c r="N612" s="7">
        <f t="shared" ref="N612:N623" si="446">L612+M612</f>
        <v>474.4058011</v>
      </c>
    </row>
    <row r="613" ht="15.75" hidden="1" customHeight="1">
      <c r="A613" s="5" t="s">
        <v>12</v>
      </c>
      <c r="B613" s="14">
        <v>2982.0</v>
      </c>
      <c r="C613" s="12">
        <v>3060.0</v>
      </c>
      <c r="D613" s="5">
        <f t="shared" si="437"/>
        <v>0.078</v>
      </c>
      <c r="E613" s="5">
        <f t="shared" si="438"/>
        <v>39.14</v>
      </c>
      <c r="F613" s="5">
        <v>55.0</v>
      </c>
      <c r="G613" s="7">
        <f t="shared" si="439"/>
        <v>201.18696</v>
      </c>
      <c r="H613" s="7">
        <f t="shared" si="440"/>
        <v>7.77738</v>
      </c>
      <c r="I613" s="7">
        <f t="shared" si="441"/>
        <v>38.61</v>
      </c>
      <c r="J613" s="7">
        <f t="shared" si="442"/>
        <v>97.0632</v>
      </c>
      <c r="K613" s="7">
        <f t="shared" si="443"/>
        <v>2.2074</v>
      </c>
      <c r="L613" s="7">
        <f t="shared" si="444"/>
        <v>440.98494</v>
      </c>
      <c r="M613" s="7">
        <f t="shared" si="445"/>
        <v>92.6068374</v>
      </c>
      <c r="N613" s="7">
        <f t="shared" si="446"/>
        <v>533.5917774</v>
      </c>
    </row>
    <row r="614" ht="15.75" hidden="1" customHeight="1">
      <c r="A614" s="5" t="s">
        <v>13</v>
      </c>
      <c r="B614" s="14">
        <v>3894.0</v>
      </c>
      <c r="C614" s="12">
        <v>3983.0</v>
      </c>
      <c r="D614" s="5">
        <f t="shared" si="437"/>
        <v>0.089</v>
      </c>
      <c r="E614" s="5">
        <f t="shared" si="438"/>
        <v>39.14</v>
      </c>
      <c r="F614" s="5">
        <v>55.0</v>
      </c>
      <c r="G614" s="7">
        <f t="shared" si="439"/>
        <v>229.55948</v>
      </c>
      <c r="H614" s="7">
        <f t="shared" si="440"/>
        <v>8.87419</v>
      </c>
      <c r="I614" s="7">
        <f t="shared" si="441"/>
        <v>44.055</v>
      </c>
      <c r="J614" s="7">
        <f t="shared" si="442"/>
        <v>110.7516</v>
      </c>
      <c r="K614" s="7">
        <f t="shared" si="443"/>
        <v>2.5187</v>
      </c>
      <c r="L614" s="7">
        <f t="shared" si="444"/>
        <v>489.89897</v>
      </c>
      <c r="M614" s="7">
        <f t="shared" si="445"/>
        <v>102.8787837</v>
      </c>
      <c r="N614" s="7">
        <f t="shared" si="446"/>
        <v>592.7777537</v>
      </c>
    </row>
    <row r="615" ht="15.75" hidden="1" customHeight="1">
      <c r="A615" s="5" t="s">
        <v>14</v>
      </c>
      <c r="B615" s="14">
        <v>3198.0</v>
      </c>
      <c r="C615" s="12">
        <v>3254.0</v>
      </c>
      <c r="D615" s="5">
        <f t="shared" si="437"/>
        <v>0.056</v>
      </c>
      <c r="E615" s="5">
        <f t="shared" si="438"/>
        <v>39.14</v>
      </c>
      <c r="F615" s="5">
        <v>55.0</v>
      </c>
      <c r="G615" s="7">
        <f t="shared" si="439"/>
        <v>144.44192</v>
      </c>
      <c r="H615" s="7">
        <f t="shared" si="440"/>
        <v>5.58376</v>
      </c>
      <c r="I615" s="7">
        <f t="shared" si="441"/>
        <v>27.72</v>
      </c>
      <c r="J615" s="7">
        <f t="shared" si="442"/>
        <v>69.6864</v>
      </c>
      <c r="K615" s="7">
        <f t="shared" si="443"/>
        <v>1.5848</v>
      </c>
      <c r="L615" s="7">
        <f t="shared" si="444"/>
        <v>343.15688</v>
      </c>
      <c r="M615" s="7">
        <f t="shared" si="445"/>
        <v>72.0629448</v>
      </c>
      <c r="N615" s="7">
        <f t="shared" si="446"/>
        <v>415.2198248</v>
      </c>
    </row>
    <row r="616" ht="15.75" hidden="1" customHeight="1">
      <c r="A616" s="5" t="s">
        <v>15</v>
      </c>
      <c r="B616" s="14">
        <v>3463.0</v>
      </c>
      <c r="C616" s="12">
        <v>3529.0</v>
      </c>
      <c r="D616" s="5">
        <f t="shared" si="437"/>
        <v>0.066</v>
      </c>
      <c r="E616" s="5">
        <f t="shared" si="438"/>
        <v>39.14</v>
      </c>
      <c r="F616" s="5">
        <v>55.0</v>
      </c>
      <c r="G616" s="7">
        <f t="shared" si="439"/>
        <v>170.23512</v>
      </c>
      <c r="H616" s="7">
        <f t="shared" si="440"/>
        <v>6.58086</v>
      </c>
      <c r="I616" s="7">
        <f t="shared" si="441"/>
        <v>32.67</v>
      </c>
      <c r="J616" s="7">
        <f t="shared" si="442"/>
        <v>82.1304</v>
      </c>
      <c r="K616" s="7">
        <f t="shared" si="443"/>
        <v>1.8678</v>
      </c>
      <c r="L616" s="7">
        <f t="shared" si="444"/>
        <v>387.62418</v>
      </c>
      <c r="M616" s="7">
        <f t="shared" si="445"/>
        <v>81.4010778</v>
      </c>
      <c r="N616" s="7">
        <f t="shared" si="446"/>
        <v>469.0252578</v>
      </c>
    </row>
    <row r="617" ht="15.75" hidden="1" customHeight="1">
      <c r="A617" s="5" t="s">
        <v>16</v>
      </c>
      <c r="B617" s="14">
        <v>2596.0</v>
      </c>
      <c r="C617" s="12">
        <v>2645.0</v>
      </c>
      <c r="D617" s="5">
        <f t="shared" si="437"/>
        <v>0.049</v>
      </c>
      <c r="E617" s="5">
        <f t="shared" si="438"/>
        <v>39.14</v>
      </c>
      <c r="F617" s="5">
        <v>55.0</v>
      </c>
      <c r="G617" s="7">
        <f t="shared" si="439"/>
        <v>126.38668</v>
      </c>
      <c r="H617" s="7">
        <f t="shared" si="440"/>
        <v>4.88579</v>
      </c>
      <c r="I617" s="7">
        <f t="shared" si="441"/>
        <v>24.255</v>
      </c>
      <c r="J617" s="7">
        <f t="shared" si="442"/>
        <v>60.9756</v>
      </c>
      <c r="K617" s="7">
        <f t="shared" si="443"/>
        <v>1.3867</v>
      </c>
      <c r="L617" s="7">
        <f t="shared" si="444"/>
        <v>312.02977</v>
      </c>
      <c r="M617" s="7">
        <f t="shared" si="445"/>
        <v>65.5262517</v>
      </c>
      <c r="N617" s="7">
        <f t="shared" si="446"/>
        <v>377.5560217</v>
      </c>
    </row>
    <row r="618" ht="15.75" hidden="1" customHeight="1">
      <c r="A618" s="5" t="s">
        <v>17</v>
      </c>
      <c r="B618" s="14">
        <v>3145.0</v>
      </c>
      <c r="C618" s="12">
        <v>3242.0</v>
      </c>
      <c r="D618" s="5">
        <f t="shared" si="437"/>
        <v>0.097</v>
      </c>
      <c r="E618" s="5">
        <f t="shared" si="438"/>
        <v>39.14</v>
      </c>
      <c r="F618" s="5">
        <v>55.0</v>
      </c>
      <c r="G618" s="7">
        <f t="shared" si="439"/>
        <v>250.19404</v>
      </c>
      <c r="H618" s="7">
        <f t="shared" si="440"/>
        <v>9.67187</v>
      </c>
      <c r="I618" s="7">
        <f t="shared" si="441"/>
        <v>48.015</v>
      </c>
      <c r="J618" s="7">
        <f t="shared" si="442"/>
        <v>120.7068</v>
      </c>
      <c r="K618" s="7">
        <f t="shared" si="443"/>
        <v>2.7451</v>
      </c>
      <c r="L618" s="7">
        <f t="shared" si="444"/>
        <v>525.47281</v>
      </c>
      <c r="M618" s="7">
        <f t="shared" si="445"/>
        <v>110.3492901</v>
      </c>
      <c r="N618" s="7">
        <f t="shared" si="446"/>
        <v>635.8221001</v>
      </c>
    </row>
    <row r="619" ht="15.75" hidden="1" customHeight="1">
      <c r="A619" s="5" t="s">
        <v>18</v>
      </c>
      <c r="B619" s="14">
        <v>3030.0</v>
      </c>
      <c r="C619" s="12">
        <v>3081.0</v>
      </c>
      <c r="D619" s="5">
        <f t="shared" si="437"/>
        <v>0.051</v>
      </c>
      <c r="E619" s="5">
        <f t="shared" si="438"/>
        <v>39.14</v>
      </c>
      <c r="F619" s="5">
        <v>55.0</v>
      </c>
      <c r="G619" s="7">
        <f t="shared" si="439"/>
        <v>131.54532</v>
      </c>
      <c r="H619" s="7">
        <f t="shared" si="440"/>
        <v>5.08521</v>
      </c>
      <c r="I619" s="7">
        <f t="shared" si="441"/>
        <v>25.245</v>
      </c>
      <c r="J619" s="7">
        <f t="shared" si="442"/>
        <v>63.4644</v>
      </c>
      <c r="K619" s="7">
        <f t="shared" si="443"/>
        <v>1.4433</v>
      </c>
      <c r="L619" s="7">
        <f t="shared" si="444"/>
        <v>320.92323</v>
      </c>
      <c r="M619" s="7">
        <f t="shared" si="445"/>
        <v>67.3938783</v>
      </c>
      <c r="N619" s="7">
        <f t="shared" si="446"/>
        <v>388.3171083</v>
      </c>
    </row>
    <row r="620" ht="15.75" hidden="1" customHeight="1">
      <c r="A620" s="5" t="s">
        <v>19</v>
      </c>
      <c r="B620" s="14">
        <v>89184.0</v>
      </c>
      <c r="C620" s="12">
        <v>90933.0</v>
      </c>
      <c r="D620" s="5">
        <f t="shared" si="437"/>
        <v>1.749</v>
      </c>
      <c r="E620" s="5">
        <v>169.69</v>
      </c>
      <c r="F620" s="5">
        <v>78.05</v>
      </c>
      <c r="G620" s="7">
        <f t="shared" si="439"/>
        <v>4511.23068</v>
      </c>
      <c r="H620" s="7">
        <f t="shared" si="440"/>
        <v>174.39279</v>
      </c>
      <c r="I620" s="7">
        <f t="shared" si="441"/>
        <v>865.755</v>
      </c>
      <c r="J620" s="7">
        <f t="shared" si="442"/>
        <v>2176.4556</v>
      </c>
      <c r="K620" s="7">
        <f t="shared" si="443"/>
        <v>49.4967</v>
      </c>
      <c r="L620" s="7">
        <f t="shared" si="444"/>
        <v>8025.07077</v>
      </c>
      <c r="M620" s="7">
        <f t="shared" si="445"/>
        <v>1685.264862</v>
      </c>
      <c r="N620" s="7">
        <f t="shared" si="446"/>
        <v>9710.335632</v>
      </c>
    </row>
    <row r="621" ht="15.75" hidden="1" customHeight="1">
      <c r="A621" s="5" t="s">
        <v>30</v>
      </c>
      <c r="B621" s="14">
        <v>13019.0</v>
      </c>
      <c r="C621" s="12">
        <v>13252.0</v>
      </c>
      <c r="D621" s="5">
        <f t="shared" si="437"/>
        <v>0.233</v>
      </c>
      <c r="E621" s="5">
        <f t="shared" ref="E621:E622" si="447">29.8+9.34</f>
        <v>39.14</v>
      </c>
      <c r="F621" s="5">
        <v>55.0</v>
      </c>
      <c r="G621" s="7">
        <f t="shared" si="439"/>
        <v>600.98156</v>
      </c>
      <c r="H621" s="7">
        <f t="shared" si="440"/>
        <v>23.23243</v>
      </c>
      <c r="I621" s="7">
        <f t="shared" si="441"/>
        <v>115.335</v>
      </c>
      <c r="J621" s="7">
        <f t="shared" si="442"/>
        <v>289.9452</v>
      </c>
      <c r="K621" s="7">
        <f t="shared" si="443"/>
        <v>6.5939</v>
      </c>
      <c r="L621" s="7">
        <f t="shared" si="444"/>
        <v>1130.22809</v>
      </c>
      <c r="M621" s="7">
        <f t="shared" si="445"/>
        <v>237.3478989</v>
      </c>
      <c r="N621" s="7">
        <f t="shared" si="446"/>
        <v>1367.575989</v>
      </c>
    </row>
    <row r="622" ht="15.75" hidden="1" customHeight="1">
      <c r="A622" s="5" t="s">
        <v>31</v>
      </c>
      <c r="B622" s="14">
        <v>62320.0</v>
      </c>
      <c r="C622" s="12">
        <v>63504.0</v>
      </c>
      <c r="D622" s="5">
        <f t="shared" si="437"/>
        <v>1.184</v>
      </c>
      <c r="E622" s="5">
        <f t="shared" si="447"/>
        <v>39.14</v>
      </c>
      <c r="F622" s="5">
        <v>55.0</v>
      </c>
      <c r="G622" s="7">
        <f t="shared" si="439"/>
        <v>3053.91488</v>
      </c>
      <c r="H622" s="7">
        <f t="shared" si="440"/>
        <v>118.05664</v>
      </c>
      <c r="I622" s="7">
        <f t="shared" si="441"/>
        <v>586.08</v>
      </c>
      <c r="J622" s="7">
        <f t="shared" si="442"/>
        <v>1473.3696</v>
      </c>
      <c r="K622" s="7">
        <f t="shared" si="443"/>
        <v>33.5072</v>
      </c>
      <c r="L622" s="13">
        <f t="shared" si="444"/>
        <v>5359.06832</v>
      </c>
      <c r="M622" s="7">
        <f t="shared" si="445"/>
        <v>1125.404347</v>
      </c>
      <c r="N622" s="7">
        <f t="shared" si="446"/>
        <v>6484.472667</v>
      </c>
    </row>
    <row r="623" ht="15.75" hidden="1" customHeight="1">
      <c r="A623" s="5"/>
      <c r="C623" s="4"/>
      <c r="D623" s="5"/>
      <c r="G623" s="5"/>
      <c r="L623" s="18">
        <f>SUM(L612:L622)</f>
        <v>17726.52887</v>
      </c>
      <c r="M623" s="19">
        <f t="shared" si="445"/>
        <v>3722.571063</v>
      </c>
      <c r="N623" s="20">
        <f t="shared" si="446"/>
        <v>21449.09993</v>
      </c>
    </row>
    <row r="624" ht="15.75" hidden="1" customHeight="1">
      <c r="A624" s="5"/>
      <c r="C624" s="4"/>
      <c r="D624" s="5">
        <f>SUM(D612:D622)</f>
        <v>3.719</v>
      </c>
      <c r="G624" s="5"/>
    </row>
    <row r="625" ht="15.75" hidden="1" customHeight="1">
      <c r="A625" s="5"/>
      <c r="C625" s="4"/>
      <c r="D625" s="5"/>
      <c r="G625" s="5"/>
    </row>
    <row r="626" ht="15.75" hidden="1" customHeight="1">
      <c r="A626" s="5" t="s">
        <v>51</v>
      </c>
      <c r="C626" s="4"/>
      <c r="D626" s="5"/>
      <c r="G626" s="5"/>
    </row>
    <row r="627" ht="15.75" hidden="1" customHeight="1">
      <c r="A627" s="5" t="s">
        <v>11</v>
      </c>
      <c r="B627" s="14">
        <v>4231.0</v>
      </c>
      <c r="C627" s="12">
        <v>4329.0</v>
      </c>
      <c r="D627" s="5">
        <f t="shared" ref="D627:D637" si="448">(C627-B627)/1000</f>
        <v>0.098</v>
      </c>
      <c r="E627" s="5">
        <f t="shared" ref="E627:E634" si="449">29.8+9.34</f>
        <v>39.14</v>
      </c>
      <c r="F627" s="5">
        <v>55.0</v>
      </c>
      <c r="G627" s="7">
        <f t="shared" ref="G627:G637" si="450">D627*$G$2</f>
        <v>252.77336</v>
      </c>
      <c r="H627" s="7">
        <f t="shared" ref="H627:H637" si="451">D627*$H$2</f>
        <v>9.77158</v>
      </c>
      <c r="I627" s="7">
        <f t="shared" ref="I627:I637" si="452">D627*$I$2</f>
        <v>48.51</v>
      </c>
      <c r="J627" s="7">
        <f t="shared" ref="J627:J637" si="453">D627*$J$2</f>
        <v>121.9512</v>
      </c>
      <c r="K627" s="7">
        <f t="shared" ref="K627:K637" si="454">D627*$K$2</f>
        <v>2.7734</v>
      </c>
      <c r="L627" s="7">
        <f t="shared" ref="L627:L637" si="455">SUM(E627:K627)</f>
        <v>529.91954</v>
      </c>
      <c r="M627" s="7">
        <f t="shared" ref="M627:M638" si="456">L627*0.21</f>
        <v>111.2831034</v>
      </c>
      <c r="N627" s="7">
        <f t="shared" ref="N627:N638" si="457">L627+M627</f>
        <v>641.2026434</v>
      </c>
    </row>
    <row r="628" ht="15.75" hidden="1" customHeight="1">
      <c r="A628" s="5" t="s">
        <v>12</v>
      </c>
      <c r="B628" s="14">
        <v>3060.0</v>
      </c>
      <c r="C628" s="12">
        <v>3118.0</v>
      </c>
      <c r="D628" s="5">
        <f t="shared" si="448"/>
        <v>0.058</v>
      </c>
      <c r="E628" s="5">
        <f t="shared" si="449"/>
        <v>39.14</v>
      </c>
      <c r="F628" s="5">
        <v>55.0</v>
      </c>
      <c r="G628" s="7">
        <f t="shared" si="450"/>
        <v>149.60056</v>
      </c>
      <c r="H628" s="7">
        <f t="shared" si="451"/>
        <v>5.78318</v>
      </c>
      <c r="I628" s="7">
        <f t="shared" si="452"/>
        <v>28.71</v>
      </c>
      <c r="J628" s="7">
        <f t="shared" si="453"/>
        <v>72.1752</v>
      </c>
      <c r="K628" s="7">
        <f t="shared" si="454"/>
        <v>1.6414</v>
      </c>
      <c r="L628" s="7">
        <f t="shared" si="455"/>
        <v>352.05034</v>
      </c>
      <c r="M628" s="7">
        <f t="shared" si="456"/>
        <v>73.9305714</v>
      </c>
      <c r="N628" s="7">
        <f t="shared" si="457"/>
        <v>425.9809114</v>
      </c>
    </row>
    <row r="629" ht="15.75" hidden="1" customHeight="1">
      <c r="A629" s="5" t="s">
        <v>13</v>
      </c>
      <c r="B629" s="14">
        <v>3983.0</v>
      </c>
      <c r="C629" s="12">
        <v>4099.0</v>
      </c>
      <c r="D629" s="5">
        <f t="shared" si="448"/>
        <v>0.116</v>
      </c>
      <c r="E629" s="5">
        <f t="shared" si="449"/>
        <v>39.14</v>
      </c>
      <c r="F629" s="5">
        <v>55.0</v>
      </c>
      <c r="G629" s="7">
        <f t="shared" si="450"/>
        <v>299.20112</v>
      </c>
      <c r="H629" s="7">
        <f t="shared" si="451"/>
        <v>11.56636</v>
      </c>
      <c r="I629" s="7">
        <f t="shared" si="452"/>
        <v>57.42</v>
      </c>
      <c r="J629" s="7">
        <f t="shared" si="453"/>
        <v>144.3504</v>
      </c>
      <c r="K629" s="7">
        <f t="shared" si="454"/>
        <v>3.2828</v>
      </c>
      <c r="L629" s="7">
        <f t="shared" si="455"/>
        <v>609.96068</v>
      </c>
      <c r="M629" s="7">
        <f t="shared" si="456"/>
        <v>128.0917428</v>
      </c>
      <c r="N629" s="7">
        <f t="shared" si="457"/>
        <v>738.0524228</v>
      </c>
    </row>
    <row r="630" ht="15.75" hidden="1" customHeight="1">
      <c r="A630" s="5" t="s">
        <v>14</v>
      </c>
      <c r="B630" s="14">
        <v>3254.0</v>
      </c>
      <c r="C630" s="12">
        <v>3343.0</v>
      </c>
      <c r="D630" s="5">
        <f t="shared" si="448"/>
        <v>0.089</v>
      </c>
      <c r="E630" s="5">
        <f t="shared" si="449"/>
        <v>39.14</v>
      </c>
      <c r="F630" s="5">
        <v>55.0</v>
      </c>
      <c r="G630" s="7">
        <f t="shared" si="450"/>
        <v>229.55948</v>
      </c>
      <c r="H630" s="7">
        <f t="shared" si="451"/>
        <v>8.87419</v>
      </c>
      <c r="I630" s="7">
        <f t="shared" si="452"/>
        <v>44.055</v>
      </c>
      <c r="J630" s="7">
        <f t="shared" si="453"/>
        <v>110.7516</v>
      </c>
      <c r="K630" s="7">
        <f t="shared" si="454"/>
        <v>2.5187</v>
      </c>
      <c r="L630" s="7">
        <f t="shared" si="455"/>
        <v>489.89897</v>
      </c>
      <c r="M630" s="7">
        <f t="shared" si="456"/>
        <v>102.8787837</v>
      </c>
      <c r="N630" s="7">
        <f t="shared" si="457"/>
        <v>592.7777537</v>
      </c>
    </row>
    <row r="631" ht="15.75" hidden="1" customHeight="1">
      <c r="A631" s="5" t="s">
        <v>15</v>
      </c>
      <c r="B631" s="14">
        <v>3529.0</v>
      </c>
      <c r="C631" s="12">
        <v>3602.0</v>
      </c>
      <c r="D631" s="5">
        <f t="shared" si="448"/>
        <v>0.073</v>
      </c>
      <c r="E631" s="5">
        <f t="shared" si="449"/>
        <v>39.14</v>
      </c>
      <c r="F631" s="5">
        <v>55.0</v>
      </c>
      <c r="G631" s="7">
        <f t="shared" si="450"/>
        <v>188.29036</v>
      </c>
      <c r="H631" s="7">
        <f t="shared" si="451"/>
        <v>7.27883</v>
      </c>
      <c r="I631" s="7">
        <f t="shared" si="452"/>
        <v>36.135</v>
      </c>
      <c r="J631" s="7">
        <f t="shared" si="453"/>
        <v>90.8412</v>
      </c>
      <c r="K631" s="7">
        <f t="shared" si="454"/>
        <v>2.0659</v>
      </c>
      <c r="L631" s="7">
        <f t="shared" si="455"/>
        <v>418.75129</v>
      </c>
      <c r="M631" s="7">
        <f t="shared" si="456"/>
        <v>87.9377709</v>
      </c>
      <c r="N631" s="7">
        <f t="shared" si="457"/>
        <v>506.6890609</v>
      </c>
    </row>
    <row r="632" ht="15.75" hidden="1" customHeight="1">
      <c r="A632" s="5" t="s">
        <v>16</v>
      </c>
      <c r="B632" s="14">
        <v>2645.0</v>
      </c>
      <c r="C632" s="12">
        <v>2715.0</v>
      </c>
      <c r="D632" s="5">
        <f t="shared" si="448"/>
        <v>0.07</v>
      </c>
      <c r="E632" s="5">
        <f t="shared" si="449"/>
        <v>39.14</v>
      </c>
      <c r="F632" s="5">
        <v>55.0</v>
      </c>
      <c r="G632" s="7">
        <f t="shared" si="450"/>
        <v>180.5524</v>
      </c>
      <c r="H632" s="7">
        <f t="shared" si="451"/>
        <v>6.9797</v>
      </c>
      <c r="I632" s="7">
        <f t="shared" si="452"/>
        <v>34.65</v>
      </c>
      <c r="J632" s="7">
        <f t="shared" si="453"/>
        <v>87.108</v>
      </c>
      <c r="K632" s="7">
        <f t="shared" si="454"/>
        <v>1.981</v>
      </c>
      <c r="L632" s="7">
        <f t="shared" si="455"/>
        <v>405.4111</v>
      </c>
      <c r="M632" s="7">
        <f t="shared" si="456"/>
        <v>85.136331</v>
      </c>
      <c r="N632" s="7">
        <f t="shared" si="457"/>
        <v>490.547431</v>
      </c>
    </row>
    <row r="633" ht="15.75" hidden="1" customHeight="1">
      <c r="A633" s="5" t="s">
        <v>17</v>
      </c>
      <c r="B633" s="14">
        <v>3242.0</v>
      </c>
      <c r="C633" s="12">
        <v>3312.0</v>
      </c>
      <c r="D633" s="5">
        <f t="shared" si="448"/>
        <v>0.07</v>
      </c>
      <c r="E633" s="5">
        <f t="shared" si="449"/>
        <v>39.14</v>
      </c>
      <c r="F633" s="5">
        <v>55.0</v>
      </c>
      <c r="G633" s="7">
        <f t="shared" si="450"/>
        <v>180.5524</v>
      </c>
      <c r="H633" s="7">
        <f t="shared" si="451"/>
        <v>6.9797</v>
      </c>
      <c r="I633" s="7">
        <f t="shared" si="452"/>
        <v>34.65</v>
      </c>
      <c r="J633" s="7">
        <f t="shared" si="453"/>
        <v>87.108</v>
      </c>
      <c r="K633" s="7">
        <f t="shared" si="454"/>
        <v>1.981</v>
      </c>
      <c r="L633" s="7">
        <f t="shared" si="455"/>
        <v>405.4111</v>
      </c>
      <c r="M633" s="7">
        <f t="shared" si="456"/>
        <v>85.136331</v>
      </c>
      <c r="N633" s="7">
        <f t="shared" si="457"/>
        <v>490.547431</v>
      </c>
    </row>
    <row r="634" ht="15.75" hidden="1" customHeight="1">
      <c r="A634" s="5" t="s">
        <v>18</v>
      </c>
      <c r="B634" s="14">
        <v>3081.0</v>
      </c>
      <c r="C634" s="12">
        <v>3149.0</v>
      </c>
      <c r="D634" s="5">
        <f t="shared" si="448"/>
        <v>0.068</v>
      </c>
      <c r="E634" s="5">
        <f t="shared" si="449"/>
        <v>39.14</v>
      </c>
      <c r="F634" s="5">
        <v>55.0</v>
      </c>
      <c r="G634" s="7">
        <f t="shared" si="450"/>
        <v>175.39376</v>
      </c>
      <c r="H634" s="7">
        <f t="shared" si="451"/>
        <v>6.78028</v>
      </c>
      <c r="I634" s="7">
        <f t="shared" si="452"/>
        <v>33.66</v>
      </c>
      <c r="J634" s="7">
        <f t="shared" si="453"/>
        <v>84.6192</v>
      </c>
      <c r="K634" s="7">
        <f t="shared" si="454"/>
        <v>1.9244</v>
      </c>
      <c r="L634" s="7">
        <f t="shared" si="455"/>
        <v>396.51764</v>
      </c>
      <c r="M634" s="7">
        <f t="shared" si="456"/>
        <v>83.2687044</v>
      </c>
      <c r="N634" s="7">
        <f t="shared" si="457"/>
        <v>479.7863444</v>
      </c>
    </row>
    <row r="635" ht="15.75" hidden="1" customHeight="1">
      <c r="A635" s="5" t="s">
        <v>19</v>
      </c>
      <c r="B635" s="14">
        <v>90933.0</v>
      </c>
      <c r="C635" s="12">
        <v>93082.0</v>
      </c>
      <c r="D635" s="5">
        <f t="shared" si="448"/>
        <v>2.149</v>
      </c>
      <c r="E635" s="5">
        <v>169.69</v>
      </c>
      <c r="F635" s="5">
        <v>78.05</v>
      </c>
      <c r="G635" s="7">
        <f t="shared" si="450"/>
        <v>5542.95868</v>
      </c>
      <c r="H635" s="7">
        <f t="shared" si="451"/>
        <v>214.27679</v>
      </c>
      <c r="I635" s="7">
        <f t="shared" si="452"/>
        <v>1063.755</v>
      </c>
      <c r="J635" s="7">
        <f t="shared" si="453"/>
        <v>2674.2156</v>
      </c>
      <c r="K635" s="7">
        <f t="shared" si="454"/>
        <v>60.8167</v>
      </c>
      <c r="L635" s="7">
        <f t="shared" si="455"/>
        <v>9803.76277</v>
      </c>
      <c r="M635" s="7">
        <f t="shared" si="456"/>
        <v>2058.790182</v>
      </c>
      <c r="N635" s="7">
        <f t="shared" si="457"/>
        <v>11862.55295</v>
      </c>
    </row>
    <row r="636" ht="15.75" hidden="1" customHeight="1">
      <c r="A636" s="5" t="s">
        <v>30</v>
      </c>
      <c r="B636" s="14">
        <v>13252.0</v>
      </c>
      <c r="C636" s="12">
        <v>13519.0</v>
      </c>
      <c r="D636" s="5">
        <f t="shared" si="448"/>
        <v>0.267</v>
      </c>
      <c r="E636" s="5">
        <f t="shared" ref="E636:E637" si="458">29.8+9.34</f>
        <v>39.14</v>
      </c>
      <c r="F636" s="5">
        <v>55.0</v>
      </c>
      <c r="G636" s="7">
        <f t="shared" si="450"/>
        <v>688.67844</v>
      </c>
      <c r="H636" s="7">
        <f t="shared" si="451"/>
        <v>26.62257</v>
      </c>
      <c r="I636" s="7">
        <f t="shared" si="452"/>
        <v>132.165</v>
      </c>
      <c r="J636" s="7">
        <f t="shared" si="453"/>
        <v>332.2548</v>
      </c>
      <c r="K636" s="7">
        <f t="shared" si="454"/>
        <v>7.5561</v>
      </c>
      <c r="L636" s="7">
        <f t="shared" si="455"/>
        <v>1281.41691</v>
      </c>
      <c r="M636" s="7">
        <f t="shared" si="456"/>
        <v>269.0975511</v>
      </c>
      <c r="N636" s="7">
        <f t="shared" si="457"/>
        <v>1550.514461</v>
      </c>
    </row>
    <row r="637" ht="15.75" hidden="1" customHeight="1">
      <c r="A637" s="5" t="s">
        <v>31</v>
      </c>
      <c r="B637" s="14">
        <v>63504.0</v>
      </c>
      <c r="C637" s="12">
        <v>64798.0</v>
      </c>
      <c r="D637" s="5">
        <f t="shared" si="448"/>
        <v>1.294</v>
      </c>
      <c r="E637" s="5">
        <f t="shared" si="458"/>
        <v>39.14</v>
      </c>
      <c r="F637" s="5">
        <v>55.0</v>
      </c>
      <c r="G637" s="7">
        <f t="shared" si="450"/>
        <v>3337.64008</v>
      </c>
      <c r="H637" s="7">
        <f t="shared" si="451"/>
        <v>129.02474</v>
      </c>
      <c r="I637" s="7">
        <f t="shared" si="452"/>
        <v>640.53</v>
      </c>
      <c r="J637" s="7">
        <f t="shared" si="453"/>
        <v>1610.2536</v>
      </c>
      <c r="K637" s="7">
        <f t="shared" si="454"/>
        <v>36.6202</v>
      </c>
      <c r="L637" s="13">
        <f t="shared" si="455"/>
        <v>5848.20862</v>
      </c>
      <c r="M637" s="7">
        <f t="shared" si="456"/>
        <v>1228.12381</v>
      </c>
      <c r="N637" s="7">
        <f t="shared" si="457"/>
        <v>7076.33243</v>
      </c>
    </row>
    <row r="638" ht="15.75" hidden="1" customHeight="1">
      <c r="A638" s="5"/>
      <c r="C638" s="4"/>
      <c r="D638" s="5"/>
      <c r="G638" s="5"/>
      <c r="L638" s="18">
        <f>SUM(L627:L637)</f>
        <v>20541.30896</v>
      </c>
      <c r="M638" s="19">
        <f t="shared" si="456"/>
        <v>4313.674882</v>
      </c>
      <c r="N638" s="20">
        <f t="shared" si="457"/>
        <v>24854.98384</v>
      </c>
    </row>
    <row r="639" ht="15.75" hidden="1" customHeight="1">
      <c r="A639" s="5"/>
      <c r="C639" s="4"/>
      <c r="D639" s="5">
        <f>SUM(D627:D637)</f>
        <v>4.352</v>
      </c>
      <c r="G639" s="5"/>
    </row>
    <row r="640" ht="15.75" hidden="1" customHeight="1">
      <c r="A640" s="5"/>
      <c r="C640" s="4"/>
      <c r="D640" s="5"/>
      <c r="G640" s="5"/>
    </row>
    <row r="641" ht="15.75" hidden="1" customHeight="1">
      <c r="A641" s="5"/>
      <c r="C641" s="4"/>
      <c r="D641" s="5"/>
      <c r="G641" s="5"/>
    </row>
    <row r="642" ht="15.75" hidden="1" customHeight="1">
      <c r="A642" s="5"/>
      <c r="C642" s="4"/>
      <c r="D642" s="5"/>
      <c r="G642" s="5"/>
    </row>
    <row r="643" ht="15.75" hidden="1" customHeight="1">
      <c r="A643" s="24" t="s">
        <v>62</v>
      </c>
      <c r="B643" s="25"/>
      <c r="C643" s="26"/>
      <c r="D643" s="24"/>
      <c r="E643" s="25"/>
      <c r="F643" s="25"/>
      <c r="G643" s="24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hidden="1" customHeight="1">
      <c r="A644" s="1" t="s">
        <v>63</v>
      </c>
      <c r="C644" s="4"/>
      <c r="D644" s="5"/>
      <c r="G644" s="5"/>
    </row>
    <row r="645" ht="15.75" hidden="1" customHeight="1">
      <c r="A645" s="5" t="s">
        <v>11</v>
      </c>
      <c r="B645" s="14">
        <v>4329.0</v>
      </c>
      <c r="C645" s="12">
        <v>4469.0</v>
      </c>
      <c r="D645" s="5">
        <f t="shared" ref="D645:D655" si="459">(C645-B645)/1000</f>
        <v>0.14</v>
      </c>
      <c r="E645" s="5">
        <f t="shared" ref="E645:E652" si="460">29.8+9.34</f>
        <v>39.14</v>
      </c>
      <c r="F645" s="5">
        <v>55.0</v>
      </c>
      <c r="G645" s="7">
        <f t="shared" ref="G645:G655" si="461">D645*$G$2</f>
        <v>361.1048</v>
      </c>
      <c r="H645" s="7">
        <f t="shared" ref="H645:H655" si="462">D645*$H$2</f>
        <v>13.9594</v>
      </c>
      <c r="I645" s="7">
        <f t="shared" ref="I645:I655" si="463">D645*$I$2</f>
        <v>69.3</v>
      </c>
      <c r="J645" s="7">
        <f t="shared" ref="J645:J655" si="464">D645*$J$2</f>
        <v>174.216</v>
      </c>
      <c r="K645" s="7">
        <f t="shared" ref="K645:K655" si="465">D645*$K$2</f>
        <v>3.962</v>
      </c>
      <c r="L645" s="7">
        <f t="shared" ref="L645:L655" si="466">SUM(E645:K645)</f>
        <v>716.6822</v>
      </c>
      <c r="M645" s="7">
        <f t="shared" ref="M645:M656" si="467">L645*0.21</f>
        <v>150.503262</v>
      </c>
      <c r="N645" s="7">
        <f t="shared" ref="N645:N656" si="468">L645+M645</f>
        <v>867.185462</v>
      </c>
    </row>
    <row r="646" ht="15.75" hidden="1" customHeight="1">
      <c r="A646" s="5" t="s">
        <v>12</v>
      </c>
      <c r="B646" s="14">
        <v>3118.0</v>
      </c>
      <c r="C646" s="12">
        <v>3190.0</v>
      </c>
      <c r="D646" s="5">
        <f t="shared" si="459"/>
        <v>0.072</v>
      </c>
      <c r="E646" s="5">
        <f t="shared" si="460"/>
        <v>39.14</v>
      </c>
      <c r="F646" s="5">
        <v>55.0</v>
      </c>
      <c r="G646" s="7">
        <f t="shared" si="461"/>
        <v>185.71104</v>
      </c>
      <c r="H646" s="7">
        <f t="shared" si="462"/>
        <v>7.17912</v>
      </c>
      <c r="I646" s="7">
        <f t="shared" si="463"/>
        <v>35.64</v>
      </c>
      <c r="J646" s="7">
        <f t="shared" si="464"/>
        <v>89.5968</v>
      </c>
      <c r="K646" s="7">
        <f t="shared" si="465"/>
        <v>2.0376</v>
      </c>
      <c r="L646" s="7">
        <f t="shared" si="466"/>
        <v>414.30456</v>
      </c>
      <c r="M646" s="7">
        <f t="shared" si="467"/>
        <v>87.0039576</v>
      </c>
      <c r="N646" s="7">
        <f t="shared" si="468"/>
        <v>501.3085176</v>
      </c>
    </row>
    <row r="647" ht="15.75" hidden="1" customHeight="1">
      <c r="A647" s="5" t="s">
        <v>13</v>
      </c>
      <c r="B647" s="14">
        <v>4099.0</v>
      </c>
      <c r="C647" s="12">
        <v>4172.0</v>
      </c>
      <c r="D647" s="5">
        <f t="shared" si="459"/>
        <v>0.073</v>
      </c>
      <c r="E647" s="5">
        <f t="shared" si="460"/>
        <v>39.14</v>
      </c>
      <c r="F647" s="5">
        <v>55.0</v>
      </c>
      <c r="G647" s="7">
        <f t="shared" si="461"/>
        <v>188.29036</v>
      </c>
      <c r="H647" s="7">
        <f t="shared" si="462"/>
        <v>7.27883</v>
      </c>
      <c r="I647" s="7">
        <f t="shared" si="463"/>
        <v>36.135</v>
      </c>
      <c r="J647" s="7">
        <f t="shared" si="464"/>
        <v>90.8412</v>
      </c>
      <c r="K647" s="7">
        <f t="shared" si="465"/>
        <v>2.0659</v>
      </c>
      <c r="L647" s="7">
        <f t="shared" si="466"/>
        <v>418.75129</v>
      </c>
      <c r="M647" s="7">
        <f t="shared" si="467"/>
        <v>87.9377709</v>
      </c>
      <c r="N647" s="7">
        <f t="shared" si="468"/>
        <v>506.6890609</v>
      </c>
    </row>
    <row r="648" ht="15.75" hidden="1" customHeight="1">
      <c r="A648" s="5" t="s">
        <v>14</v>
      </c>
      <c r="B648" s="14">
        <v>3343.0</v>
      </c>
      <c r="C648" s="12">
        <v>3417.0</v>
      </c>
      <c r="D648" s="5">
        <f t="shared" si="459"/>
        <v>0.074</v>
      </c>
      <c r="E648" s="5">
        <f t="shared" si="460"/>
        <v>39.14</v>
      </c>
      <c r="F648" s="5">
        <v>55.0</v>
      </c>
      <c r="G648" s="7">
        <f t="shared" si="461"/>
        <v>190.86968</v>
      </c>
      <c r="H648" s="7">
        <f t="shared" si="462"/>
        <v>7.37854</v>
      </c>
      <c r="I648" s="7">
        <f t="shared" si="463"/>
        <v>36.63</v>
      </c>
      <c r="J648" s="7">
        <f t="shared" si="464"/>
        <v>92.0856</v>
      </c>
      <c r="K648" s="7">
        <f t="shared" si="465"/>
        <v>2.0942</v>
      </c>
      <c r="L648" s="7">
        <f t="shared" si="466"/>
        <v>423.19802</v>
      </c>
      <c r="M648" s="7">
        <f t="shared" si="467"/>
        <v>88.8715842</v>
      </c>
      <c r="N648" s="7">
        <f t="shared" si="468"/>
        <v>512.0696042</v>
      </c>
    </row>
    <row r="649" ht="15.75" hidden="1" customHeight="1">
      <c r="A649" s="5" t="s">
        <v>15</v>
      </c>
      <c r="B649" s="14">
        <v>3602.0</v>
      </c>
      <c r="C649" s="12">
        <v>3679.0</v>
      </c>
      <c r="D649" s="5">
        <f t="shared" si="459"/>
        <v>0.077</v>
      </c>
      <c r="E649" s="5">
        <f t="shared" si="460"/>
        <v>39.14</v>
      </c>
      <c r="F649" s="5">
        <v>55.0</v>
      </c>
      <c r="G649" s="7">
        <f t="shared" si="461"/>
        <v>198.60764</v>
      </c>
      <c r="H649" s="7">
        <f t="shared" si="462"/>
        <v>7.67767</v>
      </c>
      <c r="I649" s="7">
        <f t="shared" si="463"/>
        <v>38.115</v>
      </c>
      <c r="J649" s="7">
        <f t="shared" si="464"/>
        <v>95.8188</v>
      </c>
      <c r="K649" s="7">
        <f t="shared" si="465"/>
        <v>2.1791</v>
      </c>
      <c r="L649" s="7">
        <f t="shared" si="466"/>
        <v>436.53821</v>
      </c>
      <c r="M649" s="7">
        <f t="shared" si="467"/>
        <v>91.6730241</v>
      </c>
      <c r="N649" s="7">
        <f t="shared" si="468"/>
        <v>528.2112341</v>
      </c>
    </row>
    <row r="650" ht="15.75" hidden="1" customHeight="1">
      <c r="A650" s="5" t="s">
        <v>16</v>
      </c>
      <c r="B650" s="14">
        <v>2715.0</v>
      </c>
      <c r="C650" s="12">
        <v>2791.0</v>
      </c>
      <c r="D650" s="5">
        <f t="shared" si="459"/>
        <v>0.076</v>
      </c>
      <c r="E650" s="5">
        <f t="shared" si="460"/>
        <v>39.14</v>
      </c>
      <c r="F650" s="5">
        <v>55.0</v>
      </c>
      <c r="G650" s="7">
        <f t="shared" si="461"/>
        <v>196.02832</v>
      </c>
      <c r="H650" s="7">
        <f t="shared" si="462"/>
        <v>7.57796</v>
      </c>
      <c r="I650" s="7">
        <f t="shared" si="463"/>
        <v>37.62</v>
      </c>
      <c r="J650" s="7">
        <f t="shared" si="464"/>
        <v>94.5744</v>
      </c>
      <c r="K650" s="7">
        <f t="shared" si="465"/>
        <v>2.1508</v>
      </c>
      <c r="L650" s="7">
        <f t="shared" si="466"/>
        <v>432.09148</v>
      </c>
      <c r="M650" s="7">
        <f t="shared" si="467"/>
        <v>90.7392108</v>
      </c>
      <c r="N650" s="7">
        <f t="shared" si="468"/>
        <v>522.8306908</v>
      </c>
    </row>
    <row r="651" ht="15.75" hidden="1" customHeight="1">
      <c r="A651" s="5" t="s">
        <v>17</v>
      </c>
      <c r="B651" s="14">
        <v>3312.0</v>
      </c>
      <c r="C651" s="12">
        <v>3412.0</v>
      </c>
      <c r="D651" s="5">
        <f t="shared" si="459"/>
        <v>0.1</v>
      </c>
      <c r="E651" s="5">
        <f t="shared" si="460"/>
        <v>39.14</v>
      </c>
      <c r="F651" s="5">
        <v>55.0</v>
      </c>
      <c r="G651" s="7">
        <f t="shared" si="461"/>
        <v>257.932</v>
      </c>
      <c r="H651" s="7">
        <f t="shared" si="462"/>
        <v>9.971</v>
      </c>
      <c r="I651" s="7">
        <f t="shared" si="463"/>
        <v>49.5</v>
      </c>
      <c r="J651" s="7">
        <f t="shared" si="464"/>
        <v>124.44</v>
      </c>
      <c r="K651" s="7">
        <f t="shared" si="465"/>
        <v>2.83</v>
      </c>
      <c r="L651" s="7">
        <f t="shared" si="466"/>
        <v>538.813</v>
      </c>
      <c r="M651" s="7">
        <f t="shared" si="467"/>
        <v>113.15073</v>
      </c>
      <c r="N651" s="7">
        <f t="shared" si="468"/>
        <v>651.96373</v>
      </c>
    </row>
    <row r="652" ht="15.75" hidden="1" customHeight="1">
      <c r="A652" s="5" t="s">
        <v>18</v>
      </c>
      <c r="B652" s="14">
        <v>3149.0</v>
      </c>
      <c r="C652" s="12">
        <v>3216.0</v>
      </c>
      <c r="D652" s="5">
        <f t="shared" si="459"/>
        <v>0.067</v>
      </c>
      <c r="E652" s="5">
        <f t="shared" si="460"/>
        <v>39.14</v>
      </c>
      <c r="F652" s="5">
        <v>55.0</v>
      </c>
      <c r="G652" s="7">
        <f t="shared" si="461"/>
        <v>172.81444</v>
      </c>
      <c r="H652" s="7">
        <f t="shared" si="462"/>
        <v>6.68057</v>
      </c>
      <c r="I652" s="7">
        <f t="shared" si="463"/>
        <v>33.165</v>
      </c>
      <c r="J652" s="7">
        <f t="shared" si="464"/>
        <v>83.3748</v>
      </c>
      <c r="K652" s="7">
        <f t="shared" si="465"/>
        <v>1.8961</v>
      </c>
      <c r="L652" s="7">
        <f t="shared" si="466"/>
        <v>392.07091</v>
      </c>
      <c r="M652" s="7">
        <f t="shared" si="467"/>
        <v>82.3348911</v>
      </c>
      <c r="N652" s="7">
        <f t="shared" si="468"/>
        <v>474.4058011</v>
      </c>
    </row>
    <row r="653" ht="15.75" hidden="1" customHeight="1">
      <c r="A653" s="5" t="s">
        <v>19</v>
      </c>
      <c r="B653" s="14">
        <v>93082.0</v>
      </c>
      <c r="C653" s="12">
        <v>95138.0</v>
      </c>
      <c r="D653" s="5">
        <f t="shared" si="459"/>
        <v>2.056</v>
      </c>
      <c r="E653" s="5">
        <v>169.69</v>
      </c>
      <c r="F653" s="5">
        <v>78.05</v>
      </c>
      <c r="G653" s="7">
        <f t="shared" si="461"/>
        <v>5303.08192</v>
      </c>
      <c r="H653" s="7">
        <f t="shared" si="462"/>
        <v>205.00376</v>
      </c>
      <c r="I653" s="7">
        <f t="shared" si="463"/>
        <v>1017.72</v>
      </c>
      <c r="J653" s="7">
        <f t="shared" si="464"/>
        <v>2558.4864</v>
      </c>
      <c r="K653" s="7">
        <f t="shared" si="465"/>
        <v>58.1848</v>
      </c>
      <c r="L653" s="7">
        <f t="shared" si="466"/>
        <v>9390.21688</v>
      </c>
      <c r="M653" s="7">
        <f t="shared" si="467"/>
        <v>1971.945545</v>
      </c>
      <c r="N653" s="7">
        <f t="shared" si="468"/>
        <v>11362.16242</v>
      </c>
    </row>
    <row r="654" ht="15.75" hidden="1" customHeight="1">
      <c r="A654" s="5" t="s">
        <v>30</v>
      </c>
      <c r="B654" s="14">
        <v>13519.0</v>
      </c>
      <c r="C654" s="12">
        <v>13786.0</v>
      </c>
      <c r="D654" s="5">
        <f t="shared" si="459"/>
        <v>0.267</v>
      </c>
      <c r="E654" s="5">
        <f t="shared" ref="E654:E655" si="469">29.8+9.34</f>
        <v>39.14</v>
      </c>
      <c r="F654" s="5">
        <v>55.0</v>
      </c>
      <c r="G654" s="7">
        <f t="shared" si="461"/>
        <v>688.67844</v>
      </c>
      <c r="H654" s="7">
        <f t="shared" si="462"/>
        <v>26.62257</v>
      </c>
      <c r="I654" s="7">
        <f t="shared" si="463"/>
        <v>132.165</v>
      </c>
      <c r="J654" s="7">
        <f t="shared" si="464"/>
        <v>332.2548</v>
      </c>
      <c r="K654" s="7">
        <f t="shared" si="465"/>
        <v>7.5561</v>
      </c>
      <c r="L654" s="7">
        <f t="shared" si="466"/>
        <v>1281.41691</v>
      </c>
      <c r="M654" s="7">
        <f t="shared" si="467"/>
        <v>269.0975511</v>
      </c>
      <c r="N654" s="7">
        <f t="shared" si="468"/>
        <v>1550.514461</v>
      </c>
    </row>
    <row r="655" ht="15.75" hidden="1" customHeight="1">
      <c r="A655" s="5" t="s">
        <v>31</v>
      </c>
      <c r="B655" s="14">
        <v>64798.0</v>
      </c>
      <c r="C655" s="12">
        <v>66248.0</v>
      </c>
      <c r="D655" s="5">
        <f t="shared" si="459"/>
        <v>1.45</v>
      </c>
      <c r="E655" s="5">
        <f t="shared" si="469"/>
        <v>39.14</v>
      </c>
      <c r="F655" s="5">
        <v>55.0</v>
      </c>
      <c r="G655" s="7">
        <f t="shared" si="461"/>
        <v>3740.014</v>
      </c>
      <c r="H655" s="7">
        <f t="shared" si="462"/>
        <v>144.5795</v>
      </c>
      <c r="I655" s="7">
        <f t="shared" si="463"/>
        <v>717.75</v>
      </c>
      <c r="J655" s="7">
        <f t="shared" si="464"/>
        <v>1804.38</v>
      </c>
      <c r="K655" s="7">
        <f t="shared" si="465"/>
        <v>41.035</v>
      </c>
      <c r="L655" s="13">
        <f t="shared" si="466"/>
        <v>6541.8985</v>
      </c>
      <c r="M655" s="7">
        <f t="shared" si="467"/>
        <v>1373.798685</v>
      </c>
      <c r="N655" s="7">
        <f t="shared" si="468"/>
        <v>7915.697185</v>
      </c>
    </row>
    <row r="656" ht="15.75" hidden="1" customHeight="1">
      <c r="A656" s="5"/>
      <c r="C656" s="4"/>
      <c r="D656" s="5"/>
      <c r="G656" s="5"/>
      <c r="L656" s="18">
        <f>SUM(L645:L655)</f>
        <v>20985.98196</v>
      </c>
      <c r="M656" s="19">
        <f t="shared" si="467"/>
        <v>4407.056212</v>
      </c>
      <c r="N656" s="20">
        <f t="shared" si="468"/>
        <v>25393.03817</v>
      </c>
    </row>
    <row r="657" ht="15.75" hidden="1" customHeight="1">
      <c r="A657" s="5"/>
      <c r="C657" s="4"/>
      <c r="D657" s="5">
        <f>SUM(D645:D655)</f>
        <v>4.452</v>
      </c>
      <c r="G657" s="5"/>
    </row>
    <row r="658" ht="15.75" hidden="1" customHeight="1">
      <c r="A658" s="5"/>
      <c r="C658" s="4"/>
      <c r="D658" s="5"/>
      <c r="G658" s="5"/>
    </row>
    <row r="659" ht="15.75" hidden="1" customHeight="1">
      <c r="A659" s="1" t="s">
        <v>64</v>
      </c>
      <c r="C659" s="4"/>
      <c r="D659" s="5"/>
      <c r="G659" s="5"/>
    </row>
    <row r="660" ht="15.75" hidden="1" customHeight="1">
      <c r="A660" s="5" t="s">
        <v>11</v>
      </c>
      <c r="B660" s="14">
        <v>4469.0</v>
      </c>
      <c r="C660" s="12">
        <v>4565.0</v>
      </c>
      <c r="D660" s="5">
        <f t="shared" ref="D660:D670" si="470">(C660-B660)/1000</f>
        <v>0.096</v>
      </c>
      <c r="E660" s="5">
        <f t="shared" ref="E660:E667" si="471">29.8+9.34</f>
        <v>39.14</v>
      </c>
      <c r="F660" s="5">
        <v>55.0</v>
      </c>
      <c r="G660" s="7">
        <f t="shared" ref="G660:G670" si="472">D660*$G$2</f>
        <v>247.61472</v>
      </c>
      <c r="H660" s="7">
        <f t="shared" ref="H660:H670" si="473">D660*$H$2</f>
        <v>9.57216</v>
      </c>
      <c r="I660" s="7">
        <f t="shared" ref="I660:I670" si="474">D660*$I$2</f>
        <v>47.52</v>
      </c>
      <c r="J660" s="7">
        <f t="shared" ref="J660:J670" si="475">D660*$J$2</f>
        <v>119.4624</v>
      </c>
      <c r="K660" s="7">
        <f t="shared" ref="K660:K670" si="476">D660*$K$2</f>
        <v>2.7168</v>
      </c>
      <c r="L660" s="7">
        <f t="shared" ref="L660:L670" si="477">SUM(E660:K660)</f>
        <v>521.02608</v>
      </c>
      <c r="M660" s="7">
        <f t="shared" ref="M660:M671" si="478">L660*0.21</f>
        <v>109.4154768</v>
      </c>
      <c r="N660" s="7">
        <f t="shared" ref="N660:N671" si="479">L660+M660</f>
        <v>630.4415568</v>
      </c>
    </row>
    <row r="661" ht="15.75" hidden="1" customHeight="1">
      <c r="A661" s="5" t="s">
        <v>12</v>
      </c>
      <c r="B661" s="14">
        <v>3190.0</v>
      </c>
      <c r="C661" s="12">
        <v>3252.0</v>
      </c>
      <c r="D661" s="5">
        <f t="shared" si="470"/>
        <v>0.062</v>
      </c>
      <c r="E661" s="5">
        <f t="shared" si="471"/>
        <v>39.14</v>
      </c>
      <c r="F661" s="5">
        <v>55.0</v>
      </c>
      <c r="G661" s="7">
        <f t="shared" si="472"/>
        <v>159.91784</v>
      </c>
      <c r="H661" s="7">
        <f t="shared" si="473"/>
        <v>6.18202</v>
      </c>
      <c r="I661" s="7">
        <f t="shared" si="474"/>
        <v>30.69</v>
      </c>
      <c r="J661" s="7">
        <f t="shared" si="475"/>
        <v>77.1528</v>
      </c>
      <c r="K661" s="7">
        <f t="shared" si="476"/>
        <v>1.7546</v>
      </c>
      <c r="L661" s="7">
        <f t="shared" si="477"/>
        <v>369.83726</v>
      </c>
      <c r="M661" s="7">
        <f t="shared" si="478"/>
        <v>77.6658246</v>
      </c>
      <c r="N661" s="7">
        <f t="shared" si="479"/>
        <v>447.5030846</v>
      </c>
    </row>
    <row r="662" ht="15.75" hidden="1" customHeight="1">
      <c r="A662" s="5" t="s">
        <v>13</v>
      </c>
      <c r="B662" s="14">
        <v>4172.0</v>
      </c>
      <c r="C662" s="12">
        <v>4289.0</v>
      </c>
      <c r="D662" s="5">
        <f t="shared" si="470"/>
        <v>0.117</v>
      </c>
      <c r="E662" s="5">
        <f t="shared" si="471"/>
        <v>39.14</v>
      </c>
      <c r="F662" s="5">
        <v>55.0</v>
      </c>
      <c r="G662" s="7">
        <f t="shared" si="472"/>
        <v>301.78044</v>
      </c>
      <c r="H662" s="7">
        <f t="shared" si="473"/>
        <v>11.66607</v>
      </c>
      <c r="I662" s="7">
        <f t="shared" si="474"/>
        <v>57.915</v>
      </c>
      <c r="J662" s="7">
        <f t="shared" si="475"/>
        <v>145.5948</v>
      </c>
      <c r="K662" s="7">
        <f t="shared" si="476"/>
        <v>3.3111</v>
      </c>
      <c r="L662" s="7">
        <f t="shared" si="477"/>
        <v>614.40741</v>
      </c>
      <c r="M662" s="7">
        <f t="shared" si="478"/>
        <v>129.0255561</v>
      </c>
      <c r="N662" s="7">
        <f t="shared" si="479"/>
        <v>743.4329661</v>
      </c>
    </row>
    <row r="663" ht="15.75" hidden="1" customHeight="1">
      <c r="A663" s="5" t="s">
        <v>14</v>
      </c>
      <c r="B663" s="14">
        <v>3417.0</v>
      </c>
      <c r="C663" s="12">
        <v>3505.0</v>
      </c>
      <c r="D663" s="5">
        <f t="shared" si="470"/>
        <v>0.088</v>
      </c>
      <c r="E663" s="5">
        <f t="shared" si="471"/>
        <v>39.14</v>
      </c>
      <c r="F663" s="5">
        <v>55.0</v>
      </c>
      <c r="G663" s="7">
        <f t="shared" si="472"/>
        <v>226.98016</v>
      </c>
      <c r="H663" s="7">
        <f t="shared" si="473"/>
        <v>8.77448</v>
      </c>
      <c r="I663" s="7">
        <f t="shared" si="474"/>
        <v>43.56</v>
      </c>
      <c r="J663" s="7">
        <f t="shared" si="475"/>
        <v>109.5072</v>
      </c>
      <c r="K663" s="7">
        <f t="shared" si="476"/>
        <v>2.4904</v>
      </c>
      <c r="L663" s="7">
        <f t="shared" si="477"/>
        <v>485.45224</v>
      </c>
      <c r="M663" s="7">
        <f t="shared" si="478"/>
        <v>101.9449704</v>
      </c>
      <c r="N663" s="7">
        <f t="shared" si="479"/>
        <v>587.3972104</v>
      </c>
    </row>
    <row r="664" ht="15.75" hidden="1" customHeight="1">
      <c r="A664" s="5" t="s">
        <v>15</v>
      </c>
      <c r="B664" s="14">
        <v>3679.0</v>
      </c>
      <c r="C664" s="12">
        <v>3737.0</v>
      </c>
      <c r="D664" s="5">
        <f t="shared" si="470"/>
        <v>0.058</v>
      </c>
      <c r="E664" s="5">
        <f t="shared" si="471"/>
        <v>39.14</v>
      </c>
      <c r="F664" s="5">
        <v>55.0</v>
      </c>
      <c r="G664" s="7">
        <f t="shared" si="472"/>
        <v>149.60056</v>
      </c>
      <c r="H664" s="7">
        <f t="shared" si="473"/>
        <v>5.78318</v>
      </c>
      <c r="I664" s="7">
        <f t="shared" si="474"/>
        <v>28.71</v>
      </c>
      <c r="J664" s="7">
        <f t="shared" si="475"/>
        <v>72.1752</v>
      </c>
      <c r="K664" s="7">
        <f t="shared" si="476"/>
        <v>1.6414</v>
      </c>
      <c r="L664" s="7">
        <f t="shared" si="477"/>
        <v>352.05034</v>
      </c>
      <c r="M664" s="7">
        <f t="shared" si="478"/>
        <v>73.9305714</v>
      </c>
      <c r="N664" s="7">
        <f t="shared" si="479"/>
        <v>425.9809114</v>
      </c>
    </row>
    <row r="665" ht="15.75" hidden="1" customHeight="1">
      <c r="A665" s="5" t="s">
        <v>16</v>
      </c>
      <c r="B665" s="14">
        <v>2791.0</v>
      </c>
      <c r="C665" s="12">
        <v>2855.0</v>
      </c>
      <c r="D665" s="5">
        <f t="shared" si="470"/>
        <v>0.064</v>
      </c>
      <c r="E665" s="5">
        <f t="shared" si="471"/>
        <v>39.14</v>
      </c>
      <c r="F665" s="5">
        <v>55.0</v>
      </c>
      <c r="G665" s="7">
        <f t="shared" si="472"/>
        <v>165.07648</v>
      </c>
      <c r="H665" s="7">
        <f t="shared" si="473"/>
        <v>6.38144</v>
      </c>
      <c r="I665" s="7">
        <f t="shared" si="474"/>
        <v>31.68</v>
      </c>
      <c r="J665" s="7">
        <f t="shared" si="475"/>
        <v>79.6416</v>
      </c>
      <c r="K665" s="7">
        <f t="shared" si="476"/>
        <v>1.8112</v>
      </c>
      <c r="L665" s="7">
        <f t="shared" si="477"/>
        <v>378.73072</v>
      </c>
      <c r="M665" s="7">
        <f t="shared" si="478"/>
        <v>79.5334512</v>
      </c>
      <c r="N665" s="7">
        <f t="shared" si="479"/>
        <v>458.2641712</v>
      </c>
    </row>
    <row r="666" ht="15.75" hidden="1" customHeight="1">
      <c r="A666" s="5" t="s">
        <v>17</v>
      </c>
      <c r="B666" s="14">
        <v>3412.0</v>
      </c>
      <c r="C666" s="12">
        <v>3502.0</v>
      </c>
      <c r="D666" s="5">
        <f t="shared" si="470"/>
        <v>0.09</v>
      </c>
      <c r="E666" s="5">
        <f t="shared" si="471"/>
        <v>39.14</v>
      </c>
      <c r="F666" s="5">
        <v>55.0</v>
      </c>
      <c r="G666" s="7">
        <f t="shared" si="472"/>
        <v>232.1388</v>
      </c>
      <c r="H666" s="7">
        <f t="shared" si="473"/>
        <v>8.9739</v>
      </c>
      <c r="I666" s="7">
        <f t="shared" si="474"/>
        <v>44.55</v>
      </c>
      <c r="J666" s="7">
        <f t="shared" si="475"/>
        <v>111.996</v>
      </c>
      <c r="K666" s="7">
        <f t="shared" si="476"/>
        <v>2.547</v>
      </c>
      <c r="L666" s="7">
        <f t="shared" si="477"/>
        <v>494.3457</v>
      </c>
      <c r="M666" s="7">
        <f t="shared" si="478"/>
        <v>103.812597</v>
      </c>
      <c r="N666" s="7">
        <f t="shared" si="479"/>
        <v>598.158297</v>
      </c>
    </row>
    <row r="667" ht="15.75" hidden="1" customHeight="1">
      <c r="A667" s="5" t="s">
        <v>18</v>
      </c>
      <c r="B667" s="14">
        <v>3216.0</v>
      </c>
      <c r="C667" s="12">
        <v>3299.0</v>
      </c>
      <c r="D667" s="5">
        <f t="shared" si="470"/>
        <v>0.083</v>
      </c>
      <c r="E667" s="5">
        <f t="shared" si="471"/>
        <v>39.14</v>
      </c>
      <c r="F667" s="5">
        <v>55.0</v>
      </c>
      <c r="G667" s="7">
        <f t="shared" si="472"/>
        <v>214.08356</v>
      </c>
      <c r="H667" s="7">
        <f t="shared" si="473"/>
        <v>8.27593</v>
      </c>
      <c r="I667" s="7">
        <f t="shared" si="474"/>
        <v>41.085</v>
      </c>
      <c r="J667" s="7">
        <f t="shared" si="475"/>
        <v>103.2852</v>
      </c>
      <c r="K667" s="7">
        <f t="shared" si="476"/>
        <v>2.3489</v>
      </c>
      <c r="L667" s="7">
        <f t="shared" si="477"/>
        <v>463.21859</v>
      </c>
      <c r="M667" s="7">
        <f t="shared" si="478"/>
        <v>97.2759039</v>
      </c>
      <c r="N667" s="7">
        <f t="shared" si="479"/>
        <v>560.4944939</v>
      </c>
    </row>
    <row r="668" ht="15.75" hidden="1" customHeight="1">
      <c r="A668" s="5" t="s">
        <v>19</v>
      </c>
      <c r="B668" s="14">
        <v>95138.0</v>
      </c>
      <c r="C668" s="12">
        <v>96812.0</v>
      </c>
      <c r="D668" s="5">
        <f t="shared" si="470"/>
        <v>1.674</v>
      </c>
      <c r="E668" s="5">
        <v>169.69</v>
      </c>
      <c r="F668" s="5">
        <v>78.05</v>
      </c>
      <c r="G668" s="7">
        <f t="shared" si="472"/>
        <v>4317.78168</v>
      </c>
      <c r="H668" s="7">
        <f t="shared" si="473"/>
        <v>166.91454</v>
      </c>
      <c r="I668" s="7">
        <f t="shared" si="474"/>
        <v>828.63</v>
      </c>
      <c r="J668" s="7">
        <f t="shared" si="475"/>
        <v>2083.1256</v>
      </c>
      <c r="K668" s="7">
        <f t="shared" si="476"/>
        <v>47.3742</v>
      </c>
      <c r="L668" s="7">
        <f t="shared" si="477"/>
        <v>7691.56602</v>
      </c>
      <c r="M668" s="7">
        <f t="shared" si="478"/>
        <v>1615.228864</v>
      </c>
      <c r="N668" s="7">
        <f t="shared" si="479"/>
        <v>9306.794884</v>
      </c>
    </row>
    <row r="669" ht="15.75" hidden="1" customHeight="1">
      <c r="A669" s="5" t="s">
        <v>30</v>
      </c>
      <c r="B669" s="14">
        <v>13786.0</v>
      </c>
      <c r="C669" s="12">
        <v>14053.0</v>
      </c>
      <c r="D669" s="5">
        <f t="shared" si="470"/>
        <v>0.267</v>
      </c>
      <c r="E669" s="5">
        <f t="shared" ref="E669:E670" si="480">29.8+9.34</f>
        <v>39.14</v>
      </c>
      <c r="F669" s="5">
        <v>55.0</v>
      </c>
      <c r="G669" s="7">
        <f t="shared" si="472"/>
        <v>688.67844</v>
      </c>
      <c r="H669" s="7">
        <f t="shared" si="473"/>
        <v>26.62257</v>
      </c>
      <c r="I669" s="7">
        <f t="shared" si="474"/>
        <v>132.165</v>
      </c>
      <c r="J669" s="7">
        <f t="shared" si="475"/>
        <v>332.2548</v>
      </c>
      <c r="K669" s="7">
        <f t="shared" si="476"/>
        <v>7.5561</v>
      </c>
      <c r="L669" s="7">
        <f t="shared" si="477"/>
        <v>1281.41691</v>
      </c>
      <c r="M669" s="7">
        <f t="shared" si="478"/>
        <v>269.0975511</v>
      </c>
      <c r="N669" s="7">
        <f t="shared" si="479"/>
        <v>1550.514461</v>
      </c>
    </row>
    <row r="670" ht="15.75" hidden="1" customHeight="1">
      <c r="A670" s="5" t="s">
        <v>31</v>
      </c>
      <c r="B670" s="14">
        <v>66248.0</v>
      </c>
      <c r="C670" s="12">
        <v>67648.0</v>
      </c>
      <c r="D670" s="5">
        <f t="shared" si="470"/>
        <v>1.4</v>
      </c>
      <c r="E670" s="5">
        <f t="shared" si="480"/>
        <v>39.14</v>
      </c>
      <c r="F670" s="5">
        <v>55.0</v>
      </c>
      <c r="G670" s="7">
        <f t="shared" si="472"/>
        <v>3611.048</v>
      </c>
      <c r="H670" s="7">
        <f t="shared" si="473"/>
        <v>139.594</v>
      </c>
      <c r="I670" s="7">
        <f t="shared" si="474"/>
        <v>693</v>
      </c>
      <c r="J670" s="7">
        <f t="shared" si="475"/>
        <v>1742.16</v>
      </c>
      <c r="K670" s="7">
        <f t="shared" si="476"/>
        <v>39.62</v>
      </c>
      <c r="L670" s="13">
        <f t="shared" si="477"/>
        <v>6319.562</v>
      </c>
      <c r="M670" s="7">
        <f t="shared" si="478"/>
        <v>1327.10802</v>
      </c>
      <c r="N670" s="7">
        <f t="shared" si="479"/>
        <v>7646.67002</v>
      </c>
    </row>
    <row r="671" ht="15.75" hidden="1" customHeight="1">
      <c r="A671" s="5"/>
      <c r="C671" s="4"/>
      <c r="D671" s="5"/>
      <c r="G671" s="5"/>
      <c r="L671" s="18">
        <f>SUM(L660:L670)</f>
        <v>18971.61327</v>
      </c>
      <c r="M671" s="19">
        <f t="shared" si="478"/>
        <v>3984.038787</v>
      </c>
      <c r="N671" s="20">
        <f t="shared" si="479"/>
        <v>22955.65206</v>
      </c>
    </row>
    <row r="672" ht="15.75" hidden="1" customHeight="1">
      <c r="A672" s="5"/>
      <c r="C672" s="4"/>
      <c r="D672" s="5">
        <f>SUM(D660:D670)</f>
        <v>3.999</v>
      </c>
      <c r="G672" s="5"/>
    </row>
    <row r="673" ht="15.75" hidden="1" customHeight="1">
      <c r="A673" s="5"/>
      <c r="C673" s="4"/>
      <c r="D673" s="5"/>
      <c r="G673" s="5"/>
    </row>
    <row r="674" ht="15.75" hidden="1" customHeight="1">
      <c r="A674" s="1" t="s">
        <v>55</v>
      </c>
      <c r="C674" s="4"/>
      <c r="D674" s="5"/>
      <c r="G674" s="5"/>
    </row>
    <row r="675" ht="15.75" hidden="1" customHeight="1">
      <c r="A675" s="5" t="s">
        <v>11</v>
      </c>
      <c r="B675" s="14">
        <v>4565.0</v>
      </c>
      <c r="C675" s="12">
        <v>4609.0</v>
      </c>
      <c r="D675" s="5">
        <f t="shared" ref="D675:D685" si="481">(C675-B675)/1000</f>
        <v>0.044</v>
      </c>
      <c r="E675" s="5">
        <f t="shared" ref="E675:E682" si="482">29.8+9.34</f>
        <v>39.14</v>
      </c>
      <c r="F675" s="5">
        <v>55.0</v>
      </c>
      <c r="G675" s="7">
        <f t="shared" ref="G675:G685" si="483">D675*$G$2</f>
        <v>113.49008</v>
      </c>
      <c r="H675" s="7">
        <f t="shared" ref="H675:H685" si="484">D675*$H$2</f>
        <v>4.38724</v>
      </c>
      <c r="I675" s="7">
        <f t="shared" ref="I675:I685" si="485">D675*$I$2</f>
        <v>21.78</v>
      </c>
      <c r="J675" s="7">
        <f t="shared" ref="J675:J685" si="486">D675*$J$2</f>
        <v>54.7536</v>
      </c>
      <c r="K675" s="7">
        <f t="shared" ref="K675:K685" si="487">D675*$K$2</f>
        <v>1.2452</v>
      </c>
      <c r="L675" s="7">
        <f t="shared" ref="L675:L685" si="488">SUM(E675:K675)</f>
        <v>289.79612</v>
      </c>
      <c r="M675" s="7">
        <f t="shared" ref="M675:M686" si="489">L675*0.21</f>
        <v>60.8571852</v>
      </c>
      <c r="N675" s="7">
        <f t="shared" ref="N675:N686" si="490">L675+M675</f>
        <v>350.6533052</v>
      </c>
    </row>
    <row r="676" ht="15.75" hidden="1" customHeight="1">
      <c r="A676" s="5" t="s">
        <v>12</v>
      </c>
      <c r="B676" s="14">
        <v>3252.0</v>
      </c>
      <c r="C676" s="12">
        <v>3281.0</v>
      </c>
      <c r="D676" s="5">
        <f t="shared" si="481"/>
        <v>0.029</v>
      </c>
      <c r="E676" s="5">
        <f t="shared" si="482"/>
        <v>39.14</v>
      </c>
      <c r="F676" s="5">
        <v>55.0</v>
      </c>
      <c r="G676" s="7">
        <f t="shared" si="483"/>
        <v>74.80028</v>
      </c>
      <c r="H676" s="7">
        <f t="shared" si="484"/>
        <v>2.89159</v>
      </c>
      <c r="I676" s="7">
        <f t="shared" si="485"/>
        <v>14.355</v>
      </c>
      <c r="J676" s="7">
        <f t="shared" si="486"/>
        <v>36.0876</v>
      </c>
      <c r="K676" s="7">
        <f t="shared" si="487"/>
        <v>0.8207</v>
      </c>
      <c r="L676" s="7">
        <f t="shared" si="488"/>
        <v>223.09517</v>
      </c>
      <c r="M676" s="7">
        <f t="shared" si="489"/>
        <v>46.8499857</v>
      </c>
      <c r="N676" s="7">
        <f t="shared" si="490"/>
        <v>269.9451557</v>
      </c>
    </row>
    <row r="677" ht="15.75" hidden="1" customHeight="1">
      <c r="A677" s="5" t="s">
        <v>13</v>
      </c>
      <c r="B677" s="14">
        <v>4289.0</v>
      </c>
      <c r="C677" s="12">
        <v>4322.0</v>
      </c>
      <c r="D677" s="5">
        <f t="shared" si="481"/>
        <v>0.033</v>
      </c>
      <c r="E677" s="5">
        <f t="shared" si="482"/>
        <v>39.14</v>
      </c>
      <c r="F677" s="5">
        <v>55.0</v>
      </c>
      <c r="G677" s="7">
        <f t="shared" si="483"/>
        <v>85.11756</v>
      </c>
      <c r="H677" s="7">
        <f t="shared" si="484"/>
        <v>3.29043</v>
      </c>
      <c r="I677" s="7">
        <f t="shared" si="485"/>
        <v>16.335</v>
      </c>
      <c r="J677" s="7">
        <f t="shared" si="486"/>
        <v>41.0652</v>
      </c>
      <c r="K677" s="7">
        <f t="shared" si="487"/>
        <v>0.9339</v>
      </c>
      <c r="L677" s="7">
        <f t="shared" si="488"/>
        <v>240.88209</v>
      </c>
      <c r="M677" s="7">
        <f t="shared" si="489"/>
        <v>50.5852389</v>
      </c>
      <c r="N677" s="7">
        <f t="shared" si="490"/>
        <v>291.4673289</v>
      </c>
    </row>
    <row r="678" ht="15.75" hidden="1" customHeight="1">
      <c r="A678" s="5" t="s">
        <v>14</v>
      </c>
      <c r="B678" s="14">
        <v>3505.0</v>
      </c>
      <c r="C678" s="12">
        <v>3588.0</v>
      </c>
      <c r="D678" s="5">
        <f t="shared" si="481"/>
        <v>0.083</v>
      </c>
      <c r="E678" s="5">
        <f t="shared" si="482"/>
        <v>39.14</v>
      </c>
      <c r="F678" s="5">
        <v>55.0</v>
      </c>
      <c r="G678" s="7">
        <f t="shared" si="483"/>
        <v>214.08356</v>
      </c>
      <c r="H678" s="7">
        <f t="shared" si="484"/>
        <v>8.27593</v>
      </c>
      <c r="I678" s="7">
        <f t="shared" si="485"/>
        <v>41.085</v>
      </c>
      <c r="J678" s="7">
        <f t="shared" si="486"/>
        <v>103.2852</v>
      </c>
      <c r="K678" s="7">
        <f t="shared" si="487"/>
        <v>2.3489</v>
      </c>
      <c r="L678" s="7">
        <f t="shared" si="488"/>
        <v>463.21859</v>
      </c>
      <c r="M678" s="7">
        <f t="shared" si="489"/>
        <v>97.2759039</v>
      </c>
      <c r="N678" s="7">
        <f t="shared" si="490"/>
        <v>560.4944939</v>
      </c>
    </row>
    <row r="679" ht="15.75" hidden="1" customHeight="1">
      <c r="A679" s="5" t="s">
        <v>15</v>
      </c>
      <c r="B679" s="14">
        <v>3737.0</v>
      </c>
      <c r="C679" s="12">
        <v>3765.0</v>
      </c>
      <c r="D679" s="5">
        <f t="shared" si="481"/>
        <v>0.028</v>
      </c>
      <c r="E679" s="5">
        <f t="shared" si="482"/>
        <v>39.14</v>
      </c>
      <c r="F679" s="5">
        <v>55.0</v>
      </c>
      <c r="G679" s="7">
        <f t="shared" si="483"/>
        <v>72.22096</v>
      </c>
      <c r="H679" s="7">
        <f t="shared" si="484"/>
        <v>2.79188</v>
      </c>
      <c r="I679" s="7">
        <f t="shared" si="485"/>
        <v>13.86</v>
      </c>
      <c r="J679" s="7">
        <f t="shared" si="486"/>
        <v>34.8432</v>
      </c>
      <c r="K679" s="7">
        <f t="shared" si="487"/>
        <v>0.7924</v>
      </c>
      <c r="L679" s="7">
        <f t="shared" si="488"/>
        <v>218.64844</v>
      </c>
      <c r="M679" s="7">
        <f t="shared" si="489"/>
        <v>45.9161724</v>
      </c>
      <c r="N679" s="7">
        <f t="shared" si="490"/>
        <v>264.5646124</v>
      </c>
    </row>
    <row r="680" ht="15.75" hidden="1" customHeight="1">
      <c r="A680" s="5" t="s">
        <v>16</v>
      </c>
      <c r="B680" s="14">
        <v>2855.0</v>
      </c>
      <c r="C680" s="12">
        <v>2897.0</v>
      </c>
      <c r="D680" s="5">
        <f t="shared" si="481"/>
        <v>0.042</v>
      </c>
      <c r="E680" s="5">
        <f t="shared" si="482"/>
        <v>39.14</v>
      </c>
      <c r="F680" s="5">
        <v>55.0</v>
      </c>
      <c r="G680" s="7">
        <f t="shared" si="483"/>
        <v>108.33144</v>
      </c>
      <c r="H680" s="7">
        <f t="shared" si="484"/>
        <v>4.18782</v>
      </c>
      <c r="I680" s="7">
        <f t="shared" si="485"/>
        <v>20.79</v>
      </c>
      <c r="J680" s="7">
        <f t="shared" si="486"/>
        <v>52.2648</v>
      </c>
      <c r="K680" s="7">
        <f t="shared" si="487"/>
        <v>1.1886</v>
      </c>
      <c r="L680" s="7">
        <f t="shared" si="488"/>
        <v>280.90266</v>
      </c>
      <c r="M680" s="7">
        <f t="shared" si="489"/>
        <v>58.9895586</v>
      </c>
      <c r="N680" s="7">
        <f t="shared" si="490"/>
        <v>339.8922186</v>
      </c>
    </row>
    <row r="681" ht="15.75" hidden="1" customHeight="1">
      <c r="A681" s="5" t="s">
        <v>17</v>
      </c>
      <c r="B681" s="14">
        <v>3502.0</v>
      </c>
      <c r="C681" s="12">
        <v>3552.0</v>
      </c>
      <c r="D681" s="5">
        <f t="shared" si="481"/>
        <v>0.05</v>
      </c>
      <c r="E681" s="5">
        <f t="shared" si="482"/>
        <v>39.14</v>
      </c>
      <c r="F681" s="5">
        <v>55.0</v>
      </c>
      <c r="G681" s="7">
        <f t="shared" si="483"/>
        <v>128.966</v>
      </c>
      <c r="H681" s="7">
        <f t="shared" si="484"/>
        <v>4.9855</v>
      </c>
      <c r="I681" s="7">
        <f t="shared" si="485"/>
        <v>24.75</v>
      </c>
      <c r="J681" s="7">
        <f t="shared" si="486"/>
        <v>62.22</v>
      </c>
      <c r="K681" s="7">
        <f t="shared" si="487"/>
        <v>1.415</v>
      </c>
      <c r="L681" s="7">
        <f t="shared" si="488"/>
        <v>316.4765</v>
      </c>
      <c r="M681" s="7">
        <f t="shared" si="489"/>
        <v>66.460065</v>
      </c>
      <c r="N681" s="7">
        <f t="shared" si="490"/>
        <v>382.936565</v>
      </c>
    </row>
    <row r="682" ht="15.75" hidden="1" customHeight="1">
      <c r="A682" s="5" t="s">
        <v>18</v>
      </c>
      <c r="B682" s="14">
        <v>3299.0</v>
      </c>
      <c r="C682" s="12">
        <v>3364.0</v>
      </c>
      <c r="D682" s="5">
        <f t="shared" si="481"/>
        <v>0.065</v>
      </c>
      <c r="E682" s="5">
        <f t="shared" si="482"/>
        <v>39.14</v>
      </c>
      <c r="F682" s="5">
        <v>55.0</v>
      </c>
      <c r="G682" s="7">
        <f t="shared" si="483"/>
        <v>167.6558</v>
      </c>
      <c r="H682" s="7">
        <f t="shared" si="484"/>
        <v>6.48115</v>
      </c>
      <c r="I682" s="7">
        <f t="shared" si="485"/>
        <v>32.175</v>
      </c>
      <c r="J682" s="7">
        <f t="shared" si="486"/>
        <v>80.886</v>
      </c>
      <c r="K682" s="7">
        <f t="shared" si="487"/>
        <v>1.8395</v>
      </c>
      <c r="L682" s="7">
        <f t="shared" si="488"/>
        <v>383.17745</v>
      </c>
      <c r="M682" s="7">
        <f t="shared" si="489"/>
        <v>80.4672645</v>
      </c>
      <c r="N682" s="7">
        <f t="shared" si="490"/>
        <v>463.6447145</v>
      </c>
    </row>
    <row r="683" ht="15.75" hidden="1" customHeight="1">
      <c r="A683" s="5" t="s">
        <v>19</v>
      </c>
      <c r="B683" s="14">
        <v>96812.0</v>
      </c>
      <c r="C683" s="12">
        <v>98306.0</v>
      </c>
      <c r="D683" s="5">
        <f t="shared" si="481"/>
        <v>1.494</v>
      </c>
      <c r="E683" s="5">
        <v>169.69</v>
      </c>
      <c r="F683" s="5">
        <v>78.05</v>
      </c>
      <c r="G683" s="7">
        <f t="shared" si="483"/>
        <v>3853.50408</v>
      </c>
      <c r="H683" s="7">
        <f t="shared" si="484"/>
        <v>148.96674</v>
      </c>
      <c r="I683" s="7">
        <f t="shared" si="485"/>
        <v>739.53</v>
      </c>
      <c r="J683" s="7">
        <f t="shared" si="486"/>
        <v>1859.1336</v>
      </c>
      <c r="K683" s="7">
        <f t="shared" si="487"/>
        <v>42.2802</v>
      </c>
      <c r="L683" s="7">
        <f t="shared" si="488"/>
        <v>6891.15462</v>
      </c>
      <c r="M683" s="7">
        <f t="shared" si="489"/>
        <v>1447.14247</v>
      </c>
      <c r="N683" s="7">
        <f t="shared" si="490"/>
        <v>8338.29709</v>
      </c>
    </row>
    <row r="684" ht="15.75" hidden="1" customHeight="1">
      <c r="A684" s="5" t="s">
        <v>30</v>
      </c>
      <c r="B684" s="14">
        <v>14053.0</v>
      </c>
      <c r="C684" s="12">
        <v>14297.0</v>
      </c>
      <c r="D684" s="5">
        <f t="shared" si="481"/>
        <v>0.244</v>
      </c>
      <c r="E684" s="5">
        <f t="shared" ref="E684:E685" si="491">29.8+9.34</f>
        <v>39.14</v>
      </c>
      <c r="F684" s="5">
        <v>55.0</v>
      </c>
      <c r="G684" s="7">
        <f t="shared" si="483"/>
        <v>629.35408</v>
      </c>
      <c r="H684" s="7">
        <f t="shared" si="484"/>
        <v>24.32924</v>
      </c>
      <c r="I684" s="7">
        <f t="shared" si="485"/>
        <v>120.78</v>
      </c>
      <c r="J684" s="7">
        <f t="shared" si="486"/>
        <v>303.6336</v>
      </c>
      <c r="K684" s="7">
        <f t="shared" si="487"/>
        <v>6.9052</v>
      </c>
      <c r="L684" s="7">
        <f t="shared" si="488"/>
        <v>1179.14212</v>
      </c>
      <c r="M684" s="7">
        <f t="shared" si="489"/>
        <v>247.6198452</v>
      </c>
      <c r="N684" s="7">
        <f t="shared" si="490"/>
        <v>1426.761965</v>
      </c>
    </row>
    <row r="685" ht="15.75" hidden="1" customHeight="1">
      <c r="A685" s="5" t="s">
        <v>31</v>
      </c>
      <c r="B685" s="14">
        <v>67648.0</v>
      </c>
      <c r="C685" s="12">
        <v>68931.0</v>
      </c>
      <c r="D685" s="5">
        <f t="shared" si="481"/>
        <v>1.283</v>
      </c>
      <c r="E685" s="5">
        <f t="shared" si="491"/>
        <v>39.14</v>
      </c>
      <c r="F685" s="5">
        <v>55.0</v>
      </c>
      <c r="G685" s="7">
        <f t="shared" si="483"/>
        <v>3309.26756</v>
      </c>
      <c r="H685" s="7">
        <f t="shared" si="484"/>
        <v>127.92793</v>
      </c>
      <c r="I685" s="7">
        <f t="shared" si="485"/>
        <v>635.085</v>
      </c>
      <c r="J685" s="7">
        <f t="shared" si="486"/>
        <v>1596.5652</v>
      </c>
      <c r="K685" s="7">
        <f t="shared" si="487"/>
        <v>36.3089</v>
      </c>
      <c r="L685" s="13">
        <f t="shared" si="488"/>
        <v>5799.29459</v>
      </c>
      <c r="M685" s="7">
        <f t="shared" si="489"/>
        <v>1217.851864</v>
      </c>
      <c r="N685" s="7">
        <f t="shared" si="490"/>
        <v>7017.146454</v>
      </c>
    </row>
    <row r="686" ht="15.75" hidden="1" customHeight="1">
      <c r="A686" s="5"/>
      <c r="C686" s="4"/>
      <c r="D686" s="5"/>
      <c r="G686" s="5"/>
      <c r="L686" s="18">
        <f>SUM(L675:L685)</f>
        <v>16285.78835</v>
      </c>
      <c r="M686" s="19">
        <f t="shared" si="489"/>
        <v>3420.015554</v>
      </c>
      <c r="N686" s="20">
        <f t="shared" si="490"/>
        <v>19705.8039</v>
      </c>
    </row>
    <row r="687" ht="15.75" hidden="1" customHeight="1">
      <c r="A687" s="5"/>
      <c r="C687" s="4"/>
      <c r="D687" s="5">
        <f>SUM(D675:D685)</f>
        <v>3.395</v>
      </c>
      <c r="G687" s="5"/>
    </row>
    <row r="688" ht="15.75" hidden="1" customHeight="1">
      <c r="A688" s="5"/>
      <c r="C688" s="4"/>
      <c r="D688" s="5"/>
      <c r="G688" s="5"/>
    </row>
    <row r="689" ht="15.75" hidden="1" customHeight="1">
      <c r="A689" s="1" t="s">
        <v>56</v>
      </c>
      <c r="C689" s="4"/>
      <c r="D689" s="5"/>
      <c r="G689" s="5"/>
    </row>
    <row r="690" ht="15.75" hidden="1" customHeight="1">
      <c r="A690" s="5" t="s">
        <v>11</v>
      </c>
      <c r="B690" s="14">
        <v>4609.0</v>
      </c>
      <c r="C690" s="12">
        <v>4612.0</v>
      </c>
      <c r="D690" s="5">
        <f t="shared" ref="D690:D700" si="492">(C690-B690)/1000</f>
        <v>0.003</v>
      </c>
      <c r="E690" s="5">
        <f t="shared" ref="E690:E697" si="493">29.8+9.34</f>
        <v>39.14</v>
      </c>
      <c r="F690" s="5">
        <v>55.0</v>
      </c>
      <c r="G690" s="7">
        <f t="shared" ref="G690:G700" si="494">D690*$G$2</f>
        <v>7.73796</v>
      </c>
      <c r="H690" s="7">
        <f t="shared" ref="H690:H700" si="495">D690*$H$2</f>
        <v>0.29913</v>
      </c>
      <c r="I690" s="7">
        <f t="shared" ref="I690:I700" si="496">D690*$I$2</f>
        <v>1.485</v>
      </c>
      <c r="J690" s="7">
        <f t="shared" ref="J690:J700" si="497">D690*$J$2</f>
        <v>3.7332</v>
      </c>
      <c r="K690" s="7">
        <f t="shared" ref="K690:K700" si="498">D690*$K$2</f>
        <v>0.0849</v>
      </c>
      <c r="L690" s="7">
        <f t="shared" ref="L690:L700" si="499">SUM(E690:K690)</f>
        <v>107.48019</v>
      </c>
      <c r="M690" s="7">
        <f t="shared" ref="M690:M701" si="500">L690*0.21</f>
        <v>22.5708399</v>
      </c>
      <c r="N690" s="7">
        <f t="shared" ref="N690:N701" si="501">L690+M690</f>
        <v>130.0510299</v>
      </c>
    </row>
    <row r="691" ht="15.75" hidden="1" customHeight="1">
      <c r="A691" s="5" t="s">
        <v>12</v>
      </c>
      <c r="B691" s="14">
        <v>3281.0</v>
      </c>
      <c r="C691" s="12">
        <v>3281.0</v>
      </c>
      <c r="D691" s="5">
        <f t="shared" si="492"/>
        <v>0</v>
      </c>
      <c r="E691" s="5">
        <f t="shared" si="493"/>
        <v>39.14</v>
      </c>
      <c r="F691" s="5">
        <v>55.0</v>
      </c>
      <c r="G691" s="7">
        <f t="shared" si="494"/>
        <v>0</v>
      </c>
      <c r="H691" s="7">
        <f t="shared" si="495"/>
        <v>0</v>
      </c>
      <c r="I691" s="7">
        <f t="shared" si="496"/>
        <v>0</v>
      </c>
      <c r="J691" s="7">
        <f t="shared" si="497"/>
        <v>0</v>
      </c>
      <c r="K691" s="7">
        <f t="shared" si="498"/>
        <v>0</v>
      </c>
      <c r="L691" s="7">
        <f t="shared" si="499"/>
        <v>94.14</v>
      </c>
      <c r="M691" s="7">
        <f t="shared" si="500"/>
        <v>19.7694</v>
      </c>
      <c r="N691" s="7">
        <f t="shared" si="501"/>
        <v>113.9094</v>
      </c>
    </row>
    <row r="692" ht="15.75" hidden="1" customHeight="1">
      <c r="A692" s="5" t="s">
        <v>13</v>
      </c>
      <c r="B692" s="14">
        <v>4322.0</v>
      </c>
      <c r="C692" s="12">
        <v>4324.0</v>
      </c>
      <c r="D692" s="5">
        <f t="shared" si="492"/>
        <v>0.002</v>
      </c>
      <c r="E692" s="5">
        <f t="shared" si="493"/>
        <v>39.14</v>
      </c>
      <c r="F692" s="5">
        <v>55.0</v>
      </c>
      <c r="G692" s="7">
        <f t="shared" si="494"/>
        <v>5.15864</v>
      </c>
      <c r="H692" s="7">
        <f t="shared" si="495"/>
        <v>0.19942</v>
      </c>
      <c r="I692" s="7">
        <f t="shared" si="496"/>
        <v>0.99</v>
      </c>
      <c r="J692" s="7">
        <f t="shared" si="497"/>
        <v>2.4888</v>
      </c>
      <c r="K692" s="7">
        <f t="shared" si="498"/>
        <v>0.0566</v>
      </c>
      <c r="L692" s="7">
        <f t="shared" si="499"/>
        <v>103.03346</v>
      </c>
      <c r="M692" s="7">
        <f t="shared" si="500"/>
        <v>21.6370266</v>
      </c>
      <c r="N692" s="7">
        <f t="shared" si="501"/>
        <v>124.6704866</v>
      </c>
    </row>
    <row r="693" ht="15.75" hidden="1" customHeight="1">
      <c r="A693" s="5" t="s">
        <v>14</v>
      </c>
      <c r="B693" s="14">
        <v>3588.0</v>
      </c>
      <c r="C693" s="12">
        <v>3590.0</v>
      </c>
      <c r="D693" s="5">
        <f t="shared" si="492"/>
        <v>0.002</v>
      </c>
      <c r="E693" s="5">
        <f t="shared" si="493"/>
        <v>39.14</v>
      </c>
      <c r="F693" s="5">
        <v>55.0</v>
      </c>
      <c r="G693" s="7">
        <f t="shared" si="494"/>
        <v>5.15864</v>
      </c>
      <c r="H693" s="7">
        <f t="shared" si="495"/>
        <v>0.19942</v>
      </c>
      <c r="I693" s="7">
        <f t="shared" si="496"/>
        <v>0.99</v>
      </c>
      <c r="J693" s="7">
        <f t="shared" si="497"/>
        <v>2.4888</v>
      </c>
      <c r="K693" s="7">
        <f t="shared" si="498"/>
        <v>0.0566</v>
      </c>
      <c r="L693" s="7">
        <f t="shared" si="499"/>
        <v>103.03346</v>
      </c>
      <c r="M693" s="7">
        <f t="shared" si="500"/>
        <v>21.6370266</v>
      </c>
      <c r="N693" s="7">
        <f t="shared" si="501"/>
        <v>124.6704866</v>
      </c>
    </row>
    <row r="694" ht="15.75" hidden="1" customHeight="1">
      <c r="A694" s="5" t="s">
        <v>15</v>
      </c>
      <c r="B694" s="14">
        <v>3765.0</v>
      </c>
      <c r="C694" s="12">
        <v>3767.0</v>
      </c>
      <c r="D694" s="5">
        <f t="shared" si="492"/>
        <v>0.002</v>
      </c>
      <c r="E694" s="5">
        <f t="shared" si="493"/>
        <v>39.14</v>
      </c>
      <c r="F694" s="5">
        <v>55.0</v>
      </c>
      <c r="G694" s="7">
        <f t="shared" si="494"/>
        <v>5.15864</v>
      </c>
      <c r="H694" s="7">
        <f t="shared" si="495"/>
        <v>0.19942</v>
      </c>
      <c r="I694" s="7">
        <f t="shared" si="496"/>
        <v>0.99</v>
      </c>
      <c r="J694" s="7">
        <f t="shared" si="497"/>
        <v>2.4888</v>
      </c>
      <c r="K694" s="7">
        <f t="shared" si="498"/>
        <v>0.0566</v>
      </c>
      <c r="L694" s="7">
        <f t="shared" si="499"/>
        <v>103.03346</v>
      </c>
      <c r="M694" s="7">
        <f t="shared" si="500"/>
        <v>21.6370266</v>
      </c>
      <c r="N694" s="7">
        <f t="shared" si="501"/>
        <v>124.6704866</v>
      </c>
    </row>
    <row r="695" ht="15.75" hidden="1" customHeight="1">
      <c r="A695" s="5" t="s">
        <v>16</v>
      </c>
      <c r="B695" s="14">
        <v>2897.0</v>
      </c>
      <c r="C695" s="12">
        <v>2903.0</v>
      </c>
      <c r="D695" s="5">
        <f t="shared" si="492"/>
        <v>0.006</v>
      </c>
      <c r="E695" s="5">
        <f t="shared" si="493"/>
        <v>39.14</v>
      </c>
      <c r="F695" s="5">
        <v>55.0</v>
      </c>
      <c r="G695" s="7">
        <f t="shared" si="494"/>
        <v>15.47592</v>
      </c>
      <c r="H695" s="7">
        <f t="shared" si="495"/>
        <v>0.59826</v>
      </c>
      <c r="I695" s="7">
        <f t="shared" si="496"/>
        <v>2.97</v>
      </c>
      <c r="J695" s="7">
        <f t="shared" si="497"/>
        <v>7.4664</v>
      </c>
      <c r="K695" s="7">
        <f t="shared" si="498"/>
        <v>0.1698</v>
      </c>
      <c r="L695" s="7">
        <f t="shared" si="499"/>
        <v>120.82038</v>
      </c>
      <c r="M695" s="7">
        <f t="shared" si="500"/>
        <v>25.3722798</v>
      </c>
      <c r="N695" s="7">
        <f t="shared" si="501"/>
        <v>146.1926598</v>
      </c>
    </row>
    <row r="696" ht="15.75" hidden="1" customHeight="1">
      <c r="A696" s="5" t="s">
        <v>17</v>
      </c>
      <c r="B696" s="14">
        <v>3552.0</v>
      </c>
      <c r="C696" s="12">
        <v>3555.0</v>
      </c>
      <c r="D696" s="5">
        <f t="shared" si="492"/>
        <v>0.003</v>
      </c>
      <c r="E696" s="5">
        <f t="shared" si="493"/>
        <v>39.14</v>
      </c>
      <c r="F696" s="5">
        <v>55.0</v>
      </c>
      <c r="G696" s="7">
        <f t="shared" si="494"/>
        <v>7.73796</v>
      </c>
      <c r="H696" s="7">
        <f t="shared" si="495"/>
        <v>0.29913</v>
      </c>
      <c r="I696" s="7">
        <f t="shared" si="496"/>
        <v>1.485</v>
      </c>
      <c r="J696" s="7">
        <f t="shared" si="497"/>
        <v>3.7332</v>
      </c>
      <c r="K696" s="7">
        <f t="shared" si="498"/>
        <v>0.0849</v>
      </c>
      <c r="L696" s="7">
        <f t="shared" si="499"/>
        <v>107.48019</v>
      </c>
      <c r="M696" s="7">
        <f t="shared" si="500"/>
        <v>22.5708399</v>
      </c>
      <c r="N696" s="7">
        <f t="shared" si="501"/>
        <v>130.0510299</v>
      </c>
    </row>
    <row r="697" ht="15.75" hidden="1" customHeight="1">
      <c r="A697" s="5" t="s">
        <v>18</v>
      </c>
      <c r="B697" s="14">
        <v>3364.0</v>
      </c>
      <c r="C697" s="12">
        <v>3366.0</v>
      </c>
      <c r="D697" s="5">
        <f t="shared" si="492"/>
        <v>0.002</v>
      </c>
      <c r="E697" s="5">
        <f t="shared" si="493"/>
        <v>39.14</v>
      </c>
      <c r="F697" s="5">
        <v>55.0</v>
      </c>
      <c r="G697" s="7">
        <f t="shared" si="494"/>
        <v>5.15864</v>
      </c>
      <c r="H697" s="7">
        <f t="shared" si="495"/>
        <v>0.19942</v>
      </c>
      <c r="I697" s="7">
        <f t="shared" si="496"/>
        <v>0.99</v>
      </c>
      <c r="J697" s="7">
        <f t="shared" si="497"/>
        <v>2.4888</v>
      </c>
      <c r="K697" s="7">
        <f t="shared" si="498"/>
        <v>0.0566</v>
      </c>
      <c r="L697" s="7">
        <f t="shared" si="499"/>
        <v>103.03346</v>
      </c>
      <c r="M697" s="7">
        <f t="shared" si="500"/>
        <v>21.6370266</v>
      </c>
      <c r="N697" s="7">
        <f t="shared" si="501"/>
        <v>124.6704866</v>
      </c>
    </row>
    <row r="698" ht="15.75" hidden="1" customHeight="1">
      <c r="A698" s="5" t="s">
        <v>19</v>
      </c>
      <c r="B698" s="14">
        <v>98306.0</v>
      </c>
      <c r="C698" s="12">
        <v>99100.0</v>
      </c>
      <c r="D698" s="5">
        <f t="shared" si="492"/>
        <v>0.794</v>
      </c>
      <c r="E698" s="5">
        <v>169.69</v>
      </c>
      <c r="F698" s="5">
        <v>78.05</v>
      </c>
      <c r="G698" s="7">
        <f t="shared" si="494"/>
        <v>2047.98008</v>
      </c>
      <c r="H698" s="7">
        <f t="shared" si="495"/>
        <v>79.16974</v>
      </c>
      <c r="I698" s="7">
        <f t="shared" si="496"/>
        <v>393.03</v>
      </c>
      <c r="J698" s="7">
        <f t="shared" si="497"/>
        <v>988.0536</v>
      </c>
      <c r="K698" s="7">
        <f t="shared" si="498"/>
        <v>22.4702</v>
      </c>
      <c r="L698" s="7">
        <f t="shared" si="499"/>
        <v>3778.44362</v>
      </c>
      <c r="M698" s="7">
        <f t="shared" si="500"/>
        <v>793.4731602</v>
      </c>
      <c r="N698" s="7">
        <f t="shared" si="501"/>
        <v>4571.91678</v>
      </c>
    </row>
    <row r="699" ht="15.75" hidden="1" customHeight="1">
      <c r="A699" s="5" t="s">
        <v>30</v>
      </c>
      <c r="B699" s="14">
        <v>14297.0</v>
      </c>
      <c r="C699" s="12">
        <v>14469.0</v>
      </c>
      <c r="D699" s="5">
        <f t="shared" si="492"/>
        <v>0.172</v>
      </c>
      <c r="E699" s="5">
        <f t="shared" ref="E699:E700" si="502">29.8+9.34</f>
        <v>39.14</v>
      </c>
      <c r="F699" s="5">
        <v>55.0</v>
      </c>
      <c r="G699" s="7">
        <f t="shared" si="494"/>
        <v>443.64304</v>
      </c>
      <c r="H699" s="7">
        <f t="shared" si="495"/>
        <v>17.15012</v>
      </c>
      <c r="I699" s="7">
        <f t="shared" si="496"/>
        <v>85.14</v>
      </c>
      <c r="J699" s="7">
        <f t="shared" si="497"/>
        <v>214.0368</v>
      </c>
      <c r="K699" s="7">
        <f t="shared" si="498"/>
        <v>4.8676</v>
      </c>
      <c r="L699" s="7">
        <f t="shared" si="499"/>
        <v>858.97756</v>
      </c>
      <c r="M699" s="7">
        <f t="shared" si="500"/>
        <v>180.3852876</v>
      </c>
      <c r="N699" s="7">
        <f t="shared" si="501"/>
        <v>1039.362848</v>
      </c>
    </row>
    <row r="700" ht="15.75" hidden="1" customHeight="1">
      <c r="A700" s="5" t="s">
        <v>31</v>
      </c>
      <c r="B700" s="14">
        <v>68931.0</v>
      </c>
      <c r="C700" s="12">
        <v>69822.0</v>
      </c>
      <c r="D700" s="5">
        <f t="shared" si="492"/>
        <v>0.891</v>
      </c>
      <c r="E700" s="5">
        <f t="shared" si="502"/>
        <v>39.14</v>
      </c>
      <c r="F700" s="5">
        <v>55.0</v>
      </c>
      <c r="G700" s="7">
        <f t="shared" si="494"/>
        <v>2298.17412</v>
      </c>
      <c r="H700" s="7">
        <f t="shared" si="495"/>
        <v>88.84161</v>
      </c>
      <c r="I700" s="7">
        <f t="shared" si="496"/>
        <v>441.045</v>
      </c>
      <c r="J700" s="7">
        <f t="shared" si="497"/>
        <v>1108.7604</v>
      </c>
      <c r="K700" s="7">
        <f t="shared" si="498"/>
        <v>25.2153</v>
      </c>
      <c r="L700" s="13">
        <f t="shared" si="499"/>
        <v>4056.17643</v>
      </c>
      <c r="M700" s="7">
        <f t="shared" si="500"/>
        <v>851.7970503</v>
      </c>
      <c r="N700" s="7">
        <f t="shared" si="501"/>
        <v>4907.97348</v>
      </c>
    </row>
    <row r="701" ht="15.75" hidden="1" customHeight="1">
      <c r="A701" s="5"/>
      <c r="C701" s="4"/>
      <c r="D701" s="5"/>
      <c r="G701" s="5"/>
      <c r="L701" s="18">
        <f>SUM(L690:L700)</f>
        <v>9535.65221</v>
      </c>
      <c r="M701" s="19">
        <f t="shared" si="500"/>
        <v>2002.486964</v>
      </c>
      <c r="N701" s="20">
        <f t="shared" si="501"/>
        <v>11538.13917</v>
      </c>
    </row>
    <row r="702" ht="15.75" hidden="1" customHeight="1">
      <c r="A702" s="5"/>
      <c r="C702" s="4"/>
      <c r="D702" s="5">
        <f>SUM(D690:D700)</f>
        <v>1.877</v>
      </c>
      <c r="G702" s="5"/>
    </row>
    <row r="703" ht="15.75" hidden="1" customHeight="1">
      <c r="A703" s="27">
        <v>6684794.0</v>
      </c>
      <c r="B703" s="28"/>
      <c r="C703" s="4"/>
      <c r="D703" s="29"/>
      <c r="E703" s="28"/>
      <c r="F703" s="28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hidden="1" customHeight="1">
      <c r="A704" s="29" t="s">
        <v>11</v>
      </c>
      <c r="B704" s="30">
        <v>4612.0</v>
      </c>
      <c r="C704" s="12">
        <v>4612.0</v>
      </c>
      <c r="D704" s="29">
        <f t="shared" ref="D704:D715" si="503">(C704-B704)/1000</f>
        <v>0</v>
      </c>
      <c r="E704" s="29">
        <f t="shared" ref="E704:E711" si="504">29.8+9.34</f>
        <v>39.14</v>
      </c>
      <c r="F704" s="29">
        <v>55.0</v>
      </c>
      <c r="G704" s="31">
        <f t="shared" ref="G704:G714" si="505">D704*$G$2</f>
        <v>0</v>
      </c>
      <c r="H704" s="31">
        <f t="shared" ref="H704:H714" si="506">D704*$H$2</f>
        <v>0</v>
      </c>
      <c r="I704" s="31">
        <f t="shared" ref="I704:I714" si="507">D704*$I$2</f>
        <v>0</v>
      </c>
      <c r="J704" s="31">
        <f t="shared" ref="J704:J714" si="508">D704*$J$2</f>
        <v>0</v>
      </c>
      <c r="K704" s="31">
        <f t="shared" ref="K704:K714" si="509">D704*$K$2</f>
        <v>0</v>
      </c>
      <c r="L704" s="31">
        <f t="shared" ref="L704:L714" si="510">SUM(E704:K704)</f>
        <v>94.14</v>
      </c>
      <c r="M704" s="31">
        <f t="shared" ref="M704:M714" si="511">L704*0.21</f>
        <v>19.7694</v>
      </c>
      <c r="N704" s="31">
        <f t="shared" ref="N704:N714" si="512">L704+M704</f>
        <v>113.9094</v>
      </c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hidden="1" customHeight="1">
      <c r="A705" s="29" t="s">
        <v>12</v>
      </c>
      <c r="B705" s="30">
        <v>3281.0</v>
      </c>
      <c r="C705" s="12">
        <v>3281.0</v>
      </c>
      <c r="D705" s="29">
        <f t="shared" si="503"/>
        <v>0</v>
      </c>
      <c r="E705" s="29">
        <f t="shared" si="504"/>
        <v>39.14</v>
      </c>
      <c r="F705" s="29">
        <v>55.0</v>
      </c>
      <c r="G705" s="31">
        <f t="shared" si="505"/>
        <v>0</v>
      </c>
      <c r="H705" s="31">
        <f t="shared" si="506"/>
        <v>0</v>
      </c>
      <c r="I705" s="31">
        <f t="shared" si="507"/>
        <v>0</v>
      </c>
      <c r="J705" s="31">
        <f t="shared" si="508"/>
        <v>0</v>
      </c>
      <c r="K705" s="31">
        <f t="shared" si="509"/>
        <v>0</v>
      </c>
      <c r="L705" s="31">
        <f t="shared" si="510"/>
        <v>94.14</v>
      </c>
      <c r="M705" s="31">
        <f t="shared" si="511"/>
        <v>19.7694</v>
      </c>
      <c r="N705" s="31">
        <f t="shared" si="512"/>
        <v>113.9094</v>
      </c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hidden="1" customHeight="1">
      <c r="A706" s="29" t="s">
        <v>13</v>
      </c>
      <c r="B706" s="30">
        <v>4324.0</v>
      </c>
      <c r="C706" s="12">
        <v>4324.0</v>
      </c>
      <c r="D706" s="29">
        <f t="shared" si="503"/>
        <v>0</v>
      </c>
      <c r="E706" s="29">
        <f t="shared" si="504"/>
        <v>39.14</v>
      </c>
      <c r="F706" s="29">
        <v>55.0</v>
      </c>
      <c r="G706" s="31">
        <f t="shared" si="505"/>
        <v>0</v>
      </c>
      <c r="H706" s="31">
        <f t="shared" si="506"/>
        <v>0</v>
      </c>
      <c r="I706" s="31">
        <f t="shared" si="507"/>
        <v>0</v>
      </c>
      <c r="J706" s="31">
        <f t="shared" si="508"/>
        <v>0</v>
      </c>
      <c r="K706" s="31">
        <f t="shared" si="509"/>
        <v>0</v>
      </c>
      <c r="L706" s="31">
        <f t="shared" si="510"/>
        <v>94.14</v>
      </c>
      <c r="M706" s="31">
        <f t="shared" si="511"/>
        <v>19.7694</v>
      </c>
      <c r="N706" s="31">
        <f t="shared" si="512"/>
        <v>113.9094</v>
      </c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hidden="1" customHeight="1">
      <c r="A707" s="29" t="s">
        <v>14</v>
      </c>
      <c r="B707" s="30">
        <v>3590.0</v>
      </c>
      <c r="C707" s="12">
        <v>3590.0</v>
      </c>
      <c r="D707" s="29">
        <f t="shared" si="503"/>
        <v>0</v>
      </c>
      <c r="E707" s="29">
        <f t="shared" si="504"/>
        <v>39.14</v>
      </c>
      <c r="F707" s="29">
        <v>55.0</v>
      </c>
      <c r="G707" s="31">
        <f t="shared" si="505"/>
        <v>0</v>
      </c>
      <c r="H707" s="31">
        <f t="shared" si="506"/>
        <v>0</v>
      </c>
      <c r="I707" s="31">
        <f t="shared" si="507"/>
        <v>0</v>
      </c>
      <c r="J707" s="31">
        <f t="shared" si="508"/>
        <v>0</v>
      </c>
      <c r="K707" s="31">
        <f t="shared" si="509"/>
        <v>0</v>
      </c>
      <c r="L707" s="31">
        <f t="shared" si="510"/>
        <v>94.14</v>
      </c>
      <c r="M707" s="31">
        <f t="shared" si="511"/>
        <v>19.7694</v>
      </c>
      <c r="N707" s="31">
        <f t="shared" si="512"/>
        <v>113.9094</v>
      </c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hidden="1" customHeight="1">
      <c r="A708" s="29" t="s">
        <v>15</v>
      </c>
      <c r="B708" s="30">
        <v>3767.0</v>
      </c>
      <c r="C708" s="12">
        <v>3767.0</v>
      </c>
      <c r="D708" s="29">
        <f t="shared" si="503"/>
        <v>0</v>
      </c>
      <c r="E708" s="29">
        <f t="shared" si="504"/>
        <v>39.14</v>
      </c>
      <c r="F708" s="29">
        <v>55.0</v>
      </c>
      <c r="G708" s="31">
        <f t="shared" si="505"/>
        <v>0</v>
      </c>
      <c r="H708" s="31">
        <f t="shared" si="506"/>
        <v>0</v>
      </c>
      <c r="I708" s="31">
        <f t="shared" si="507"/>
        <v>0</v>
      </c>
      <c r="J708" s="31">
        <f t="shared" si="508"/>
        <v>0</v>
      </c>
      <c r="K708" s="31">
        <f t="shared" si="509"/>
        <v>0</v>
      </c>
      <c r="L708" s="31">
        <f t="shared" si="510"/>
        <v>94.14</v>
      </c>
      <c r="M708" s="31">
        <f t="shared" si="511"/>
        <v>19.7694</v>
      </c>
      <c r="N708" s="31">
        <f t="shared" si="512"/>
        <v>113.9094</v>
      </c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hidden="1" customHeight="1">
      <c r="A709" s="29" t="s">
        <v>16</v>
      </c>
      <c r="B709" s="30">
        <v>2903.0</v>
      </c>
      <c r="C709" s="12">
        <v>2903.0</v>
      </c>
      <c r="D709" s="29">
        <f t="shared" si="503"/>
        <v>0</v>
      </c>
      <c r="E709" s="29">
        <f t="shared" si="504"/>
        <v>39.14</v>
      </c>
      <c r="F709" s="29">
        <v>55.0</v>
      </c>
      <c r="G709" s="31">
        <f t="shared" si="505"/>
        <v>0</v>
      </c>
      <c r="H709" s="31">
        <f t="shared" si="506"/>
        <v>0</v>
      </c>
      <c r="I709" s="31">
        <f t="shared" si="507"/>
        <v>0</v>
      </c>
      <c r="J709" s="31">
        <f t="shared" si="508"/>
        <v>0</v>
      </c>
      <c r="K709" s="31">
        <f t="shared" si="509"/>
        <v>0</v>
      </c>
      <c r="L709" s="31">
        <f t="shared" si="510"/>
        <v>94.14</v>
      </c>
      <c r="M709" s="31">
        <f t="shared" si="511"/>
        <v>19.7694</v>
      </c>
      <c r="N709" s="31">
        <f t="shared" si="512"/>
        <v>113.9094</v>
      </c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hidden="1" customHeight="1">
      <c r="A710" s="29" t="s">
        <v>17</v>
      </c>
      <c r="B710" s="30">
        <v>3555.0</v>
      </c>
      <c r="C710" s="12">
        <v>3555.0</v>
      </c>
      <c r="D710" s="29">
        <f t="shared" si="503"/>
        <v>0</v>
      </c>
      <c r="E710" s="29">
        <f t="shared" si="504"/>
        <v>39.14</v>
      </c>
      <c r="F710" s="29">
        <v>55.0</v>
      </c>
      <c r="G710" s="31">
        <f t="shared" si="505"/>
        <v>0</v>
      </c>
      <c r="H710" s="31">
        <f t="shared" si="506"/>
        <v>0</v>
      </c>
      <c r="I710" s="31">
        <f t="shared" si="507"/>
        <v>0</v>
      </c>
      <c r="J710" s="31">
        <f t="shared" si="508"/>
        <v>0</v>
      </c>
      <c r="K710" s="31">
        <f t="shared" si="509"/>
        <v>0</v>
      </c>
      <c r="L710" s="31">
        <f t="shared" si="510"/>
        <v>94.14</v>
      </c>
      <c r="M710" s="31">
        <f t="shared" si="511"/>
        <v>19.7694</v>
      </c>
      <c r="N710" s="31">
        <f t="shared" si="512"/>
        <v>113.9094</v>
      </c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hidden="1" customHeight="1">
      <c r="A711" s="29" t="s">
        <v>18</v>
      </c>
      <c r="B711" s="30">
        <v>3366.0</v>
      </c>
      <c r="C711" s="12">
        <v>3366.0</v>
      </c>
      <c r="D711" s="29">
        <f t="shared" si="503"/>
        <v>0</v>
      </c>
      <c r="E711" s="29">
        <f t="shared" si="504"/>
        <v>39.14</v>
      </c>
      <c r="F711" s="29">
        <v>55.0</v>
      </c>
      <c r="G711" s="31">
        <f t="shared" si="505"/>
        <v>0</v>
      </c>
      <c r="H711" s="31">
        <f t="shared" si="506"/>
        <v>0</v>
      </c>
      <c r="I711" s="31">
        <f t="shared" si="507"/>
        <v>0</v>
      </c>
      <c r="J711" s="31">
        <f t="shared" si="508"/>
        <v>0</v>
      </c>
      <c r="K711" s="31">
        <f t="shared" si="509"/>
        <v>0</v>
      </c>
      <c r="L711" s="31">
        <f t="shared" si="510"/>
        <v>94.14</v>
      </c>
      <c r="M711" s="31">
        <f t="shared" si="511"/>
        <v>19.7694</v>
      </c>
      <c r="N711" s="31">
        <f t="shared" si="512"/>
        <v>113.9094</v>
      </c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hidden="1" customHeight="1">
      <c r="A712" s="29" t="s">
        <v>19</v>
      </c>
      <c r="B712" s="30">
        <v>99100.0</v>
      </c>
      <c r="C712" s="12">
        <v>99188.0</v>
      </c>
      <c r="D712" s="29">
        <f t="shared" si="503"/>
        <v>0.088</v>
      </c>
      <c r="E712" s="29">
        <v>169.69</v>
      </c>
      <c r="F712" s="29">
        <v>78.05</v>
      </c>
      <c r="G712" s="31">
        <f t="shared" si="505"/>
        <v>226.98016</v>
      </c>
      <c r="H712" s="31">
        <f t="shared" si="506"/>
        <v>8.77448</v>
      </c>
      <c r="I712" s="31">
        <f t="shared" si="507"/>
        <v>43.56</v>
      </c>
      <c r="J712" s="31">
        <f t="shared" si="508"/>
        <v>109.5072</v>
      </c>
      <c r="K712" s="31">
        <f t="shared" si="509"/>
        <v>2.4904</v>
      </c>
      <c r="L712" s="32">
        <f t="shared" si="510"/>
        <v>639.05224</v>
      </c>
      <c r="M712" s="31">
        <f t="shared" si="511"/>
        <v>134.2009704</v>
      </c>
      <c r="N712" s="31">
        <f t="shared" si="512"/>
        <v>773.2532104</v>
      </c>
      <c r="O712" s="28">
        <f t="shared" ref="O712:O714" si="513">L712/5</f>
        <v>127.810448</v>
      </c>
      <c r="P712" s="28">
        <f t="shared" ref="P712:P714" si="514">(H712+G712+I712+J712+K711)/5</f>
        <v>77.764368</v>
      </c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hidden="1" customHeight="1">
      <c r="A713" s="29" t="s">
        <v>30</v>
      </c>
      <c r="B713" s="30">
        <v>14469.0</v>
      </c>
      <c r="C713" s="12">
        <v>14499.0</v>
      </c>
      <c r="D713" s="29">
        <f t="shared" si="503"/>
        <v>0.03</v>
      </c>
      <c r="E713" s="29">
        <f t="shared" ref="E713:E715" si="515">29.8+9.34</f>
        <v>39.14</v>
      </c>
      <c r="F713" s="29">
        <v>55.0</v>
      </c>
      <c r="G713" s="31">
        <f t="shared" si="505"/>
        <v>77.3796</v>
      </c>
      <c r="H713" s="31">
        <f t="shared" si="506"/>
        <v>2.9913</v>
      </c>
      <c r="I713" s="31">
        <f t="shared" si="507"/>
        <v>14.85</v>
      </c>
      <c r="J713" s="31">
        <f t="shared" si="508"/>
        <v>37.332</v>
      </c>
      <c r="K713" s="31">
        <f t="shared" si="509"/>
        <v>0.849</v>
      </c>
      <c r="L713" s="31">
        <f t="shared" si="510"/>
        <v>227.5419</v>
      </c>
      <c r="M713" s="31">
        <f t="shared" si="511"/>
        <v>47.783799</v>
      </c>
      <c r="N713" s="31">
        <f t="shared" si="512"/>
        <v>275.325699</v>
      </c>
      <c r="O713" s="28">
        <f t="shared" si="513"/>
        <v>45.50838</v>
      </c>
      <c r="P713" s="28">
        <f t="shared" si="514"/>
        <v>27.00866</v>
      </c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hidden="1" customHeight="1">
      <c r="A714" s="29" t="s">
        <v>31</v>
      </c>
      <c r="B714" s="30">
        <v>69822.0</v>
      </c>
      <c r="C714" s="12">
        <v>69965.0</v>
      </c>
      <c r="D714" s="29">
        <f t="shared" si="503"/>
        <v>0.143</v>
      </c>
      <c r="E714" s="29">
        <f t="shared" si="515"/>
        <v>39.14</v>
      </c>
      <c r="F714" s="29">
        <v>55.0</v>
      </c>
      <c r="G714" s="31">
        <f t="shared" si="505"/>
        <v>368.84276</v>
      </c>
      <c r="H714" s="31">
        <f t="shared" si="506"/>
        <v>14.25853</v>
      </c>
      <c r="I714" s="31">
        <f t="shared" si="507"/>
        <v>70.785</v>
      </c>
      <c r="J714" s="31">
        <f t="shared" si="508"/>
        <v>177.9492</v>
      </c>
      <c r="K714" s="31">
        <f t="shared" si="509"/>
        <v>4.0469</v>
      </c>
      <c r="L714" s="33">
        <f t="shared" si="510"/>
        <v>730.02239</v>
      </c>
      <c r="M714" s="31">
        <f t="shared" si="511"/>
        <v>153.3047019</v>
      </c>
      <c r="N714" s="31">
        <f t="shared" si="512"/>
        <v>883.3270919</v>
      </c>
      <c r="O714" s="28">
        <f t="shared" si="513"/>
        <v>146.004478</v>
      </c>
      <c r="P714" s="28">
        <f t="shared" si="514"/>
        <v>126.536898</v>
      </c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hidden="1" customHeight="1">
      <c r="A715" s="29" t="s">
        <v>65</v>
      </c>
      <c r="B715" s="30"/>
      <c r="C715" s="12">
        <v>25688.0</v>
      </c>
      <c r="D715" s="29">
        <f t="shared" si="503"/>
        <v>25.688</v>
      </c>
      <c r="E715" s="29">
        <f t="shared" si="515"/>
        <v>39.14</v>
      </c>
      <c r="F715" s="29">
        <v>55.0</v>
      </c>
      <c r="G715" s="31"/>
      <c r="H715" s="31"/>
      <c r="I715" s="31"/>
      <c r="J715" s="31"/>
      <c r="K715" s="31"/>
      <c r="L715" s="33"/>
      <c r="M715" s="31"/>
      <c r="N715" s="31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hidden="1" customHeight="1">
      <c r="A716" s="29"/>
      <c r="B716" s="28"/>
      <c r="C716" s="4"/>
      <c r="D716" s="29"/>
      <c r="E716" s="28"/>
      <c r="F716" s="28"/>
      <c r="G716" s="29"/>
      <c r="H716" s="28"/>
      <c r="I716" s="28"/>
      <c r="J716" s="28"/>
      <c r="K716" s="28"/>
      <c r="L716" s="34">
        <f>SUM(L704:L714)</f>
        <v>2349.73653</v>
      </c>
      <c r="M716" s="35">
        <f>L716*0.21</f>
        <v>493.4446713</v>
      </c>
      <c r="N716" s="34">
        <f>L716+M716</f>
        <v>2843.181201</v>
      </c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hidden="1" customHeight="1">
      <c r="A717" s="29"/>
      <c r="B717" s="28"/>
      <c r="C717" s="4"/>
      <c r="D717" s="29">
        <f>SUM(D704:D714)</f>
        <v>0.261</v>
      </c>
      <c r="E717" s="28"/>
      <c r="F717" s="28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hidden="1" customHeight="1">
      <c r="A718" s="5"/>
      <c r="C718" s="4"/>
      <c r="D718" s="5"/>
      <c r="G718" s="5"/>
    </row>
    <row r="719" ht="15.75" hidden="1" customHeight="1">
      <c r="A719" s="27">
        <v>6684795.0</v>
      </c>
      <c r="B719" s="28"/>
      <c r="C719" s="4"/>
      <c r="D719" s="29"/>
      <c r="E719" s="28"/>
      <c r="F719" s="28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hidden="1" customHeight="1">
      <c r="A720" s="29" t="s">
        <v>11</v>
      </c>
      <c r="B720" s="30">
        <v>4612.0</v>
      </c>
      <c r="C720" s="12">
        <v>4612.0</v>
      </c>
      <c r="D720" s="29">
        <f t="shared" ref="D720:D730" si="516">(C720-B720)/1000</f>
        <v>0</v>
      </c>
      <c r="E720" s="29">
        <f t="shared" ref="E720:E727" si="517">29.8+9.34</f>
        <v>39.14</v>
      </c>
      <c r="F720" s="29">
        <v>55.0</v>
      </c>
      <c r="G720" s="31">
        <f t="shared" ref="G720:G730" si="518">D720*$G$2</f>
        <v>0</v>
      </c>
      <c r="H720" s="31">
        <f t="shared" ref="H720:H730" si="519">D720*$H$2</f>
        <v>0</v>
      </c>
      <c r="I720" s="31">
        <f t="shared" ref="I720:I730" si="520">D720*$I$2</f>
        <v>0</v>
      </c>
      <c r="J720" s="31">
        <f t="shared" ref="J720:J730" si="521">D720*$J$2</f>
        <v>0</v>
      </c>
      <c r="K720" s="31">
        <f t="shared" ref="K720:K730" si="522">D720*$K$2</f>
        <v>0</v>
      </c>
      <c r="L720" s="31">
        <f t="shared" ref="L720:L730" si="523">SUM(E720:K720)</f>
        <v>94.14</v>
      </c>
      <c r="M720" s="31">
        <f t="shared" ref="M720:M731" si="524">L720*0.21</f>
        <v>19.7694</v>
      </c>
      <c r="N720" s="31">
        <f t="shared" ref="N720:N731" si="525">L720+M720</f>
        <v>113.9094</v>
      </c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hidden="1" customHeight="1">
      <c r="A721" s="29" t="s">
        <v>12</v>
      </c>
      <c r="B721" s="30">
        <v>3281.0</v>
      </c>
      <c r="C721" s="12">
        <v>3281.0</v>
      </c>
      <c r="D721" s="29">
        <f t="shared" si="516"/>
        <v>0</v>
      </c>
      <c r="E721" s="29">
        <f t="shared" si="517"/>
        <v>39.14</v>
      </c>
      <c r="F721" s="29">
        <v>55.0</v>
      </c>
      <c r="G721" s="31">
        <f t="shared" si="518"/>
        <v>0</v>
      </c>
      <c r="H721" s="31">
        <f t="shared" si="519"/>
        <v>0</v>
      </c>
      <c r="I721" s="31">
        <f t="shared" si="520"/>
        <v>0</v>
      </c>
      <c r="J721" s="31">
        <f t="shared" si="521"/>
        <v>0</v>
      </c>
      <c r="K721" s="31">
        <f t="shared" si="522"/>
        <v>0</v>
      </c>
      <c r="L721" s="31">
        <f t="shared" si="523"/>
        <v>94.14</v>
      </c>
      <c r="M721" s="31">
        <f t="shared" si="524"/>
        <v>19.7694</v>
      </c>
      <c r="N721" s="31">
        <f t="shared" si="525"/>
        <v>113.9094</v>
      </c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hidden="1" customHeight="1">
      <c r="A722" s="29" t="s">
        <v>13</v>
      </c>
      <c r="B722" s="30">
        <v>4324.0</v>
      </c>
      <c r="C722" s="12">
        <v>4324.0</v>
      </c>
      <c r="D722" s="29">
        <f t="shared" si="516"/>
        <v>0</v>
      </c>
      <c r="E722" s="29">
        <f t="shared" si="517"/>
        <v>39.14</v>
      </c>
      <c r="F722" s="29">
        <v>55.0</v>
      </c>
      <c r="G722" s="31">
        <f t="shared" si="518"/>
        <v>0</v>
      </c>
      <c r="H722" s="31">
        <f t="shared" si="519"/>
        <v>0</v>
      </c>
      <c r="I722" s="31">
        <f t="shared" si="520"/>
        <v>0</v>
      </c>
      <c r="J722" s="31">
        <f t="shared" si="521"/>
        <v>0</v>
      </c>
      <c r="K722" s="31">
        <f t="shared" si="522"/>
        <v>0</v>
      </c>
      <c r="L722" s="31">
        <f t="shared" si="523"/>
        <v>94.14</v>
      </c>
      <c r="M722" s="31">
        <f t="shared" si="524"/>
        <v>19.7694</v>
      </c>
      <c r="N722" s="31">
        <f t="shared" si="525"/>
        <v>113.9094</v>
      </c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hidden="1" customHeight="1">
      <c r="A723" s="29" t="s">
        <v>14</v>
      </c>
      <c r="B723" s="30">
        <v>3590.0</v>
      </c>
      <c r="C723" s="12">
        <v>3590.0</v>
      </c>
      <c r="D723" s="29">
        <f t="shared" si="516"/>
        <v>0</v>
      </c>
      <c r="E723" s="29">
        <f t="shared" si="517"/>
        <v>39.14</v>
      </c>
      <c r="F723" s="29">
        <v>55.0</v>
      </c>
      <c r="G723" s="31">
        <f t="shared" si="518"/>
        <v>0</v>
      </c>
      <c r="H723" s="31">
        <f t="shared" si="519"/>
        <v>0</v>
      </c>
      <c r="I723" s="31">
        <f t="shared" si="520"/>
        <v>0</v>
      </c>
      <c r="J723" s="31">
        <f t="shared" si="521"/>
        <v>0</v>
      </c>
      <c r="K723" s="31">
        <f t="shared" si="522"/>
        <v>0</v>
      </c>
      <c r="L723" s="31">
        <f t="shared" si="523"/>
        <v>94.14</v>
      </c>
      <c r="M723" s="31">
        <f t="shared" si="524"/>
        <v>19.7694</v>
      </c>
      <c r="N723" s="31">
        <f t="shared" si="525"/>
        <v>113.9094</v>
      </c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hidden="1" customHeight="1">
      <c r="A724" s="29" t="s">
        <v>15</v>
      </c>
      <c r="B724" s="30">
        <v>3767.0</v>
      </c>
      <c r="C724" s="12">
        <v>3767.0</v>
      </c>
      <c r="D724" s="29">
        <f t="shared" si="516"/>
        <v>0</v>
      </c>
      <c r="E724" s="29">
        <f t="shared" si="517"/>
        <v>39.14</v>
      </c>
      <c r="F724" s="29">
        <v>55.0</v>
      </c>
      <c r="G724" s="31">
        <f t="shared" si="518"/>
        <v>0</v>
      </c>
      <c r="H724" s="31">
        <f t="shared" si="519"/>
        <v>0</v>
      </c>
      <c r="I724" s="31">
        <f t="shared" si="520"/>
        <v>0</v>
      </c>
      <c r="J724" s="31">
        <f t="shared" si="521"/>
        <v>0</v>
      </c>
      <c r="K724" s="31">
        <f t="shared" si="522"/>
        <v>0</v>
      </c>
      <c r="L724" s="31">
        <f t="shared" si="523"/>
        <v>94.14</v>
      </c>
      <c r="M724" s="31">
        <f t="shared" si="524"/>
        <v>19.7694</v>
      </c>
      <c r="N724" s="31">
        <f t="shared" si="525"/>
        <v>113.9094</v>
      </c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hidden="1" customHeight="1">
      <c r="A725" s="29" t="s">
        <v>16</v>
      </c>
      <c r="B725" s="30">
        <v>2903.0</v>
      </c>
      <c r="C725" s="12">
        <v>2903.0</v>
      </c>
      <c r="D725" s="29">
        <f t="shared" si="516"/>
        <v>0</v>
      </c>
      <c r="E725" s="29">
        <f t="shared" si="517"/>
        <v>39.14</v>
      </c>
      <c r="F725" s="29">
        <v>55.0</v>
      </c>
      <c r="G725" s="31">
        <f t="shared" si="518"/>
        <v>0</v>
      </c>
      <c r="H725" s="31">
        <f t="shared" si="519"/>
        <v>0</v>
      </c>
      <c r="I725" s="31">
        <f t="shared" si="520"/>
        <v>0</v>
      </c>
      <c r="J725" s="31">
        <f t="shared" si="521"/>
        <v>0</v>
      </c>
      <c r="K725" s="31">
        <f t="shared" si="522"/>
        <v>0</v>
      </c>
      <c r="L725" s="31">
        <f t="shared" si="523"/>
        <v>94.14</v>
      </c>
      <c r="M725" s="31">
        <f t="shared" si="524"/>
        <v>19.7694</v>
      </c>
      <c r="N725" s="31">
        <f t="shared" si="525"/>
        <v>113.9094</v>
      </c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hidden="1" customHeight="1">
      <c r="A726" s="29" t="s">
        <v>17</v>
      </c>
      <c r="B726" s="30">
        <v>3555.0</v>
      </c>
      <c r="C726" s="12">
        <v>3555.0</v>
      </c>
      <c r="D726" s="29">
        <f t="shared" si="516"/>
        <v>0</v>
      </c>
      <c r="E726" s="29">
        <f t="shared" si="517"/>
        <v>39.14</v>
      </c>
      <c r="F726" s="29">
        <v>55.0</v>
      </c>
      <c r="G726" s="31">
        <f t="shared" si="518"/>
        <v>0</v>
      </c>
      <c r="H726" s="31">
        <f t="shared" si="519"/>
        <v>0</v>
      </c>
      <c r="I726" s="31">
        <f t="shared" si="520"/>
        <v>0</v>
      </c>
      <c r="J726" s="31">
        <f t="shared" si="521"/>
        <v>0</v>
      </c>
      <c r="K726" s="31">
        <f t="shared" si="522"/>
        <v>0</v>
      </c>
      <c r="L726" s="31">
        <f t="shared" si="523"/>
        <v>94.14</v>
      </c>
      <c r="M726" s="31">
        <f t="shared" si="524"/>
        <v>19.7694</v>
      </c>
      <c r="N726" s="31">
        <f t="shared" si="525"/>
        <v>113.9094</v>
      </c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hidden="1" customHeight="1">
      <c r="A727" s="29" t="s">
        <v>18</v>
      </c>
      <c r="B727" s="30">
        <v>3366.0</v>
      </c>
      <c r="C727" s="12">
        <v>3366.0</v>
      </c>
      <c r="D727" s="29">
        <f t="shared" si="516"/>
        <v>0</v>
      </c>
      <c r="E727" s="29">
        <f t="shared" si="517"/>
        <v>39.14</v>
      </c>
      <c r="F727" s="29">
        <v>55.0</v>
      </c>
      <c r="G727" s="31">
        <f t="shared" si="518"/>
        <v>0</v>
      </c>
      <c r="H727" s="31">
        <f t="shared" si="519"/>
        <v>0</v>
      </c>
      <c r="I727" s="31">
        <f t="shared" si="520"/>
        <v>0</v>
      </c>
      <c r="J727" s="31">
        <f t="shared" si="521"/>
        <v>0</v>
      </c>
      <c r="K727" s="31">
        <f t="shared" si="522"/>
        <v>0</v>
      </c>
      <c r="L727" s="31">
        <f t="shared" si="523"/>
        <v>94.14</v>
      </c>
      <c r="M727" s="31">
        <f t="shared" si="524"/>
        <v>19.7694</v>
      </c>
      <c r="N727" s="31">
        <f t="shared" si="525"/>
        <v>113.9094</v>
      </c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hidden="1" customHeight="1">
      <c r="A728" s="29" t="s">
        <v>19</v>
      </c>
      <c r="B728" s="30">
        <v>99188.0</v>
      </c>
      <c r="C728" s="12">
        <v>99205.0</v>
      </c>
      <c r="D728" s="29">
        <f t="shared" si="516"/>
        <v>0.017</v>
      </c>
      <c r="E728" s="29">
        <v>169.69</v>
      </c>
      <c r="F728" s="29">
        <v>78.05</v>
      </c>
      <c r="G728" s="31">
        <f t="shared" si="518"/>
        <v>43.84844</v>
      </c>
      <c r="H728" s="31">
        <f t="shared" si="519"/>
        <v>1.69507</v>
      </c>
      <c r="I728" s="31">
        <f t="shared" si="520"/>
        <v>8.415</v>
      </c>
      <c r="J728" s="31">
        <f t="shared" si="521"/>
        <v>21.1548</v>
      </c>
      <c r="K728" s="31">
        <f t="shared" si="522"/>
        <v>0.4811</v>
      </c>
      <c r="L728" s="32">
        <f t="shared" si="523"/>
        <v>323.33441</v>
      </c>
      <c r="M728" s="31">
        <f t="shared" si="524"/>
        <v>67.9002261</v>
      </c>
      <c r="N728" s="31">
        <f t="shared" si="525"/>
        <v>391.2346361</v>
      </c>
      <c r="O728" s="28"/>
      <c r="P728" s="34">
        <f t="shared" ref="P728:P730" si="526">H728+I728+J728+K728</f>
        <v>31.74597</v>
      </c>
      <c r="Q728" s="36">
        <f t="shared" ref="Q728:Q730" si="527">P728*4.8</f>
        <v>152.380656</v>
      </c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hidden="1" customHeight="1">
      <c r="A729" s="29" t="s">
        <v>30</v>
      </c>
      <c r="B729" s="30">
        <v>14499.0</v>
      </c>
      <c r="C729" s="12">
        <v>14505.0</v>
      </c>
      <c r="D729" s="29">
        <f t="shared" si="516"/>
        <v>0.006</v>
      </c>
      <c r="E729" s="29">
        <f t="shared" ref="E729:E730" si="528">29.8+9.34</f>
        <v>39.14</v>
      </c>
      <c r="F729" s="29">
        <v>55.0</v>
      </c>
      <c r="G729" s="31">
        <f t="shared" si="518"/>
        <v>15.47592</v>
      </c>
      <c r="H729" s="31">
        <f t="shared" si="519"/>
        <v>0.59826</v>
      </c>
      <c r="I729" s="31">
        <f t="shared" si="520"/>
        <v>2.97</v>
      </c>
      <c r="J729" s="31">
        <f t="shared" si="521"/>
        <v>7.4664</v>
      </c>
      <c r="K729" s="31">
        <f t="shared" si="522"/>
        <v>0.1698</v>
      </c>
      <c r="L729" s="31">
        <f t="shared" si="523"/>
        <v>120.82038</v>
      </c>
      <c r="M729" s="31">
        <f t="shared" si="524"/>
        <v>25.3722798</v>
      </c>
      <c r="N729" s="31">
        <f t="shared" si="525"/>
        <v>146.1926598</v>
      </c>
      <c r="O729" s="28"/>
      <c r="P729" s="34">
        <f t="shared" si="526"/>
        <v>11.20446</v>
      </c>
      <c r="Q729" s="36">
        <f t="shared" si="527"/>
        <v>53.781408</v>
      </c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hidden="1" customHeight="1">
      <c r="A730" s="29" t="s">
        <v>31</v>
      </c>
      <c r="B730" s="30">
        <v>69965.0</v>
      </c>
      <c r="C730" s="12">
        <v>69999.0</v>
      </c>
      <c r="D730" s="29">
        <f t="shared" si="516"/>
        <v>0.034</v>
      </c>
      <c r="E730" s="29">
        <f t="shared" si="528"/>
        <v>39.14</v>
      </c>
      <c r="F730" s="29">
        <v>55.0</v>
      </c>
      <c r="G730" s="31">
        <f t="shared" si="518"/>
        <v>87.69688</v>
      </c>
      <c r="H730" s="31">
        <f t="shared" si="519"/>
        <v>3.39014</v>
      </c>
      <c r="I730" s="31">
        <f t="shared" si="520"/>
        <v>16.83</v>
      </c>
      <c r="J730" s="31">
        <f t="shared" si="521"/>
        <v>42.3096</v>
      </c>
      <c r="K730" s="31">
        <f t="shared" si="522"/>
        <v>0.9622</v>
      </c>
      <c r="L730" s="33">
        <f t="shared" si="523"/>
        <v>245.32882</v>
      </c>
      <c r="M730" s="31">
        <f t="shared" si="524"/>
        <v>51.5190522</v>
      </c>
      <c r="N730" s="31">
        <f t="shared" si="525"/>
        <v>296.8478722</v>
      </c>
      <c r="O730" s="28"/>
      <c r="P730" s="34">
        <f t="shared" si="526"/>
        <v>63.49194</v>
      </c>
      <c r="Q730" s="36">
        <f t="shared" si="527"/>
        <v>304.761312</v>
      </c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hidden="1" customHeight="1">
      <c r="A731" s="29"/>
      <c r="B731" s="28"/>
      <c r="C731" s="4"/>
      <c r="D731" s="29"/>
      <c r="E731" s="28"/>
      <c r="F731" s="28"/>
      <c r="G731" s="29"/>
      <c r="H731" s="28"/>
      <c r="I731" s="28"/>
      <c r="J731" s="28"/>
      <c r="K731" s="28"/>
      <c r="L731" s="34">
        <f>SUM(L720:L730)</f>
        <v>1442.60361</v>
      </c>
      <c r="M731" s="35">
        <f t="shared" si="524"/>
        <v>302.9467581</v>
      </c>
      <c r="N731" s="34">
        <f t="shared" si="525"/>
        <v>1745.550368</v>
      </c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hidden="1" customHeight="1">
      <c r="A732" s="29"/>
      <c r="B732" s="28"/>
      <c r="C732" s="4"/>
      <c r="D732" s="29">
        <f>SUM(D720:D730)</f>
        <v>0.057</v>
      </c>
      <c r="E732" s="28"/>
      <c r="F732" s="28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hidden="1" customHeight="1">
      <c r="A733" s="5"/>
      <c r="C733" s="4"/>
      <c r="D733" s="5"/>
      <c r="G733" s="5"/>
    </row>
    <row r="734" ht="15.75" hidden="1" customHeight="1">
      <c r="A734" s="27">
        <v>6684798.0</v>
      </c>
      <c r="B734" s="28"/>
      <c r="C734" s="4"/>
      <c r="D734" s="29"/>
      <c r="E734" s="28"/>
      <c r="F734" s="28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hidden="1" customHeight="1">
      <c r="A735" s="29" t="s">
        <v>11</v>
      </c>
      <c r="B735" s="30">
        <v>4612.0</v>
      </c>
      <c r="C735" s="12">
        <v>4612.0</v>
      </c>
      <c r="D735" s="29">
        <f t="shared" ref="D735:D746" si="529">(C735-B735)/1000</f>
        <v>0</v>
      </c>
      <c r="E735" s="29">
        <f t="shared" ref="E735:E742" si="530">29.8+9.34</f>
        <v>39.14</v>
      </c>
      <c r="F735" s="29">
        <v>55.0</v>
      </c>
      <c r="G735" s="31">
        <f t="shared" ref="G735:G746" si="531">D735*$G$2</f>
        <v>0</v>
      </c>
      <c r="H735" s="31">
        <f t="shared" ref="H735:H746" si="532">D735*$H$2</f>
        <v>0</v>
      </c>
      <c r="I735" s="31">
        <f t="shared" ref="I735:I746" si="533">D735*$I$2</f>
        <v>0</v>
      </c>
      <c r="J735" s="31">
        <f t="shared" ref="J735:J746" si="534">D735*$J$2</f>
        <v>0</v>
      </c>
      <c r="K735" s="31">
        <f t="shared" ref="K735:K746" si="535">D735*$K$2</f>
        <v>0</v>
      </c>
      <c r="L735" s="31">
        <f t="shared" ref="L735:L746" si="536">SUM(E735:K735)</f>
        <v>94.14</v>
      </c>
      <c r="M735" s="31">
        <f t="shared" ref="M735:M747" si="537">L735*0.21</f>
        <v>19.7694</v>
      </c>
      <c r="N735" s="31">
        <f t="shared" ref="N735:N747" si="538">L735+M735</f>
        <v>113.9094</v>
      </c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hidden="1" customHeight="1">
      <c r="A736" s="29" t="s">
        <v>12</v>
      </c>
      <c r="B736" s="30">
        <v>3281.0</v>
      </c>
      <c r="C736" s="12">
        <v>3281.0</v>
      </c>
      <c r="D736" s="29">
        <f t="shared" si="529"/>
        <v>0</v>
      </c>
      <c r="E736" s="29">
        <f t="shared" si="530"/>
        <v>39.14</v>
      </c>
      <c r="F736" s="29">
        <v>55.0</v>
      </c>
      <c r="G736" s="31">
        <f t="shared" si="531"/>
        <v>0</v>
      </c>
      <c r="H736" s="31">
        <f t="shared" si="532"/>
        <v>0</v>
      </c>
      <c r="I736" s="31">
        <f t="shared" si="533"/>
        <v>0</v>
      </c>
      <c r="J736" s="31">
        <f t="shared" si="534"/>
        <v>0</v>
      </c>
      <c r="K736" s="31">
        <f t="shared" si="535"/>
        <v>0</v>
      </c>
      <c r="L736" s="31">
        <f t="shared" si="536"/>
        <v>94.14</v>
      </c>
      <c r="M736" s="31">
        <f t="shared" si="537"/>
        <v>19.7694</v>
      </c>
      <c r="N736" s="31">
        <f t="shared" si="538"/>
        <v>113.9094</v>
      </c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hidden="1" customHeight="1">
      <c r="A737" s="29" t="s">
        <v>13</v>
      </c>
      <c r="B737" s="30">
        <v>4324.0</v>
      </c>
      <c r="C737" s="12">
        <v>4324.0</v>
      </c>
      <c r="D737" s="29">
        <f t="shared" si="529"/>
        <v>0</v>
      </c>
      <c r="E737" s="29">
        <f t="shared" si="530"/>
        <v>39.14</v>
      </c>
      <c r="F737" s="29">
        <v>55.0</v>
      </c>
      <c r="G737" s="31">
        <f t="shared" si="531"/>
        <v>0</v>
      </c>
      <c r="H737" s="31">
        <f t="shared" si="532"/>
        <v>0</v>
      </c>
      <c r="I737" s="31">
        <f t="shared" si="533"/>
        <v>0</v>
      </c>
      <c r="J737" s="31">
        <f t="shared" si="534"/>
        <v>0</v>
      </c>
      <c r="K737" s="31">
        <f t="shared" si="535"/>
        <v>0</v>
      </c>
      <c r="L737" s="31">
        <f t="shared" si="536"/>
        <v>94.14</v>
      </c>
      <c r="M737" s="31">
        <f t="shared" si="537"/>
        <v>19.7694</v>
      </c>
      <c r="N737" s="31">
        <f t="shared" si="538"/>
        <v>113.9094</v>
      </c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hidden="1" customHeight="1">
      <c r="A738" s="29" t="s">
        <v>14</v>
      </c>
      <c r="B738" s="30">
        <v>3590.0</v>
      </c>
      <c r="C738" s="12">
        <v>3590.0</v>
      </c>
      <c r="D738" s="29">
        <f t="shared" si="529"/>
        <v>0</v>
      </c>
      <c r="E738" s="29">
        <f t="shared" si="530"/>
        <v>39.14</v>
      </c>
      <c r="F738" s="29">
        <v>55.0</v>
      </c>
      <c r="G738" s="31">
        <f t="shared" si="531"/>
        <v>0</v>
      </c>
      <c r="H738" s="31">
        <f t="shared" si="532"/>
        <v>0</v>
      </c>
      <c r="I738" s="31">
        <f t="shared" si="533"/>
        <v>0</v>
      </c>
      <c r="J738" s="31">
        <f t="shared" si="534"/>
        <v>0</v>
      </c>
      <c r="K738" s="31">
        <f t="shared" si="535"/>
        <v>0</v>
      </c>
      <c r="L738" s="31">
        <f t="shared" si="536"/>
        <v>94.14</v>
      </c>
      <c r="M738" s="31">
        <f t="shared" si="537"/>
        <v>19.7694</v>
      </c>
      <c r="N738" s="31">
        <f t="shared" si="538"/>
        <v>113.9094</v>
      </c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hidden="1" customHeight="1">
      <c r="A739" s="29" t="s">
        <v>15</v>
      </c>
      <c r="B739" s="30">
        <v>3767.0</v>
      </c>
      <c r="C739" s="12">
        <v>3767.0</v>
      </c>
      <c r="D739" s="29">
        <f t="shared" si="529"/>
        <v>0</v>
      </c>
      <c r="E739" s="29">
        <f t="shared" si="530"/>
        <v>39.14</v>
      </c>
      <c r="F739" s="29">
        <v>55.0</v>
      </c>
      <c r="G739" s="31">
        <f t="shared" si="531"/>
        <v>0</v>
      </c>
      <c r="H739" s="31">
        <f t="shared" si="532"/>
        <v>0</v>
      </c>
      <c r="I739" s="31">
        <f t="shared" si="533"/>
        <v>0</v>
      </c>
      <c r="J739" s="31">
        <f t="shared" si="534"/>
        <v>0</v>
      </c>
      <c r="K739" s="31">
        <f t="shared" si="535"/>
        <v>0</v>
      </c>
      <c r="L739" s="31">
        <f t="shared" si="536"/>
        <v>94.14</v>
      </c>
      <c r="M739" s="31">
        <f t="shared" si="537"/>
        <v>19.7694</v>
      </c>
      <c r="N739" s="31">
        <f t="shared" si="538"/>
        <v>113.9094</v>
      </c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hidden="1" customHeight="1">
      <c r="A740" s="29" t="s">
        <v>16</v>
      </c>
      <c r="B740" s="30">
        <v>2903.0</v>
      </c>
      <c r="C740" s="12">
        <v>2903.0</v>
      </c>
      <c r="D740" s="29">
        <f t="shared" si="529"/>
        <v>0</v>
      </c>
      <c r="E740" s="29">
        <f t="shared" si="530"/>
        <v>39.14</v>
      </c>
      <c r="F740" s="29">
        <v>55.0</v>
      </c>
      <c r="G740" s="31">
        <f t="shared" si="531"/>
        <v>0</v>
      </c>
      <c r="H740" s="31">
        <f t="shared" si="532"/>
        <v>0</v>
      </c>
      <c r="I740" s="31">
        <f t="shared" si="533"/>
        <v>0</v>
      </c>
      <c r="J740" s="31">
        <f t="shared" si="534"/>
        <v>0</v>
      </c>
      <c r="K740" s="31">
        <f t="shared" si="535"/>
        <v>0</v>
      </c>
      <c r="L740" s="31">
        <f t="shared" si="536"/>
        <v>94.14</v>
      </c>
      <c r="M740" s="31">
        <f t="shared" si="537"/>
        <v>19.7694</v>
      </c>
      <c r="N740" s="31">
        <f t="shared" si="538"/>
        <v>113.9094</v>
      </c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hidden="1" customHeight="1">
      <c r="A741" s="29" t="s">
        <v>17</v>
      </c>
      <c r="B741" s="30">
        <v>3555.0</v>
      </c>
      <c r="C741" s="12">
        <v>3555.0</v>
      </c>
      <c r="D741" s="29">
        <f t="shared" si="529"/>
        <v>0</v>
      </c>
      <c r="E741" s="29">
        <f t="shared" si="530"/>
        <v>39.14</v>
      </c>
      <c r="F741" s="29">
        <v>55.0</v>
      </c>
      <c r="G741" s="31">
        <f t="shared" si="531"/>
        <v>0</v>
      </c>
      <c r="H741" s="31">
        <f t="shared" si="532"/>
        <v>0</v>
      </c>
      <c r="I741" s="31">
        <f t="shared" si="533"/>
        <v>0</v>
      </c>
      <c r="J741" s="31">
        <f t="shared" si="534"/>
        <v>0</v>
      </c>
      <c r="K741" s="31">
        <f t="shared" si="535"/>
        <v>0</v>
      </c>
      <c r="L741" s="31">
        <f t="shared" si="536"/>
        <v>94.14</v>
      </c>
      <c r="M741" s="31">
        <f t="shared" si="537"/>
        <v>19.7694</v>
      </c>
      <c r="N741" s="31">
        <f t="shared" si="538"/>
        <v>113.9094</v>
      </c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hidden="1" customHeight="1">
      <c r="A742" s="29" t="s">
        <v>18</v>
      </c>
      <c r="B742" s="30">
        <v>3366.0</v>
      </c>
      <c r="C742" s="12">
        <v>3366.0</v>
      </c>
      <c r="D742" s="29">
        <f t="shared" si="529"/>
        <v>0</v>
      </c>
      <c r="E742" s="29">
        <f t="shared" si="530"/>
        <v>39.14</v>
      </c>
      <c r="F742" s="29">
        <v>55.0</v>
      </c>
      <c r="G742" s="31">
        <f t="shared" si="531"/>
        <v>0</v>
      </c>
      <c r="H742" s="31">
        <f t="shared" si="532"/>
        <v>0</v>
      </c>
      <c r="I742" s="31">
        <f t="shared" si="533"/>
        <v>0</v>
      </c>
      <c r="J742" s="31">
        <f t="shared" si="534"/>
        <v>0</v>
      </c>
      <c r="K742" s="31">
        <f t="shared" si="535"/>
        <v>0</v>
      </c>
      <c r="L742" s="31">
        <f t="shared" si="536"/>
        <v>94.14</v>
      </c>
      <c r="M742" s="31">
        <f t="shared" si="537"/>
        <v>19.7694</v>
      </c>
      <c r="N742" s="31">
        <f t="shared" si="538"/>
        <v>113.9094</v>
      </c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hidden="1" customHeight="1">
      <c r="A743" s="29" t="s">
        <v>19</v>
      </c>
      <c r="B743" s="30">
        <v>99188.0</v>
      </c>
      <c r="C743" s="12">
        <v>99246.0</v>
      </c>
      <c r="D743" s="29">
        <f t="shared" si="529"/>
        <v>0.058</v>
      </c>
      <c r="E743" s="29">
        <v>169.69</v>
      </c>
      <c r="F743" s="29">
        <v>78.05</v>
      </c>
      <c r="G743" s="31">
        <f t="shared" si="531"/>
        <v>149.60056</v>
      </c>
      <c r="H743" s="31">
        <f t="shared" si="532"/>
        <v>5.78318</v>
      </c>
      <c r="I743" s="31">
        <f t="shared" si="533"/>
        <v>28.71</v>
      </c>
      <c r="J743" s="31">
        <f t="shared" si="534"/>
        <v>72.1752</v>
      </c>
      <c r="K743" s="31">
        <f t="shared" si="535"/>
        <v>1.6414</v>
      </c>
      <c r="L743" s="32">
        <f t="shared" si="536"/>
        <v>505.65034</v>
      </c>
      <c r="M743" s="31">
        <f t="shared" si="537"/>
        <v>106.1865714</v>
      </c>
      <c r="N743" s="31">
        <f t="shared" si="538"/>
        <v>611.8369114</v>
      </c>
      <c r="O743" s="28"/>
      <c r="P743" s="34">
        <f t="shared" ref="P743:P746" si="539">(H743+G743+I743+J743+K743)/3</f>
        <v>85.97011333</v>
      </c>
      <c r="Q743" s="36">
        <f t="shared" ref="Q743:Q746" si="540">P743*4.8</f>
        <v>412.656544</v>
      </c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hidden="1" customHeight="1">
      <c r="A744" s="29" t="s">
        <v>30</v>
      </c>
      <c r="B744" s="30">
        <v>14499.0</v>
      </c>
      <c r="C744" s="12">
        <v>14521.0</v>
      </c>
      <c r="D744" s="29">
        <f t="shared" si="529"/>
        <v>0.022</v>
      </c>
      <c r="E744" s="29">
        <f t="shared" ref="E744:E746" si="541">29.8+9.34</f>
        <v>39.14</v>
      </c>
      <c r="F744" s="29">
        <v>55.0</v>
      </c>
      <c r="G744" s="31">
        <f t="shared" si="531"/>
        <v>56.74504</v>
      </c>
      <c r="H744" s="31">
        <f t="shared" si="532"/>
        <v>2.19362</v>
      </c>
      <c r="I744" s="31">
        <f t="shared" si="533"/>
        <v>10.89</v>
      </c>
      <c r="J744" s="31">
        <f t="shared" si="534"/>
        <v>27.3768</v>
      </c>
      <c r="K744" s="31">
        <f t="shared" si="535"/>
        <v>0.6226</v>
      </c>
      <c r="L744" s="31">
        <f t="shared" si="536"/>
        <v>191.96806</v>
      </c>
      <c r="M744" s="31">
        <f t="shared" si="537"/>
        <v>40.3132926</v>
      </c>
      <c r="N744" s="31">
        <f t="shared" si="538"/>
        <v>232.2813526</v>
      </c>
      <c r="O744" s="28"/>
      <c r="P744" s="34">
        <f t="shared" si="539"/>
        <v>32.60935333</v>
      </c>
      <c r="Q744" s="36">
        <f t="shared" si="540"/>
        <v>156.524896</v>
      </c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hidden="1" customHeight="1">
      <c r="A745" s="29" t="s">
        <v>31</v>
      </c>
      <c r="B745" s="30">
        <v>69965.0</v>
      </c>
      <c r="C745" s="12">
        <v>70074.0</v>
      </c>
      <c r="D745" s="29">
        <f t="shared" si="529"/>
        <v>0.109</v>
      </c>
      <c r="E745" s="29">
        <f t="shared" si="541"/>
        <v>39.14</v>
      </c>
      <c r="F745" s="29">
        <v>55.0</v>
      </c>
      <c r="G745" s="31">
        <f t="shared" si="531"/>
        <v>281.14588</v>
      </c>
      <c r="H745" s="31">
        <f t="shared" si="532"/>
        <v>10.86839</v>
      </c>
      <c r="I745" s="31">
        <f t="shared" si="533"/>
        <v>53.955</v>
      </c>
      <c r="J745" s="31">
        <f t="shared" si="534"/>
        <v>135.6396</v>
      </c>
      <c r="K745" s="31">
        <f t="shared" si="535"/>
        <v>3.0847</v>
      </c>
      <c r="L745" s="33">
        <f t="shared" si="536"/>
        <v>578.83357</v>
      </c>
      <c r="M745" s="31">
        <f t="shared" si="537"/>
        <v>121.5550497</v>
      </c>
      <c r="N745" s="31">
        <f t="shared" si="538"/>
        <v>700.3886197</v>
      </c>
      <c r="O745" s="28"/>
      <c r="P745" s="34">
        <f t="shared" si="539"/>
        <v>161.5645233</v>
      </c>
      <c r="Q745" s="36">
        <f t="shared" si="540"/>
        <v>775.509712</v>
      </c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hidden="1" customHeight="1">
      <c r="A746" s="29" t="s">
        <v>65</v>
      </c>
      <c r="B746" s="30">
        <v>25688.0</v>
      </c>
      <c r="C746" s="12">
        <v>25688.0</v>
      </c>
      <c r="D746" s="29">
        <f t="shared" si="529"/>
        <v>0</v>
      </c>
      <c r="E746" s="29">
        <f t="shared" si="541"/>
        <v>39.14</v>
      </c>
      <c r="F746" s="29">
        <v>55.0</v>
      </c>
      <c r="G746" s="31">
        <f t="shared" si="531"/>
        <v>0</v>
      </c>
      <c r="H746" s="31">
        <f t="shared" si="532"/>
        <v>0</v>
      </c>
      <c r="I746" s="31">
        <f t="shared" si="533"/>
        <v>0</v>
      </c>
      <c r="J746" s="31">
        <f t="shared" si="534"/>
        <v>0</v>
      </c>
      <c r="K746" s="31">
        <f t="shared" si="535"/>
        <v>0</v>
      </c>
      <c r="L746" s="33">
        <f t="shared" si="536"/>
        <v>94.14</v>
      </c>
      <c r="M746" s="31">
        <f t="shared" si="537"/>
        <v>19.7694</v>
      </c>
      <c r="N746" s="31">
        <f t="shared" si="538"/>
        <v>113.9094</v>
      </c>
      <c r="O746" s="28"/>
      <c r="P746" s="34">
        <f t="shared" si="539"/>
        <v>0</v>
      </c>
      <c r="Q746" s="36">
        <f t="shared" si="540"/>
        <v>0</v>
      </c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hidden="1" customHeight="1">
      <c r="A747" s="29"/>
      <c r="B747" s="28"/>
      <c r="C747" s="4"/>
      <c r="D747" s="29"/>
      <c r="E747" s="28"/>
      <c r="F747" s="28"/>
      <c r="G747" s="29"/>
      <c r="H747" s="28"/>
      <c r="I747" s="28"/>
      <c r="J747" s="28"/>
      <c r="K747" s="28"/>
      <c r="L747" s="34">
        <f>SUM(L735:L745)</f>
        <v>2029.57197</v>
      </c>
      <c r="M747" s="35">
        <f t="shared" si="537"/>
        <v>426.2101137</v>
      </c>
      <c r="N747" s="34">
        <f t="shared" si="538"/>
        <v>2455.782084</v>
      </c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hidden="1" customHeight="1">
      <c r="A748" s="29"/>
      <c r="B748" s="28"/>
      <c r="C748" s="4"/>
      <c r="D748" s="29">
        <f>SUM(D735:D745)</f>
        <v>0.189</v>
      </c>
      <c r="E748" s="28"/>
      <c r="F748" s="28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hidden="1" customHeight="1">
      <c r="A749" s="5"/>
      <c r="C749" s="4"/>
      <c r="D749" s="5"/>
      <c r="G749" s="5"/>
    </row>
    <row r="750" ht="15.75" hidden="1" customHeight="1">
      <c r="A750" s="27">
        <v>6684800.0</v>
      </c>
      <c r="B750" s="28"/>
      <c r="C750" s="4"/>
      <c r="D750" s="29"/>
      <c r="E750" s="28"/>
      <c r="F750" s="28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hidden="1" customHeight="1">
      <c r="A751" s="29" t="s">
        <v>11</v>
      </c>
      <c r="B751" s="30">
        <v>4612.0</v>
      </c>
      <c r="C751" s="12">
        <v>4612.0</v>
      </c>
      <c r="D751" s="29">
        <f t="shared" ref="D751:D762" si="542">(C751-B751)/1000</f>
        <v>0</v>
      </c>
      <c r="E751" s="29">
        <f t="shared" ref="E751:E758" si="543">29.8+9.34</f>
        <v>39.14</v>
      </c>
      <c r="F751" s="29">
        <v>55.0</v>
      </c>
      <c r="G751" s="31">
        <f t="shared" ref="G751:G762" si="544">D751*$G$2</f>
        <v>0</v>
      </c>
      <c r="H751" s="31">
        <f t="shared" ref="H751:H762" si="545">D751*$H$2</f>
        <v>0</v>
      </c>
      <c r="I751" s="31">
        <f t="shared" ref="I751:I762" si="546">D751*$I$2</f>
        <v>0</v>
      </c>
      <c r="J751" s="31">
        <f t="shared" ref="J751:J762" si="547">D751*$J$2</f>
        <v>0</v>
      </c>
      <c r="K751" s="31">
        <f t="shared" ref="K751:K762" si="548">D751*$K$2</f>
        <v>0</v>
      </c>
      <c r="L751" s="31">
        <f t="shared" ref="L751:L762" si="549">SUM(E751:K751)</f>
        <v>94.14</v>
      </c>
      <c r="M751" s="31">
        <f t="shared" ref="M751:M763" si="550">L751*0.21</f>
        <v>19.7694</v>
      </c>
      <c r="N751" s="31">
        <f t="shared" ref="N751:N763" si="551">L751+M751</f>
        <v>113.9094</v>
      </c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hidden="1" customHeight="1">
      <c r="A752" s="29" t="s">
        <v>12</v>
      </c>
      <c r="B752" s="30">
        <v>3281.0</v>
      </c>
      <c r="C752" s="12">
        <v>3281.0</v>
      </c>
      <c r="D752" s="29">
        <f t="shared" si="542"/>
        <v>0</v>
      </c>
      <c r="E752" s="29">
        <f t="shared" si="543"/>
        <v>39.14</v>
      </c>
      <c r="F752" s="29">
        <v>55.0</v>
      </c>
      <c r="G752" s="31">
        <f t="shared" si="544"/>
        <v>0</v>
      </c>
      <c r="H752" s="31">
        <f t="shared" si="545"/>
        <v>0</v>
      </c>
      <c r="I752" s="31">
        <f t="shared" si="546"/>
        <v>0</v>
      </c>
      <c r="J752" s="31">
        <f t="shared" si="547"/>
        <v>0</v>
      </c>
      <c r="K752" s="31">
        <f t="shared" si="548"/>
        <v>0</v>
      </c>
      <c r="L752" s="31">
        <f t="shared" si="549"/>
        <v>94.14</v>
      </c>
      <c r="M752" s="31">
        <f t="shared" si="550"/>
        <v>19.7694</v>
      </c>
      <c r="N752" s="31">
        <f t="shared" si="551"/>
        <v>113.9094</v>
      </c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hidden="1" customHeight="1">
      <c r="A753" s="29" t="s">
        <v>13</v>
      </c>
      <c r="B753" s="30">
        <v>4324.0</v>
      </c>
      <c r="C753" s="12">
        <v>4324.0</v>
      </c>
      <c r="D753" s="29">
        <f t="shared" si="542"/>
        <v>0</v>
      </c>
      <c r="E753" s="29">
        <f t="shared" si="543"/>
        <v>39.14</v>
      </c>
      <c r="F753" s="29">
        <v>55.0</v>
      </c>
      <c r="G753" s="31">
        <f t="shared" si="544"/>
        <v>0</v>
      </c>
      <c r="H753" s="31">
        <f t="shared" si="545"/>
        <v>0</v>
      </c>
      <c r="I753" s="31">
        <f t="shared" si="546"/>
        <v>0</v>
      </c>
      <c r="J753" s="31">
        <f t="shared" si="547"/>
        <v>0</v>
      </c>
      <c r="K753" s="31">
        <f t="shared" si="548"/>
        <v>0</v>
      </c>
      <c r="L753" s="31">
        <f t="shared" si="549"/>
        <v>94.14</v>
      </c>
      <c r="M753" s="31">
        <f t="shared" si="550"/>
        <v>19.7694</v>
      </c>
      <c r="N753" s="31">
        <f t="shared" si="551"/>
        <v>113.9094</v>
      </c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hidden="1" customHeight="1">
      <c r="A754" s="29" t="s">
        <v>14</v>
      </c>
      <c r="B754" s="30">
        <v>3590.0</v>
      </c>
      <c r="C754" s="12">
        <v>3590.0</v>
      </c>
      <c r="D754" s="29">
        <f t="shared" si="542"/>
        <v>0</v>
      </c>
      <c r="E754" s="29">
        <f t="shared" si="543"/>
        <v>39.14</v>
      </c>
      <c r="F754" s="29">
        <v>55.0</v>
      </c>
      <c r="G754" s="31">
        <f t="shared" si="544"/>
        <v>0</v>
      </c>
      <c r="H754" s="31">
        <f t="shared" si="545"/>
        <v>0</v>
      </c>
      <c r="I754" s="31">
        <f t="shared" si="546"/>
        <v>0</v>
      </c>
      <c r="J754" s="31">
        <f t="shared" si="547"/>
        <v>0</v>
      </c>
      <c r="K754" s="31">
        <f t="shared" si="548"/>
        <v>0</v>
      </c>
      <c r="L754" s="31">
        <f t="shared" si="549"/>
        <v>94.14</v>
      </c>
      <c r="M754" s="31">
        <f t="shared" si="550"/>
        <v>19.7694</v>
      </c>
      <c r="N754" s="31">
        <f t="shared" si="551"/>
        <v>113.9094</v>
      </c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hidden="1" customHeight="1">
      <c r="A755" s="29" t="s">
        <v>15</v>
      </c>
      <c r="B755" s="30">
        <v>3767.0</v>
      </c>
      <c r="C755" s="12">
        <v>3767.0</v>
      </c>
      <c r="D755" s="29">
        <f t="shared" si="542"/>
        <v>0</v>
      </c>
      <c r="E755" s="29">
        <f t="shared" si="543"/>
        <v>39.14</v>
      </c>
      <c r="F755" s="29">
        <v>55.0</v>
      </c>
      <c r="G755" s="31">
        <f t="shared" si="544"/>
        <v>0</v>
      </c>
      <c r="H755" s="31">
        <f t="shared" si="545"/>
        <v>0</v>
      </c>
      <c r="I755" s="31">
        <f t="shared" si="546"/>
        <v>0</v>
      </c>
      <c r="J755" s="31">
        <f t="shared" si="547"/>
        <v>0</v>
      </c>
      <c r="K755" s="31">
        <f t="shared" si="548"/>
        <v>0</v>
      </c>
      <c r="L755" s="31">
        <f t="shared" si="549"/>
        <v>94.14</v>
      </c>
      <c r="M755" s="31">
        <f t="shared" si="550"/>
        <v>19.7694</v>
      </c>
      <c r="N755" s="31">
        <f t="shared" si="551"/>
        <v>113.9094</v>
      </c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hidden="1" customHeight="1">
      <c r="A756" s="29" t="s">
        <v>16</v>
      </c>
      <c r="B756" s="30">
        <v>2903.0</v>
      </c>
      <c r="C756" s="12">
        <v>2903.0</v>
      </c>
      <c r="D756" s="29">
        <f t="shared" si="542"/>
        <v>0</v>
      </c>
      <c r="E756" s="29">
        <f t="shared" si="543"/>
        <v>39.14</v>
      </c>
      <c r="F756" s="29">
        <v>55.0</v>
      </c>
      <c r="G756" s="31">
        <f t="shared" si="544"/>
        <v>0</v>
      </c>
      <c r="H756" s="31">
        <f t="shared" si="545"/>
        <v>0</v>
      </c>
      <c r="I756" s="31">
        <f t="shared" si="546"/>
        <v>0</v>
      </c>
      <c r="J756" s="31">
        <f t="shared" si="547"/>
        <v>0</v>
      </c>
      <c r="K756" s="31">
        <f t="shared" si="548"/>
        <v>0</v>
      </c>
      <c r="L756" s="31">
        <f t="shared" si="549"/>
        <v>94.14</v>
      </c>
      <c r="M756" s="31">
        <f t="shared" si="550"/>
        <v>19.7694</v>
      </c>
      <c r="N756" s="31">
        <f t="shared" si="551"/>
        <v>113.9094</v>
      </c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hidden="1" customHeight="1">
      <c r="A757" s="29" t="s">
        <v>17</v>
      </c>
      <c r="B757" s="30">
        <v>3555.0</v>
      </c>
      <c r="C757" s="12">
        <v>3555.0</v>
      </c>
      <c r="D757" s="29">
        <f t="shared" si="542"/>
        <v>0</v>
      </c>
      <c r="E757" s="29">
        <f t="shared" si="543"/>
        <v>39.14</v>
      </c>
      <c r="F757" s="29">
        <v>55.0</v>
      </c>
      <c r="G757" s="31">
        <f t="shared" si="544"/>
        <v>0</v>
      </c>
      <c r="H757" s="31">
        <f t="shared" si="545"/>
        <v>0</v>
      </c>
      <c r="I757" s="31">
        <f t="shared" si="546"/>
        <v>0</v>
      </c>
      <c r="J757" s="31">
        <f t="shared" si="547"/>
        <v>0</v>
      </c>
      <c r="K757" s="31">
        <f t="shared" si="548"/>
        <v>0</v>
      </c>
      <c r="L757" s="31">
        <f t="shared" si="549"/>
        <v>94.14</v>
      </c>
      <c r="M757" s="31">
        <f t="shared" si="550"/>
        <v>19.7694</v>
      </c>
      <c r="N757" s="31">
        <f t="shared" si="551"/>
        <v>113.9094</v>
      </c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hidden="1" customHeight="1">
      <c r="A758" s="29" t="s">
        <v>18</v>
      </c>
      <c r="B758" s="30">
        <v>3366.0</v>
      </c>
      <c r="C758" s="12">
        <v>3366.0</v>
      </c>
      <c r="D758" s="29">
        <f t="shared" si="542"/>
        <v>0</v>
      </c>
      <c r="E758" s="29">
        <f t="shared" si="543"/>
        <v>39.14</v>
      </c>
      <c r="F758" s="29">
        <v>55.0</v>
      </c>
      <c r="G758" s="31">
        <f t="shared" si="544"/>
        <v>0</v>
      </c>
      <c r="H758" s="31">
        <f t="shared" si="545"/>
        <v>0</v>
      </c>
      <c r="I758" s="31">
        <f t="shared" si="546"/>
        <v>0</v>
      </c>
      <c r="J758" s="31">
        <f t="shared" si="547"/>
        <v>0</v>
      </c>
      <c r="K758" s="31">
        <f t="shared" si="548"/>
        <v>0</v>
      </c>
      <c r="L758" s="31">
        <f t="shared" si="549"/>
        <v>94.14</v>
      </c>
      <c r="M758" s="31">
        <f t="shared" si="550"/>
        <v>19.7694</v>
      </c>
      <c r="N758" s="31">
        <f t="shared" si="551"/>
        <v>113.9094</v>
      </c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hidden="1" customHeight="1">
      <c r="A759" s="29" t="s">
        <v>19</v>
      </c>
      <c r="B759" s="30">
        <v>99246.0</v>
      </c>
      <c r="C759" s="12">
        <v>99274.0</v>
      </c>
      <c r="D759" s="29">
        <f t="shared" si="542"/>
        <v>0.028</v>
      </c>
      <c r="E759" s="29">
        <v>169.69</v>
      </c>
      <c r="F759" s="29">
        <v>78.05</v>
      </c>
      <c r="G759" s="31">
        <f t="shared" si="544"/>
        <v>72.22096</v>
      </c>
      <c r="H759" s="31">
        <f t="shared" si="545"/>
        <v>2.79188</v>
      </c>
      <c r="I759" s="31">
        <f t="shared" si="546"/>
        <v>13.86</v>
      </c>
      <c r="J759" s="31">
        <f t="shared" si="547"/>
        <v>34.8432</v>
      </c>
      <c r="K759" s="31">
        <f t="shared" si="548"/>
        <v>0.7924</v>
      </c>
      <c r="L759" s="32">
        <f t="shared" si="549"/>
        <v>372.24844</v>
      </c>
      <c r="M759" s="31">
        <f t="shared" si="550"/>
        <v>78.1721724</v>
      </c>
      <c r="N759" s="31">
        <f t="shared" si="551"/>
        <v>450.4206124</v>
      </c>
      <c r="O759" s="28"/>
      <c r="P759" s="34">
        <f t="shared" ref="P759:P762" si="552">(H759+G759+I759+J759+K759)/2</f>
        <v>62.25422</v>
      </c>
      <c r="Q759" s="36">
        <f t="shared" ref="Q759:Q762" si="553">P759*4.8</f>
        <v>298.820256</v>
      </c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hidden="1" customHeight="1">
      <c r="A760" s="29" t="s">
        <v>30</v>
      </c>
      <c r="B760" s="30">
        <v>14521.0</v>
      </c>
      <c r="C760" s="12">
        <v>14531.0</v>
      </c>
      <c r="D760" s="29">
        <f t="shared" si="542"/>
        <v>0.01</v>
      </c>
      <c r="E760" s="29">
        <f t="shared" ref="E760:E762" si="554">29.8+9.34</f>
        <v>39.14</v>
      </c>
      <c r="F760" s="29">
        <v>55.0</v>
      </c>
      <c r="G760" s="31">
        <f t="shared" si="544"/>
        <v>25.7932</v>
      </c>
      <c r="H760" s="31">
        <f t="shared" si="545"/>
        <v>0.9971</v>
      </c>
      <c r="I760" s="31">
        <f t="shared" si="546"/>
        <v>4.95</v>
      </c>
      <c r="J760" s="31">
        <f t="shared" si="547"/>
        <v>12.444</v>
      </c>
      <c r="K760" s="31">
        <f t="shared" si="548"/>
        <v>0.283</v>
      </c>
      <c r="L760" s="31">
        <f t="shared" si="549"/>
        <v>138.6073</v>
      </c>
      <c r="M760" s="31">
        <f t="shared" si="550"/>
        <v>29.107533</v>
      </c>
      <c r="N760" s="31">
        <f t="shared" si="551"/>
        <v>167.714833</v>
      </c>
      <c r="O760" s="28"/>
      <c r="P760" s="34">
        <f t="shared" si="552"/>
        <v>22.23365</v>
      </c>
      <c r="Q760" s="36">
        <f t="shared" si="553"/>
        <v>106.72152</v>
      </c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hidden="1" customHeight="1">
      <c r="A761" s="29" t="s">
        <v>31</v>
      </c>
      <c r="B761" s="30">
        <v>70074.0</v>
      </c>
      <c r="C761" s="12">
        <v>70119.0</v>
      </c>
      <c r="D761" s="29">
        <f t="shared" si="542"/>
        <v>0.045</v>
      </c>
      <c r="E761" s="29">
        <f t="shared" si="554"/>
        <v>39.14</v>
      </c>
      <c r="F761" s="29">
        <v>55.0</v>
      </c>
      <c r="G761" s="31">
        <f t="shared" si="544"/>
        <v>116.0694</v>
      </c>
      <c r="H761" s="31">
        <f t="shared" si="545"/>
        <v>4.48695</v>
      </c>
      <c r="I761" s="31">
        <f t="shared" si="546"/>
        <v>22.275</v>
      </c>
      <c r="J761" s="31">
        <f t="shared" si="547"/>
        <v>55.998</v>
      </c>
      <c r="K761" s="31">
        <f t="shared" si="548"/>
        <v>1.2735</v>
      </c>
      <c r="L761" s="33">
        <f t="shared" si="549"/>
        <v>294.24285</v>
      </c>
      <c r="M761" s="31">
        <f t="shared" si="550"/>
        <v>61.7909985</v>
      </c>
      <c r="N761" s="31">
        <f t="shared" si="551"/>
        <v>356.0338485</v>
      </c>
      <c r="O761" s="28"/>
      <c r="P761" s="34">
        <f t="shared" si="552"/>
        <v>100.051425</v>
      </c>
      <c r="Q761" s="36">
        <f t="shared" si="553"/>
        <v>480.24684</v>
      </c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hidden="1" customHeight="1">
      <c r="A762" s="29" t="s">
        <v>65</v>
      </c>
      <c r="B762" s="30">
        <v>25688.0</v>
      </c>
      <c r="C762" s="12">
        <v>25688.0</v>
      </c>
      <c r="D762" s="29">
        <f t="shared" si="542"/>
        <v>0</v>
      </c>
      <c r="E762" s="29">
        <f t="shared" si="554"/>
        <v>39.14</v>
      </c>
      <c r="F762" s="29">
        <v>55.0</v>
      </c>
      <c r="G762" s="31">
        <f t="shared" si="544"/>
        <v>0</v>
      </c>
      <c r="H762" s="31">
        <f t="shared" si="545"/>
        <v>0</v>
      </c>
      <c r="I762" s="31">
        <f t="shared" si="546"/>
        <v>0</v>
      </c>
      <c r="J762" s="31">
        <f t="shared" si="547"/>
        <v>0</v>
      </c>
      <c r="K762" s="31">
        <f t="shared" si="548"/>
        <v>0</v>
      </c>
      <c r="L762" s="33">
        <f t="shared" si="549"/>
        <v>94.14</v>
      </c>
      <c r="M762" s="31">
        <f t="shared" si="550"/>
        <v>19.7694</v>
      </c>
      <c r="N762" s="31">
        <f t="shared" si="551"/>
        <v>113.9094</v>
      </c>
      <c r="O762" s="28"/>
      <c r="P762" s="34">
        <f t="shared" si="552"/>
        <v>0</v>
      </c>
      <c r="Q762" s="36">
        <f t="shared" si="553"/>
        <v>0</v>
      </c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hidden="1" customHeight="1">
      <c r="A763" s="29"/>
      <c r="B763" s="28"/>
      <c r="C763" s="4"/>
      <c r="D763" s="29"/>
      <c r="E763" s="28"/>
      <c r="F763" s="28"/>
      <c r="G763" s="29"/>
      <c r="H763" s="28"/>
      <c r="I763" s="28"/>
      <c r="J763" s="28"/>
      <c r="K763" s="28"/>
      <c r="L763" s="34">
        <f>SUM(L751:L761)</f>
        <v>1558.21859</v>
      </c>
      <c r="M763" s="35">
        <f t="shared" si="550"/>
        <v>327.2259039</v>
      </c>
      <c r="N763" s="34">
        <f t="shared" si="551"/>
        <v>1885.444494</v>
      </c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hidden="1" customHeight="1">
      <c r="A764" s="29"/>
      <c r="B764" s="28"/>
      <c r="C764" s="4"/>
      <c r="D764" s="29">
        <f>SUM(D751:D761)</f>
        <v>0.083</v>
      </c>
      <c r="E764" s="28"/>
      <c r="F764" s="28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hidden="1" customHeight="1">
      <c r="A765" s="5"/>
      <c r="C765" s="4"/>
      <c r="D765" s="5"/>
      <c r="G765" s="5"/>
    </row>
    <row r="766" ht="15.75" hidden="1" customHeight="1">
      <c r="A766" s="1" t="s">
        <v>57</v>
      </c>
      <c r="C766" s="4"/>
      <c r="D766" s="5"/>
      <c r="G766" s="5"/>
    </row>
    <row r="767" ht="15.75" hidden="1" customHeight="1">
      <c r="A767" s="5" t="s">
        <v>11</v>
      </c>
      <c r="B767" s="14">
        <v>4612.0</v>
      </c>
      <c r="C767" s="12">
        <v>4617.0</v>
      </c>
      <c r="D767" s="5">
        <f t="shared" ref="D767:D777" si="555">(C767-B767)/1000</f>
        <v>0.005</v>
      </c>
      <c r="E767" s="5">
        <f t="shared" ref="E767:E774" si="556">29.8+9.34</f>
        <v>39.14</v>
      </c>
      <c r="F767" s="5">
        <v>55.0</v>
      </c>
      <c r="G767" s="7">
        <f t="shared" ref="G767:G777" si="557">D767*$G$2</f>
        <v>12.8966</v>
      </c>
      <c r="H767" s="7">
        <f t="shared" ref="H767:H777" si="558">D767*$H$2</f>
        <v>0.49855</v>
      </c>
      <c r="I767" s="7">
        <f t="shared" ref="I767:I777" si="559">D767*$I$2</f>
        <v>2.475</v>
      </c>
      <c r="J767" s="7">
        <f t="shared" ref="J767:J777" si="560">D767*$J$2</f>
        <v>6.222</v>
      </c>
      <c r="K767" s="7">
        <f t="shared" ref="K767:K777" si="561">D767*$K$2</f>
        <v>0.1415</v>
      </c>
      <c r="L767" s="7">
        <f t="shared" ref="L767:L777" si="562">SUM(E767:K767)</f>
        <v>116.37365</v>
      </c>
      <c r="M767" s="7">
        <f t="shared" ref="M767:M778" si="563">L767*0.21</f>
        <v>24.4384665</v>
      </c>
      <c r="N767" s="7">
        <f t="shared" ref="N767:N778" si="564">L767+M767</f>
        <v>140.8121165</v>
      </c>
    </row>
    <row r="768" ht="15.75" hidden="1" customHeight="1">
      <c r="A768" s="5" t="s">
        <v>12</v>
      </c>
      <c r="B768" s="14">
        <v>3281.0</v>
      </c>
      <c r="C768" s="12">
        <v>3287.0</v>
      </c>
      <c r="D768" s="5">
        <f t="shared" si="555"/>
        <v>0.006</v>
      </c>
      <c r="E768" s="5">
        <f t="shared" si="556"/>
        <v>39.14</v>
      </c>
      <c r="F768" s="5">
        <v>55.0</v>
      </c>
      <c r="G768" s="7">
        <f t="shared" si="557"/>
        <v>15.47592</v>
      </c>
      <c r="H768" s="7">
        <f t="shared" si="558"/>
        <v>0.59826</v>
      </c>
      <c r="I768" s="7">
        <f t="shared" si="559"/>
        <v>2.97</v>
      </c>
      <c r="J768" s="7">
        <f t="shared" si="560"/>
        <v>7.4664</v>
      </c>
      <c r="K768" s="7">
        <f t="shared" si="561"/>
        <v>0.1698</v>
      </c>
      <c r="L768" s="7">
        <f t="shared" si="562"/>
        <v>120.82038</v>
      </c>
      <c r="M768" s="7">
        <f t="shared" si="563"/>
        <v>25.3722798</v>
      </c>
      <c r="N768" s="7">
        <f t="shared" si="564"/>
        <v>146.1926598</v>
      </c>
    </row>
    <row r="769" ht="15.75" hidden="1" customHeight="1">
      <c r="A769" s="5" t="s">
        <v>13</v>
      </c>
      <c r="B769" s="14">
        <v>4324.0</v>
      </c>
      <c r="C769" s="12">
        <v>4332.0</v>
      </c>
      <c r="D769" s="5">
        <f t="shared" si="555"/>
        <v>0.008</v>
      </c>
      <c r="E769" s="5">
        <f t="shared" si="556"/>
        <v>39.14</v>
      </c>
      <c r="F769" s="5">
        <v>55.0</v>
      </c>
      <c r="G769" s="7">
        <f t="shared" si="557"/>
        <v>20.63456</v>
      </c>
      <c r="H769" s="7">
        <f t="shared" si="558"/>
        <v>0.79768</v>
      </c>
      <c r="I769" s="7">
        <f t="shared" si="559"/>
        <v>3.96</v>
      </c>
      <c r="J769" s="7">
        <f t="shared" si="560"/>
        <v>9.9552</v>
      </c>
      <c r="K769" s="7">
        <f t="shared" si="561"/>
        <v>0.2264</v>
      </c>
      <c r="L769" s="7">
        <f t="shared" si="562"/>
        <v>129.71384</v>
      </c>
      <c r="M769" s="7">
        <f t="shared" si="563"/>
        <v>27.2399064</v>
      </c>
      <c r="N769" s="7">
        <f t="shared" si="564"/>
        <v>156.9537464</v>
      </c>
    </row>
    <row r="770" ht="15.75" hidden="1" customHeight="1">
      <c r="A770" s="5" t="s">
        <v>14</v>
      </c>
      <c r="B770" s="14">
        <v>3590.0</v>
      </c>
      <c r="C770" s="12">
        <v>3597.0</v>
      </c>
      <c r="D770" s="5">
        <f t="shared" si="555"/>
        <v>0.007</v>
      </c>
      <c r="E770" s="5">
        <f t="shared" si="556"/>
        <v>39.14</v>
      </c>
      <c r="F770" s="5">
        <v>55.0</v>
      </c>
      <c r="G770" s="7">
        <f t="shared" si="557"/>
        <v>18.05524</v>
      </c>
      <c r="H770" s="7">
        <f t="shared" si="558"/>
        <v>0.69797</v>
      </c>
      <c r="I770" s="7">
        <f t="shared" si="559"/>
        <v>3.465</v>
      </c>
      <c r="J770" s="7">
        <f t="shared" si="560"/>
        <v>8.7108</v>
      </c>
      <c r="K770" s="7">
        <f t="shared" si="561"/>
        <v>0.1981</v>
      </c>
      <c r="L770" s="7">
        <f t="shared" si="562"/>
        <v>125.26711</v>
      </c>
      <c r="M770" s="7">
        <f t="shared" si="563"/>
        <v>26.3060931</v>
      </c>
      <c r="N770" s="7">
        <f t="shared" si="564"/>
        <v>151.5732031</v>
      </c>
    </row>
    <row r="771" ht="15.75" hidden="1" customHeight="1">
      <c r="A771" s="5" t="s">
        <v>15</v>
      </c>
      <c r="B771" s="14">
        <v>3767.0</v>
      </c>
      <c r="C771" s="12">
        <v>3775.0</v>
      </c>
      <c r="D771" s="5">
        <f t="shared" si="555"/>
        <v>0.008</v>
      </c>
      <c r="E771" s="5">
        <f t="shared" si="556"/>
        <v>39.14</v>
      </c>
      <c r="F771" s="5">
        <v>55.0</v>
      </c>
      <c r="G771" s="7">
        <f t="shared" si="557"/>
        <v>20.63456</v>
      </c>
      <c r="H771" s="7">
        <f t="shared" si="558"/>
        <v>0.79768</v>
      </c>
      <c r="I771" s="7">
        <f t="shared" si="559"/>
        <v>3.96</v>
      </c>
      <c r="J771" s="7">
        <f t="shared" si="560"/>
        <v>9.9552</v>
      </c>
      <c r="K771" s="7">
        <f t="shared" si="561"/>
        <v>0.2264</v>
      </c>
      <c r="L771" s="7">
        <f t="shared" si="562"/>
        <v>129.71384</v>
      </c>
      <c r="M771" s="7">
        <f t="shared" si="563"/>
        <v>27.2399064</v>
      </c>
      <c r="N771" s="7">
        <f t="shared" si="564"/>
        <v>156.9537464</v>
      </c>
    </row>
    <row r="772" ht="15.75" hidden="1" customHeight="1">
      <c r="A772" s="5" t="s">
        <v>16</v>
      </c>
      <c r="B772" s="14">
        <v>2903.0</v>
      </c>
      <c r="C772" s="12">
        <v>2912.0</v>
      </c>
      <c r="D772" s="5">
        <f t="shared" si="555"/>
        <v>0.009</v>
      </c>
      <c r="E772" s="5">
        <f t="shared" si="556"/>
        <v>39.14</v>
      </c>
      <c r="F772" s="5">
        <v>55.0</v>
      </c>
      <c r="G772" s="7">
        <f t="shared" si="557"/>
        <v>23.21388</v>
      </c>
      <c r="H772" s="7">
        <f t="shared" si="558"/>
        <v>0.89739</v>
      </c>
      <c r="I772" s="7">
        <f t="shared" si="559"/>
        <v>4.455</v>
      </c>
      <c r="J772" s="7">
        <f t="shared" si="560"/>
        <v>11.1996</v>
      </c>
      <c r="K772" s="7">
        <f t="shared" si="561"/>
        <v>0.2547</v>
      </c>
      <c r="L772" s="7">
        <f t="shared" si="562"/>
        <v>134.16057</v>
      </c>
      <c r="M772" s="7">
        <f t="shared" si="563"/>
        <v>28.1737197</v>
      </c>
      <c r="N772" s="7">
        <f t="shared" si="564"/>
        <v>162.3342897</v>
      </c>
    </row>
    <row r="773" ht="15.75" hidden="1" customHeight="1">
      <c r="A773" s="5" t="s">
        <v>17</v>
      </c>
      <c r="B773" s="14">
        <v>3555.0</v>
      </c>
      <c r="C773" s="12">
        <v>3557.0</v>
      </c>
      <c r="D773" s="5">
        <f t="shared" si="555"/>
        <v>0.002</v>
      </c>
      <c r="E773" s="5">
        <f t="shared" si="556"/>
        <v>39.14</v>
      </c>
      <c r="F773" s="5">
        <v>55.0</v>
      </c>
      <c r="G773" s="7">
        <f t="shared" si="557"/>
        <v>5.15864</v>
      </c>
      <c r="H773" s="7">
        <f t="shared" si="558"/>
        <v>0.19942</v>
      </c>
      <c r="I773" s="7">
        <f t="shared" si="559"/>
        <v>0.99</v>
      </c>
      <c r="J773" s="7">
        <f t="shared" si="560"/>
        <v>2.4888</v>
      </c>
      <c r="K773" s="7">
        <f t="shared" si="561"/>
        <v>0.0566</v>
      </c>
      <c r="L773" s="7">
        <f t="shared" si="562"/>
        <v>103.03346</v>
      </c>
      <c r="M773" s="7">
        <f t="shared" si="563"/>
        <v>21.6370266</v>
      </c>
      <c r="N773" s="7">
        <f t="shared" si="564"/>
        <v>124.6704866</v>
      </c>
    </row>
    <row r="774" ht="15.75" hidden="1" customHeight="1">
      <c r="A774" s="5" t="s">
        <v>18</v>
      </c>
      <c r="B774" s="14">
        <v>3366.0</v>
      </c>
      <c r="C774" s="12">
        <v>3371.0</v>
      </c>
      <c r="D774" s="5">
        <f t="shared" si="555"/>
        <v>0.005</v>
      </c>
      <c r="E774" s="5">
        <f t="shared" si="556"/>
        <v>39.14</v>
      </c>
      <c r="F774" s="5">
        <v>55.0</v>
      </c>
      <c r="G774" s="7">
        <f t="shared" si="557"/>
        <v>12.8966</v>
      </c>
      <c r="H774" s="7">
        <f t="shared" si="558"/>
        <v>0.49855</v>
      </c>
      <c r="I774" s="7">
        <f t="shared" si="559"/>
        <v>2.475</v>
      </c>
      <c r="J774" s="7">
        <f t="shared" si="560"/>
        <v>6.222</v>
      </c>
      <c r="K774" s="7">
        <f t="shared" si="561"/>
        <v>0.1415</v>
      </c>
      <c r="L774" s="7">
        <f t="shared" si="562"/>
        <v>116.37365</v>
      </c>
      <c r="M774" s="7">
        <f t="shared" si="563"/>
        <v>24.4384665</v>
      </c>
      <c r="N774" s="7">
        <f t="shared" si="564"/>
        <v>140.8121165</v>
      </c>
    </row>
    <row r="775" ht="15.75" hidden="1" customHeight="1">
      <c r="A775" s="5" t="s">
        <v>19</v>
      </c>
      <c r="B775" s="14">
        <v>99100.0</v>
      </c>
      <c r="C775" s="12">
        <v>99699.0</v>
      </c>
      <c r="D775" s="5">
        <f t="shared" si="555"/>
        <v>0.599</v>
      </c>
      <c r="E775" s="5">
        <v>169.69</v>
      </c>
      <c r="F775" s="5">
        <v>78.05</v>
      </c>
      <c r="G775" s="7">
        <f t="shared" si="557"/>
        <v>1545.01268</v>
      </c>
      <c r="H775" s="7">
        <f t="shared" si="558"/>
        <v>59.72629</v>
      </c>
      <c r="I775" s="7">
        <f t="shared" si="559"/>
        <v>296.505</v>
      </c>
      <c r="J775" s="7">
        <f t="shared" si="560"/>
        <v>745.3956</v>
      </c>
      <c r="K775" s="7">
        <f t="shared" si="561"/>
        <v>16.9517</v>
      </c>
      <c r="L775" s="7">
        <f t="shared" si="562"/>
        <v>2911.33127</v>
      </c>
      <c r="M775" s="7">
        <f t="shared" si="563"/>
        <v>611.3795667</v>
      </c>
      <c r="N775" s="7">
        <f t="shared" si="564"/>
        <v>3522.710837</v>
      </c>
    </row>
    <row r="776" ht="15.75" hidden="1" customHeight="1">
      <c r="A776" s="5" t="s">
        <v>30</v>
      </c>
      <c r="B776" s="14">
        <v>14469.0</v>
      </c>
      <c r="C776" s="12">
        <v>14580.0</v>
      </c>
      <c r="D776" s="5">
        <f t="shared" si="555"/>
        <v>0.111</v>
      </c>
      <c r="E776" s="5">
        <f t="shared" ref="E776:E777" si="565">29.8+9.34</f>
        <v>39.14</v>
      </c>
      <c r="F776" s="5">
        <v>55.0</v>
      </c>
      <c r="G776" s="7">
        <f t="shared" si="557"/>
        <v>286.30452</v>
      </c>
      <c r="H776" s="7">
        <f t="shared" si="558"/>
        <v>11.06781</v>
      </c>
      <c r="I776" s="7">
        <f t="shared" si="559"/>
        <v>54.945</v>
      </c>
      <c r="J776" s="7">
        <f t="shared" si="560"/>
        <v>138.1284</v>
      </c>
      <c r="K776" s="7">
        <f t="shared" si="561"/>
        <v>3.1413</v>
      </c>
      <c r="L776" s="7">
        <f t="shared" si="562"/>
        <v>587.72703</v>
      </c>
      <c r="M776" s="7">
        <f t="shared" si="563"/>
        <v>123.4226763</v>
      </c>
      <c r="N776" s="7">
        <f t="shared" si="564"/>
        <v>711.1497063</v>
      </c>
    </row>
    <row r="777" ht="15.75" hidden="1" customHeight="1">
      <c r="A777" s="5" t="s">
        <v>31</v>
      </c>
      <c r="B777" s="14">
        <v>69822.0</v>
      </c>
      <c r="C777" s="12">
        <v>70372.0</v>
      </c>
      <c r="D777" s="5">
        <f t="shared" si="555"/>
        <v>0.55</v>
      </c>
      <c r="E777" s="5">
        <f t="shared" si="565"/>
        <v>39.14</v>
      </c>
      <c r="F777" s="5">
        <v>55.0</v>
      </c>
      <c r="G777" s="7">
        <f t="shared" si="557"/>
        <v>1418.626</v>
      </c>
      <c r="H777" s="7">
        <f t="shared" si="558"/>
        <v>54.8405</v>
      </c>
      <c r="I777" s="7">
        <f t="shared" si="559"/>
        <v>272.25</v>
      </c>
      <c r="J777" s="7">
        <f t="shared" si="560"/>
        <v>684.42</v>
      </c>
      <c r="K777" s="7">
        <f t="shared" si="561"/>
        <v>15.565</v>
      </c>
      <c r="L777" s="13">
        <f t="shared" si="562"/>
        <v>2539.8415</v>
      </c>
      <c r="M777" s="7">
        <f t="shared" si="563"/>
        <v>533.366715</v>
      </c>
      <c r="N777" s="7">
        <f t="shared" si="564"/>
        <v>3073.208215</v>
      </c>
    </row>
    <row r="778" ht="15.75" hidden="1" customHeight="1">
      <c r="A778" s="5"/>
      <c r="C778" s="4"/>
      <c r="D778" s="5"/>
      <c r="G778" s="5"/>
      <c r="L778" s="18">
        <f>SUM(L767:L777)</f>
        <v>7014.3563</v>
      </c>
      <c r="M778" s="19">
        <f t="shared" si="563"/>
        <v>1473.014823</v>
      </c>
      <c r="N778" s="20">
        <f t="shared" si="564"/>
        <v>8487.371123</v>
      </c>
    </row>
    <row r="779" ht="15.75" hidden="1" customHeight="1">
      <c r="A779" s="5"/>
      <c r="C779" s="4"/>
      <c r="D779" s="5">
        <f>SUM(D767:D777)</f>
        <v>1.31</v>
      </c>
      <c r="G779" s="5"/>
    </row>
    <row r="780" ht="15.75" hidden="1" customHeight="1">
      <c r="A780" s="5"/>
      <c r="C780" s="4"/>
      <c r="D780" s="5"/>
      <c r="G780" s="5"/>
      <c r="I780" s="15" t="s">
        <v>66</v>
      </c>
      <c r="L780" s="17">
        <f>2884</f>
        <v>2884</v>
      </c>
    </row>
    <row r="781" ht="15.75" hidden="1" customHeight="1">
      <c r="A781" s="5"/>
      <c r="C781" s="4"/>
      <c r="D781" s="5"/>
      <c r="G781" s="5"/>
      <c r="I781" s="15" t="s">
        <v>67</v>
      </c>
      <c r="L781" s="16">
        <f>L778-L780</f>
        <v>4130.3563</v>
      </c>
    </row>
    <row r="782" ht="15.75" hidden="1" customHeight="1">
      <c r="A782" s="5"/>
      <c r="C782" s="4"/>
      <c r="D782" s="5"/>
      <c r="G782" s="5"/>
    </row>
    <row r="783" ht="15.75" hidden="1" customHeight="1">
      <c r="A783" s="1" t="s">
        <v>58</v>
      </c>
      <c r="C783" s="4"/>
      <c r="D783" s="5"/>
      <c r="G783" s="5"/>
    </row>
    <row r="784" ht="15.75" hidden="1" customHeight="1">
      <c r="A784" s="5" t="s">
        <v>11</v>
      </c>
      <c r="B784" s="14">
        <v>4617.0</v>
      </c>
      <c r="C784" s="12">
        <v>4664.0</v>
      </c>
      <c r="D784" s="5">
        <f t="shared" ref="D784:D794" si="566">(C784-B784)/1000</f>
        <v>0.047</v>
      </c>
      <c r="E784" s="5">
        <f t="shared" ref="E784:E791" si="567">29.8+9.34</f>
        <v>39.14</v>
      </c>
      <c r="F784" s="5">
        <v>55.0</v>
      </c>
      <c r="G784" s="7">
        <f t="shared" ref="G784:G794" si="568">D784*$G$2</f>
        <v>121.22804</v>
      </c>
      <c r="H784" s="7">
        <f t="shared" ref="H784:H794" si="569">D784*$H$2</f>
        <v>4.68637</v>
      </c>
      <c r="I784" s="7">
        <f t="shared" ref="I784:I794" si="570">D784*$I$2</f>
        <v>23.265</v>
      </c>
      <c r="J784" s="7">
        <f t="shared" ref="J784:J794" si="571">D784*$J$2</f>
        <v>58.4868</v>
      </c>
      <c r="K784" s="7">
        <f t="shared" ref="K784:K794" si="572">D784*$K$2</f>
        <v>1.3301</v>
      </c>
      <c r="L784" s="7">
        <f t="shared" ref="L784:L794" si="573">SUM(E784:K784)</f>
        <v>303.13631</v>
      </c>
      <c r="M784" s="7">
        <f t="shared" ref="M784:M795" si="574">L784*0.21</f>
        <v>63.6586251</v>
      </c>
      <c r="N784" s="7">
        <f t="shared" ref="N784:N795" si="575">L784+M784</f>
        <v>366.7949351</v>
      </c>
    </row>
    <row r="785" ht="15.75" hidden="1" customHeight="1">
      <c r="A785" s="5" t="s">
        <v>12</v>
      </c>
      <c r="B785" s="14">
        <v>3287.0</v>
      </c>
      <c r="C785" s="12">
        <v>3306.0</v>
      </c>
      <c r="D785" s="5">
        <f t="shared" si="566"/>
        <v>0.019</v>
      </c>
      <c r="E785" s="5">
        <f t="shared" si="567"/>
        <v>39.14</v>
      </c>
      <c r="F785" s="5">
        <v>55.0</v>
      </c>
      <c r="G785" s="7">
        <f t="shared" si="568"/>
        <v>49.00708</v>
      </c>
      <c r="H785" s="7">
        <f t="shared" si="569"/>
        <v>1.89449</v>
      </c>
      <c r="I785" s="7">
        <f t="shared" si="570"/>
        <v>9.405</v>
      </c>
      <c r="J785" s="7">
        <f t="shared" si="571"/>
        <v>23.6436</v>
      </c>
      <c r="K785" s="7">
        <f t="shared" si="572"/>
        <v>0.5377</v>
      </c>
      <c r="L785" s="7">
        <f t="shared" si="573"/>
        <v>178.62787</v>
      </c>
      <c r="M785" s="7">
        <f t="shared" si="574"/>
        <v>37.5118527</v>
      </c>
      <c r="N785" s="7">
        <f t="shared" si="575"/>
        <v>216.1397227</v>
      </c>
    </row>
    <row r="786" ht="15.75" hidden="1" customHeight="1">
      <c r="A786" s="5" t="s">
        <v>13</v>
      </c>
      <c r="B786" s="14">
        <v>4332.0</v>
      </c>
      <c r="C786" s="12">
        <v>4384.0</v>
      </c>
      <c r="D786" s="5">
        <f t="shared" si="566"/>
        <v>0.052</v>
      </c>
      <c r="E786" s="5">
        <f t="shared" si="567"/>
        <v>39.14</v>
      </c>
      <c r="F786" s="5">
        <v>55.0</v>
      </c>
      <c r="G786" s="7">
        <f t="shared" si="568"/>
        <v>134.12464</v>
      </c>
      <c r="H786" s="7">
        <f t="shared" si="569"/>
        <v>5.18492</v>
      </c>
      <c r="I786" s="7">
        <f t="shared" si="570"/>
        <v>25.74</v>
      </c>
      <c r="J786" s="7">
        <f t="shared" si="571"/>
        <v>64.7088</v>
      </c>
      <c r="K786" s="7">
        <f t="shared" si="572"/>
        <v>1.4716</v>
      </c>
      <c r="L786" s="7">
        <f t="shared" si="573"/>
        <v>325.36996</v>
      </c>
      <c r="M786" s="7">
        <f t="shared" si="574"/>
        <v>68.3276916</v>
      </c>
      <c r="N786" s="7">
        <f t="shared" si="575"/>
        <v>393.6976516</v>
      </c>
    </row>
    <row r="787" ht="15.75" hidden="1" customHeight="1">
      <c r="A787" s="5" t="s">
        <v>14</v>
      </c>
      <c r="B787" s="14">
        <v>3597.0</v>
      </c>
      <c r="C787" s="12">
        <v>3630.0</v>
      </c>
      <c r="D787" s="5">
        <f t="shared" si="566"/>
        <v>0.033</v>
      </c>
      <c r="E787" s="5">
        <f t="shared" si="567"/>
        <v>39.14</v>
      </c>
      <c r="F787" s="5">
        <v>55.0</v>
      </c>
      <c r="G787" s="7">
        <f t="shared" si="568"/>
        <v>85.11756</v>
      </c>
      <c r="H787" s="7">
        <f t="shared" si="569"/>
        <v>3.29043</v>
      </c>
      <c r="I787" s="7">
        <f t="shared" si="570"/>
        <v>16.335</v>
      </c>
      <c r="J787" s="7">
        <f t="shared" si="571"/>
        <v>41.0652</v>
      </c>
      <c r="K787" s="7">
        <f t="shared" si="572"/>
        <v>0.9339</v>
      </c>
      <c r="L787" s="7">
        <f t="shared" si="573"/>
        <v>240.88209</v>
      </c>
      <c r="M787" s="7">
        <f t="shared" si="574"/>
        <v>50.5852389</v>
      </c>
      <c r="N787" s="7">
        <f t="shared" si="575"/>
        <v>291.4673289</v>
      </c>
    </row>
    <row r="788" ht="15.75" hidden="1" customHeight="1">
      <c r="A788" s="5" t="s">
        <v>15</v>
      </c>
      <c r="B788" s="14">
        <v>3775.0</v>
      </c>
      <c r="C788" s="12">
        <v>3798.0</v>
      </c>
      <c r="D788" s="5">
        <f t="shared" si="566"/>
        <v>0.023</v>
      </c>
      <c r="E788" s="5">
        <f t="shared" si="567"/>
        <v>39.14</v>
      </c>
      <c r="F788" s="5">
        <v>55.0</v>
      </c>
      <c r="G788" s="7">
        <f t="shared" si="568"/>
        <v>59.32436</v>
      </c>
      <c r="H788" s="7">
        <f t="shared" si="569"/>
        <v>2.29333</v>
      </c>
      <c r="I788" s="7">
        <f t="shared" si="570"/>
        <v>11.385</v>
      </c>
      <c r="J788" s="7">
        <f t="shared" si="571"/>
        <v>28.6212</v>
      </c>
      <c r="K788" s="7">
        <f t="shared" si="572"/>
        <v>0.6509</v>
      </c>
      <c r="L788" s="7">
        <f t="shared" si="573"/>
        <v>196.41479</v>
      </c>
      <c r="M788" s="7">
        <f t="shared" si="574"/>
        <v>41.2471059</v>
      </c>
      <c r="N788" s="7">
        <f t="shared" si="575"/>
        <v>237.6618959</v>
      </c>
    </row>
    <row r="789" ht="15.75" hidden="1" customHeight="1">
      <c r="A789" s="5" t="s">
        <v>16</v>
      </c>
      <c r="B789" s="14">
        <v>2912.0</v>
      </c>
      <c r="C789" s="12">
        <v>2933.0</v>
      </c>
      <c r="D789" s="5">
        <f t="shared" si="566"/>
        <v>0.021</v>
      </c>
      <c r="E789" s="5">
        <f t="shared" si="567"/>
        <v>39.14</v>
      </c>
      <c r="F789" s="5">
        <v>55.0</v>
      </c>
      <c r="G789" s="7">
        <f t="shared" si="568"/>
        <v>54.16572</v>
      </c>
      <c r="H789" s="7">
        <f t="shared" si="569"/>
        <v>2.09391</v>
      </c>
      <c r="I789" s="7">
        <f t="shared" si="570"/>
        <v>10.395</v>
      </c>
      <c r="J789" s="7">
        <f t="shared" si="571"/>
        <v>26.1324</v>
      </c>
      <c r="K789" s="7">
        <f t="shared" si="572"/>
        <v>0.5943</v>
      </c>
      <c r="L789" s="7">
        <f t="shared" si="573"/>
        <v>187.52133</v>
      </c>
      <c r="M789" s="7">
        <f t="shared" si="574"/>
        <v>39.3794793</v>
      </c>
      <c r="N789" s="7">
        <f t="shared" si="575"/>
        <v>226.9008093</v>
      </c>
    </row>
    <row r="790" ht="15.75" hidden="1" customHeight="1">
      <c r="A790" s="5" t="s">
        <v>17</v>
      </c>
      <c r="B790" s="14">
        <v>3557.0</v>
      </c>
      <c r="C790" s="12">
        <v>3585.0</v>
      </c>
      <c r="D790" s="5">
        <f t="shared" si="566"/>
        <v>0.028</v>
      </c>
      <c r="E790" s="5">
        <f t="shared" si="567"/>
        <v>39.14</v>
      </c>
      <c r="F790" s="5">
        <v>55.0</v>
      </c>
      <c r="G790" s="7">
        <f t="shared" si="568"/>
        <v>72.22096</v>
      </c>
      <c r="H790" s="7">
        <f t="shared" si="569"/>
        <v>2.79188</v>
      </c>
      <c r="I790" s="7">
        <f t="shared" si="570"/>
        <v>13.86</v>
      </c>
      <c r="J790" s="7">
        <f t="shared" si="571"/>
        <v>34.8432</v>
      </c>
      <c r="K790" s="7">
        <f t="shared" si="572"/>
        <v>0.7924</v>
      </c>
      <c r="L790" s="7">
        <f t="shared" si="573"/>
        <v>218.64844</v>
      </c>
      <c r="M790" s="7">
        <f t="shared" si="574"/>
        <v>45.9161724</v>
      </c>
      <c r="N790" s="7">
        <f t="shared" si="575"/>
        <v>264.5646124</v>
      </c>
    </row>
    <row r="791" ht="15.75" hidden="1" customHeight="1">
      <c r="A791" s="5" t="s">
        <v>18</v>
      </c>
      <c r="B791" s="14">
        <v>3371.0</v>
      </c>
      <c r="C791" s="12">
        <v>3406.0</v>
      </c>
      <c r="D791" s="5">
        <f t="shared" si="566"/>
        <v>0.035</v>
      </c>
      <c r="E791" s="5">
        <f t="shared" si="567"/>
        <v>39.14</v>
      </c>
      <c r="F791" s="5">
        <v>55.0</v>
      </c>
      <c r="G791" s="7">
        <f t="shared" si="568"/>
        <v>90.2762</v>
      </c>
      <c r="H791" s="7">
        <f t="shared" si="569"/>
        <v>3.48985</v>
      </c>
      <c r="I791" s="7">
        <f t="shared" si="570"/>
        <v>17.325</v>
      </c>
      <c r="J791" s="7">
        <f t="shared" si="571"/>
        <v>43.554</v>
      </c>
      <c r="K791" s="7">
        <f t="shared" si="572"/>
        <v>0.9905</v>
      </c>
      <c r="L791" s="7">
        <f t="shared" si="573"/>
        <v>249.77555</v>
      </c>
      <c r="M791" s="7">
        <f t="shared" si="574"/>
        <v>52.4528655</v>
      </c>
      <c r="N791" s="7">
        <f t="shared" si="575"/>
        <v>302.2284155</v>
      </c>
    </row>
    <row r="792" ht="15.75" hidden="1" customHeight="1">
      <c r="A792" s="37" t="s">
        <v>19</v>
      </c>
      <c r="B792" s="38">
        <v>99699.0</v>
      </c>
      <c r="C792" s="12">
        <v>100592.0</v>
      </c>
      <c r="D792" s="5">
        <f t="shared" si="566"/>
        <v>0.893</v>
      </c>
      <c r="E792" s="5">
        <v>169.69</v>
      </c>
      <c r="F792" s="5">
        <v>78.05</v>
      </c>
      <c r="G792" s="7">
        <f t="shared" si="568"/>
        <v>2303.33276</v>
      </c>
      <c r="H792" s="7">
        <f t="shared" si="569"/>
        <v>89.04103</v>
      </c>
      <c r="I792" s="7">
        <f t="shared" si="570"/>
        <v>442.035</v>
      </c>
      <c r="J792" s="7">
        <f t="shared" si="571"/>
        <v>1111.2492</v>
      </c>
      <c r="K792" s="7">
        <f t="shared" si="572"/>
        <v>25.2719</v>
      </c>
      <c r="L792" s="7">
        <f t="shared" si="573"/>
        <v>4218.66989</v>
      </c>
      <c r="M792" s="7">
        <f t="shared" si="574"/>
        <v>885.9206769</v>
      </c>
      <c r="N792" s="7">
        <f t="shared" si="575"/>
        <v>5104.590567</v>
      </c>
    </row>
    <row r="793" ht="15.75" hidden="1" customHeight="1">
      <c r="A793" s="5" t="s">
        <v>30</v>
      </c>
      <c r="B793" s="14">
        <v>14580.0</v>
      </c>
      <c r="C793" s="12">
        <v>14686.0</v>
      </c>
      <c r="D793" s="5">
        <f t="shared" si="566"/>
        <v>0.106</v>
      </c>
      <c r="E793" s="5">
        <f t="shared" ref="E793:E794" si="576">29.8+9.34</f>
        <v>39.14</v>
      </c>
      <c r="F793" s="5">
        <v>55.0</v>
      </c>
      <c r="G793" s="7">
        <f t="shared" si="568"/>
        <v>273.40792</v>
      </c>
      <c r="H793" s="7">
        <f t="shared" si="569"/>
        <v>10.56926</v>
      </c>
      <c r="I793" s="7">
        <f t="shared" si="570"/>
        <v>52.47</v>
      </c>
      <c r="J793" s="7">
        <f t="shared" si="571"/>
        <v>131.9064</v>
      </c>
      <c r="K793" s="7">
        <f t="shared" si="572"/>
        <v>2.9998</v>
      </c>
      <c r="L793" s="7">
        <f t="shared" si="573"/>
        <v>565.49338</v>
      </c>
      <c r="M793" s="7">
        <f t="shared" si="574"/>
        <v>118.7536098</v>
      </c>
      <c r="N793" s="7">
        <f t="shared" si="575"/>
        <v>684.2469898</v>
      </c>
    </row>
    <row r="794" ht="15.75" hidden="1" customHeight="1">
      <c r="A794" s="5" t="s">
        <v>31</v>
      </c>
      <c r="B794" s="14">
        <v>70372.0</v>
      </c>
      <c r="C794" s="12">
        <v>70914.0</v>
      </c>
      <c r="D794" s="5">
        <f t="shared" si="566"/>
        <v>0.542</v>
      </c>
      <c r="E794" s="5">
        <f t="shared" si="576"/>
        <v>39.14</v>
      </c>
      <c r="F794" s="5">
        <v>55.0</v>
      </c>
      <c r="G794" s="7">
        <f t="shared" si="568"/>
        <v>1397.99144</v>
      </c>
      <c r="H794" s="7">
        <f t="shared" si="569"/>
        <v>54.04282</v>
      </c>
      <c r="I794" s="7">
        <f t="shared" si="570"/>
        <v>268.29</v>
      </c>
      <c r="J794" s="7">
        <f t="shared" si="571"/>
        <v>674.4648</v>
      </c>
      <c r="K794" s="7">
        <f t="shared" si="572"/>
        <v>15.3386</v>
      </c>
      <c r="L794" s="13">
        <f t="shared" si="573"/>
        <v>2504.26766</v>
      </c>
      <c r="M794" s="7">
        <f t="shared" si="574"/>
        <v>525.8962086</v>
      </c>
      <c r="N794" s="7">
        <f t="shared" si="575"/>
        <v>3030.163869</v>
      </c>
    </row>
    <row r="795" ht="15.75" hidden="1" customHeight="1">
      <c r="A795" s="5"/>
      <c r="C795" s="4"/>
      <c r="D795" s="5"/>
      <c r="G795" s="5"/>
      <c r="L795" s="18">
        <f>SUM(L784:L794)</f>
        <v>9188.80727</v>
      </c>
      <c r="M795" s="19">
        <f t="shared" si="574"/>
        <v>1929.649527</v>
      </c>
      <c r="N795" s="20">
        <f t="shared" si="575"/>
        <v>11118.4568</v>
      </c>
    </row>
    <row r="796" ht="15.75" hidden="1" customHeight="1">
      <c r="A796" s="5"/>
      <c r="C796" s="4"/>
      <c r="D796" s="5">
        <f>SUM(D784:D794)</f>
        <v>1.799</v>
      </c>
      <c r="G796" s="5"/>
    </row>
    <row r="797" ht="15.75" hidden="1" customHeight="1">
      <c r="A797" s="5"/>
      <c r="C797" s="4"/>
      <c r="D797" s="5"/>
      <c r="G797" s="5"/>
      <c r="I797" s="15" t="s">
        <v>66</v>
      </c>
      <c r="L797" s="17">
        <f>2884</f>
        <v>2884</v>
      </c>
    </row>
    <row r="798" ht="15.75" hidden="1" customHeight="1">
      <c r="A798" s="5" t="s">
        <v>68</v>
      </c>
      <c r="B798" s="15">
        <v>98886.0</v>
      </c>
      <c r="C798" s="4">
        <v>100573.0</v>
      </c>
      <c r="D798" s="5">
        <f>(C798-B798)/1000</f>
        <v>1.687</v>
      </c>
      <c r="G798" s="5"/>
      <c r="I798" s="15" t="s">
        <v>67</v>
      </c>
      <c r="L798" s="16">
        <f>L795-L797</f>
        <v>6304.80727</v>
      </c>
    </row>
    <row r="799" ht="15.75" hidden="1" customHeight="1">
      <c r="A799" s="5"/>
      <c r="C799" s="4"/>
      <c r="D799" s="5"/>
      <c r="G799" s="5"/>
    </row>
    <row r="800" ht="15.75" hidden="1" customHeight="1">
      <c r="A800" s="5"/>
      <c r="C800" s="4"/>
      <c r="D800" s="5"/>
      <c r="G800" s="5"/>
    </row>
    <row r="801" ht="15.75" hidden="1" customHeight="1">
      <c r="A801" s="1" t="s">
        <v>69</v>
      </c>
      <c r="C801" s="4"/>
      <c r="D801" s="5"/>
      <c r="G801" s="5"/>
    </row>
    <row r="802" ht="15.75" hidden="1" customHeight="1">
      <c r="A802" s="5" t="s">
        <v>11</v>
      </c>
      <c r="B802" s="39">
        <v>4664.0</v>
      </c>
      <c r="C802" s="12">
        <v>4721.0</v>
      </c>
      <c r="D802" s="5">
        <f t="shared" ref="D802:D812" si="577">(C802-B802)/1000</f>
        <v>0.057</v>
      </c>
      <c r="E802" s="5">
        <f t="shared" ref="E802:E809" si="578">29.8+9.34</f>
        <v>39.14</v>
      </c>
      <c r="F802" s="5">
        <v>55.0</v>
      </c>
      <c r="G802" s="7">
        <f t="shared" ref="G802:G812" si="579">D802*$G$2</f>
        <v>147.02124</v>
      </c>
      <c r="H802" s="7">
        <f t="shared" ref="H802:H812" si="580">D802*$H$2</f>
        <v>5.68347</v>
      </c>
      <c r="I802" s="7">
        <f t="shared" ref="I802:I812" si="581">D802*$I$2</f>
        <v>28.215</v>
      </c>
      <c r="J802" s="7">
        <f t="shared" ref="J802:J812" si="582">D802*$J$2</f>
        <v>70.9308</v>
      </c>
      <c r="K802" s="7">
        <f t="shared" ref="K802:K812" si="583">D802*$K$2</f>
        <v>1.6131</v>
      </c>
      <c r="L802" s="7">
        <f t="shared" ref="L802:L812" si="584">SUM(E802:K802)</f>
        <v>347.60361</v>
      </c>
      <c r="M802" s="7">
        <f t="shared" ref="M802:M813" si="585">L802*0.21</f>
        <v>72.9967581</v>
      </c>
      <c r="N802" s="7">
        <f t="shared" ref="N802:N813" si="586">L802+M802</f>
        <v>420.6003681</v>
      </c>
    </row>
    <row r="803" ht="15.75" hidden="1" customHeight="1">
      <c r="A803" s="5" t="s">
        <v>12</v>
      </c>
      <c r="B803" s="39">
        <v>3306.0</v>
      </c>
      <c r="C803" s="12">
        <v>3345.0</v>
      </c>
      <c r="D803" s="5">
        <f t="shared" si="577"/>
        <v>0.039</v>
      </c>
      <c r="E803" s="5">
        <f t="shared" si="578"/>
        <v>39.14</v>
      </c>
      <c r="F803" s="5">
        <v>55.0</v>
      </c>
      <c r="G803" s="7">
        <f t="shared" si="579"/>
        <v>100.59348</v>
      </c>
      <c r="H803" s="7">
        <f t="shared" si="580"/>
        <v>3.88869</v>
      </c>
      <c r="I803" s="7">
        <f t="shared" si="581"/>
        <v>19.305</v>
      </c>
      <c r="J803" s="7">
        <f t="shared" si="582"/>
        <v>48.5316</v>
      </c>
      <c r="K803" s="7">
        <f t="shared" si="583"/>
        <v>1.1037</v>
      </c>
      <c r="L803" s="7">
        <f t="shared" si="584"/>
        <v>267.56247</v>
      </c>
      <c r="M803" s="7">
        <f t="shared" si="585"/>
        <v>56.1881187</v>
      </c>
      <c r="N803" s="7">
        <f t="shared" si="586"/>
        <v>323.7505887</v>
      </c>
    </row>
    <row r="804" ht="15.75" hidden="1" customHeight="1">
      <c r="A804" s="5" t="s">
        <v>13</v>
      </c>
      <c r="B804" s="39">
        <v>4384.0</v>
      </c>
      <c r="C804" s="12">
        <v>4468.0</v>
      </c>
      <c r="D804" s="5">
        <f t="shared" si="577"/>
        <v>0.084</v>
      </c>
      <c r="E804" s="5">
        <f t="shared" si="578"/>
        <v>39.14</v>
      </c>
      <c r="F804" s="5">
        <v>55.0</v>
      </c>
      <c r="G804" s="7">
        <f t="shared" si="579"/>
        <v>216.66288</v>
      </c>
      <c r="H804" s="7">
        <f t="shared" si="580"/>
        <v>8.37564</v>
      </c>
      <c r="I804" s="7">
        <f t="shared" si="581"/>
        <v>41.58</v>
      </c>
      <c r="J804" s="7">
        <f t="shared" si="582"/>
        <v>104.5296</v>
      </c>
      <c r="K804" s="7">
        <f t="shared" si="583"/>
        <v>2.3772</v>
      </c>
      <c r="L804" s="7">
        <f t="shared" si="584"/>
        <v>467.66532</v>
      </c>
      <c r="M804" s="7">
        <f t="shared" si="585"/>
        <v>98.2097172</v>
      </c>
      <c r="N804" s="7">
        <f t="shared" si="586"/>
        <v>565.8750372</v>
      </c>
    </row>
    <row r="805" ht="15.75" hidden="1" customHeight="1">
      <c r="A805" s="5" t="s">
        <v>14</v>
      </c>
      <c r="B805" s="39">
        <v>3630.0</v>
      </c>
      <c r="C805" s="12">
        <v>3672.0</v>
      </c>
      <c r="D805" s="5">
        <f t="shared" si="577"/>
        <v>0.042</v>
      </c>
      <c r="E805" s="5">
        <f t="shared" si="578"/>
        <v>39.14</v>
      </c>
      <c r="F805" s="5">
        <v>55.0</v>
      </c>
      <c r="G805" s="7">
        <f t="shared" si="579"/>
        <v>108.33144</v>
      </c>
      <c r="H805" s="7">
        <f t="shared" si="580"/>
        <v>4.18782</v>
      </c>
      <c r="I805" s="7">
        <f t="shared" si="581"/>
        <v>20.79</v>
      </c>
      <c r="J805" s="7">
        <f t="shared" si="582"/>
        <v>52.2648</v>
      </c>
      <c r="K805" s="7">
        <f t="shared" si="583"/>
        <v>1.1886</v>
      </c>
      <c r="L805" s="7">
        <f t="shared" si="584"/>
        <v>280.90266</v>
      </c>
      <c r="M805" s="7">
        <f t="shared" si="585"/>
        <v>58.9895586</v>
      </c>
      <c r="N805" s="7">
        <f t="shared" si="586"/>
        <v>339.8922186</v>
      </c>
    </row>
    <row r="806" ht="15.75" hidden="1" customHeight="1">
      <c r="A806" s="5" t="s">
        <v>15</v>
      </c>
      <c r="B806" s="39">
        <v>3798.0</v>
      </c>
      <c r="C806" s="12">
        <v>3850.0</v>
      </c>
      <c r="D806" s="5">
        <f t="shared" si="577"/>
        <v>0.052</v>
      </c>
      <c r="E806" s="5">
        <f t="shared" si="578"/>
        <v>39.14</v>
      </c>
      <c r="F806" s="5">
        <v>55.0</v>
      </c>
      <c r="G806" s="7">
        <f t="shared" si="579"/>
        <v>134.12464</v>
      </c>
      <c r="H806" s="7">
        <f t="shared" si="580"/>
        <v>5.18492</v>
      </c>
      <c r="I806" s="7">
        <f t="shared" si="581"/>
        <v>25.74</v>
      </c>
      <c r="J806" s="7">
        <f t="shared" si="582"/>
        <v>64.7088</v>
      </c>
      <c r="K806" s="7">
        <f t="shared" si="583"/>
        <v>1.4716</v>
      </c>
      <c r="L806" s="7">
        <f t="shared" si="584"/>
        <v>325.36996</v>
      </c>
      <c r="M806" s="7">
        <f t="shared" si="585"/>
        <v>68.3276916</v>
      </c>
      <c r="N806" s="7">
        <f t="shared" si="586"/>
        <v>393.6976516</v>
      </c>
    </row>
    <row r="807" ht="15.75" hidden="1" customHeight="1">
      <c r="A807" s="5" t="s">
        <v>16</v>
      </c>
      <c r="B807" s="39">
        <v>2933.0</v>
      </c>
      <c r="C807" s="12">
        <v>2986.0</v>
      </c>
      <c r="D807" s="5">
        <f t="shared" si="577"/>
        <v>0.053</v>
      </c>
      <c r="E807" s="5">
        <f t="shared" si="578"/>
        <v>39.14</v>
      </c>
      <c r="F807" s="5">
        <v>55.0</v>
      </c>
      <c r="G807" s="7">
        <f t="shared" si="579"/>
        <v>136.70396</v>
      </c>
      <c r="H807" s="7">
        <f t="shared" si="580"/>
        <v>5.28463</v>
      </c>
      <c r="I807" s="7">
        <f t="shared" si="581"/>
        <v>26.235</v>
      </c>
      <c r="J807" s="7">
        <f t="shared" si="582"/>
        <v>65.9532</v>
      </c>
      <c r="K807" s="7">
        <f t="shared" si="583"/>
        <v>1.4999</v>
      </c>
      <c r="L807" s="7">
        <f t="shared" si="584"/>
        <v>329.81669</v>
      </c>
      <c r="M807" s="7">
        <f t="shared" si="585"/>
        <v>69.2615049</v>
      </c>
      <c r="N807" s="7">
        <f t="shared" si="586"/>
        <v>399.0781949</v>
      </c>
    </row>
    <row r="808" ht="15.75" hidden="1" customHeight="1">
      <c r="A808" s="5" t="s">
        <v>17</v>
      </c>
      <c r="B808" s="39">
        <v>3585.0</v>
      </c>
      <c r="C808" s="12">
        <v>3660.0</v>
      </c>
      <c r="D808" s="5">
        <f t="shared" si="577"/>
        <v>0.075</v>
      </c>
      <c r="E808" s="5">
        <f t="shared" si="578"/>
        <v>39.14</v>
      </c>
      <c r="F808" s="5">
        <v>55.0</v>
      </c>
      <c r="G808" s="7">
        <f t="shared" si="579"/>
        <v>193.449</v>
      </c>
      <c r="H808" s="7">
        <f t="shared" si="580"/>
        <v>7.47825</v>
      </c>
      <c r="I808" s="7">
        <f t="shared" si="581"/>
        <v>37.125</v>
      </c>
      <c r="J808" s="7">
        <f t="shared" si="582"/>
        <v>93.33</v>
      </c>
      <c r="K808" s="7">
        <f t="shared" si="583"/>
        <v>2.1225</v>
      </c>
      <c r="L808" s="7">
        <f t="shared" si="584"/>
        <v>427.64475</v>
      </c>
      <c r="M808" s="7">
        <f t="shared" si="585"/>
        <v>89.8053975</v>
      </c>
      <c r="N808" s="7">
        <f t="shared" si="586"/>
        <v>517.4501475</v>
      </c>
    </row>
    <row r="809" ht="15.75" hidden="1" customHeight="1">
      <c r="A809" s="5" t="s">
        <v>18</v>
      </c>
      <c r="B809" s="39">
        <v>3406.0</v>
      </c>
      <c r="C809" s="12">
        <v>3463.0</v>
      </c>
      <c r="D809" s="5">
        <f t="shared" si="577"/>
        <v>0.057</v>
      </c>
      <c r="E809" s="5">
        <f t="shared" si="578"/>
        <v>39.14</v>
      </c>
      <c r="F809" s="5">
        <v>55.0</v>
      </c>
      <c r="G809" s="7">
        <f t="shared" si="579"/>
        <v>147.02124</v>
      </c>
      <c r="H809" s="7">
        <f t="shared" si="580"/>
        <v>5.68347</v>
      </c>
      <c r="I809" s="7">
        <f t="shared" si="581"/>
        <v>28.215</v>
      </c>
      <c r="J809" s="7">
        <f t="shared" si="582"/>
        <v>70.9308</v>
      </c>
      <c r="K809" s="7">
        <f t="shared" si="583"/>
        <v>1.6131</v>
      </c>
      <c r="L809" s="7">
        <f t="shared" si="584"/>
        <v>347.60361</v>
      </c>
      <c r="M809" s="7">
        <f t="shared" si="585"/>
        <v>72.9967581</v>
      </c>
      <c r="N809" s="7">
        <f t="shared" si="586"/>
        <v>420.6003681</v>
      </c>
    </row>
    <row r="810" ht="15.75" hidden="1" customHeight="1">
      <c r="A810" s="40" t="s">
        <v>19</v>
      </c>
      <c r="B810" s="39">
        <v>100592.0</v>
      </c>
      <c r="C810" s="12">
        <v>101918.0</v>
      </c>
      <c r="D810" s="5">
        <f t="shared" si="577"/>
        <v>1.326</v>
      </c>
      <c r="E810" s="5">
        <v>169.69</v>
      </c>
      <c r="F810" s="5">
        <v>78.05</v>
      </c>
      <c r="G810" s="7">
        <f t="shared" si="579"/>
        <v>3420.17832</v>
      </c>
      <c r="H810" s="7">
        <f t="shared" si="580"/>
        <v>132.21546</v>
      </c>
      <c r="I810" s="7">
        <f t="shared" si="581"/>
        <v>656.37</v>
      </c>
      <c r="J810" s="7">
        <f t="shared" si="582"/>
        <v>1650.0744</v>
      </c>
      <c r="K810" s="7">
        <f t="shared" si="583"/>
        <v>37.5258</v>
      </c>
      <c r="L810" s="7">
        <f t="shared" si="584"/>
        <v>6144.10398</v>
      </c>
      <c r="M810" s="7">
        <f t="shared" si="585"/>
        <v>1290.261836</v>
      </c>
      <c r="N810" s="7">
        <f t="shared" si="586"/>
        <v>7434.365816</v>
      </c>
    </row>
    <row r="811" ht="15.75" hidden="1" customHeight="1">
      <c r="A811" s="5" t="s">
        <v>30</v>
      </c>
      <c r="B811" s="39">
        <v>14686.0</v>
      </c>
      <c r="C811" s="12">
        <v>14858.0</v>
      </c>
      <c r="D811" s="5">
        <f t="shared" si="577"/>
        <v>0.172</v>
      </c>
      <c r="E811" s="5">
        <f t="shared" ref="E811:E812" si="587">29.8+9.34</f>
        <v>39.14</v>
      </c>
      <c r="F811" s="5">
        <v>55.0</v>
      </c>
      <c r="G811" s="7">
        <f t="shared" si="579"/>
        <v>443.64304</v>
      </c>
      <c r="H811" s="7">
        <f t="shared" si="580"/>
        <v>17.15012</v>
      </c>
      <c r="I811" s="7">
        <f t="shared" si="581"/>
        <v>85.14</v>
      </c>
      <c r="J811" s="7">
        <f t="shared" si="582"/>
        <v>214.0368</v>
      </c>
      <c r="K811" s="7">
        <f t="shared" si="583"/>
        <v>4.8676</v>
      </c>
      <c r="L811" s="7">
        <f t="shared" si="584"/>
        <v>858.97756</v>
      </c>
      <c r="M811" s="7">
        <f t="shared" si="585"/>
        <v>180.3852876</v>
      </c>
      <c r="N811" s="7">
        <f t="shared" si="586"/>
        <v>1039.362848</v>
      </c>
    </row>
    <row r="812" ht="15.75" hidden="1" customHeight="1">
      <c r="A812" s="5" t="s">
        <v>31</v>
      </c>
      <c r="B812" s="39">
        <v>70914.0</v>
      </c>
      <c r="C812" s="12">
        <v>71802.0</v>
      </c>
      <c r="D812" s="5">
        <f t="shared" si="577"/>
        <v>0.888</v>
      </c>
      <c r="E812" s="5">
        <f t="shared" si="587"/>
        <v>39.14</v>
      </c>
      <c r="F812" s="5">
        <v>55.0</v>
      </c>
      <c r="G812" s="7">
        <f t="shared" si="579"/>
        <v>2290.43616</v>
      </c>
      <c r="H812" s="7">
        <f t="shared" si="580"/>
        <v>88.54248</v>
      </c>
      <c r="I812" s="7">
        <f t="shared" si="581"/>
        <v>439.56</v>
      </c>
      <c r="J812" s="7">
        <f t="shared" si="582"/>
        <v>1105.0272</v>
      </c>
      <c r="K812" s="7">
        <f t="shared" si="583"/>
        <v>25.1304</v>
      </c>
      <c r="L812" s="13">
        <f t="shared" si="584"/>
        <v>4042.83624</v>
      </c>
      <c r="M812" s="7">
        <f t="shared" si="585"/>
        <v>848.9956104</v>
      </c>
      <c r="N812" s="7">
        <f t="shared" si="586"/>
        <v>4891.83185</v>
      </c>
    </row>
    <row r="813" ht="15.75" hidden="1" customHeight="1">
      <c r="A813" s="5"/>
      <c r="C813" s="4"/>
      <c r="D813" s="5"/>
      <c r="G813" s="5"/>
      <c r="L813" s="18">
        <f>SUM(L802:L812)</f>
        <v>13840.08685</v>
      </c>
      <c r="M813" s="19">
        <f t="shared" si="585"/>
        <v>2906.418239</v>
      </c>
      <c r="N813" s="20">
        <f t="shared" si="586"/>
        <v>16746.50509</v>
      </c>
    </row>
    <row r="814" ht="15.75" hidden="1" customHeight="1">
      <c r="A814" s="5"/>
      <c r="C814" s="4"/>
      <c r="D814" s="5">
        <f>SUM(D802:D812)</f>
        <v>2.845</v>
      </c>
      <c r="G814" s="5"/>
    </row>
    <row r="815" ht="15.75" hidden="1" customHeight="1">
      <c r="A815" s="5"/>
      <c r="C815" s="4"/>
      <c r="D815" s="5"/>
      <c r="G815" s="5"/>
      <c r="I815" s="15" t="s">
        <v>66</v>
      </c>
      <c r="L815" s="17">
        <f>2884</f>
        <v>2884</v>
      </c>
    </row>
    <row r="816" ht="15.75" hidden="1" customHeight="1">
      <c r="A816" s="5" t="s">
        <v>68</v>
      </c>
      <c r="B816" s="15">
        <v>98886.0</v>
      </c>
      <c r="C816" s="4">
        <v>100573.0</v>
      </c>
      <c r="D816" s="5">
        <f>(C816-B816)/1000</f>
        <v>1.687</v>
      </c>
      <c r="G816" s="5"/>
      <c r="I816" s="15" t="s">
        <v>67</v>
      </c>
      <c r="L816" s="16">
        <f>L813-L815</f>
        <v>10956.08685</v>
      </c>
    </row>
    <row r="817" ht="15.75" hidden="1" customHeight="1">
      <c r="A817" s="5"/>
      <c r="C817" s="4"/>
      <c r="D817" s="5"/>
      <c r="G817" s="5"/>
    </row>
    <row r="818" ht="15.75" hidden="1" customHeight="1">
      <c r="A818" s="5"/>
      <c r="C818" s="4"/>
      <c r="D818" s="5"/>
      <c r="G818" s="5"/>
    </row>
    <row r="819" ht="15.75" hidden="1" customHeight="1">
      <c r="A819" s="1" t="s">
        <v>21</v>
      </c>
      <c r="C819" s="4"/>
      <c r="D819" s="5"/>
      <c r="G819" s="5"/>
    </row>
    <row r="820" ht="15.75" hidden="1" customHeight="1">
      <c r="A820" s="5" t="s">
        <v>11</v>
      </c>
      <c r="B820" s="39">
        <v>4721.0</v>
      </c>
      <c r="C820" s="12">
        <v>4792.0</v>
      </c>
      <c r="D820" s="5">
        <f t="shared" ref="D820:D830" si="588">(C820-B820)/1000</f>
        <v>0.071</v>
      </c>
      <c r="E820" s="5">
        <f t="shared" ref="E820:E827" si="589">29.8+9.34</f>
        <v>39.14</v>
      </c>
      <c r="F820" s="5">
        <v>55.0</v>
      </c>
      <c r="G820" s="7">
        <f t="shared" ref="G820:G830" si="590">D820*$G$2</f>
        <v>183.13172</v>
      </c>
      <c r="H820" s="7">
        <f t="shared" ref="H820:H830" si="591">D820*$H$2</f>
        <v>7.07941</v>
      </c>
      <c r="I820" s="7">
        <f t="shared" ref="I820:I830" si="592">D820*$I$2</f>
        <v>35.145</v>
      </c>
      <c r="J820" s="7">
        <f t="shared" ref="J820:J830" si="593">D820*$J$2</f>
        <v>88.3524</v>
      </c>
      <c r="K820" s="7">
        <f t="shared" ref="K820:K830" si="594">D820*$K$2</f>
        <v>2.0093</v>
      </c>
      <c r="L820" s="7">
        <f t="shared" ref="L820:L830" si="595">SUM(E820:K820)</f>
        <v>409.85783</v>
      </c>
      <c r="M820" s="7">
        <f t="shared" ref="M820:M831" si="596">L820*0.21</f>
        <v>86.0701443</v>
      </c>
      <c r="N820" s="7">
        <f t="shared" ref="N820:N831" si="597">L820+M820</f>
        <v>495.9279743</v>
      </c>
    </row>
    <row r="821" ht="15.75" hidden="1" customHeight="1">
      <c r="A821" s="5" t="s">
        <v>12</v>
      </c>
      <c r="B821" s="39">
        <v>3345.0</v>
      </c>
      <c r="C821" s="12">
        <v>3394.0</v>
      </c>
      <c r="D821" s="5">
        <f t="shared" si="588"/>
        <v>0.049</v>
      </c>
      <c r="E821" s="5">
        <f t="shared" si="589"/>
        <v>39.14</v>
      </c>
      <c r="F821" s="5">
        <v>55.0</v>
      </c>
      <c r="G821" s="7">
        <f t="shared" si="590"/>
        <v>126.38668</v>
      </c>
      <c r="H821" s="7">
        <f t="shared" si="591"/>
        <v>4.88579</v>
      </c>
      <c r="I821" s="7">
        <f t="shared" si="592"/>
        <v>24.255</v>
      </c>
      <c r="J821" s="7">
        <f t="shared" si="593"/>
        <v>60.9756</v>
      </c>
      <c r="K821" s="7">
        <f t="shared" si="594"/>
        <v>1.3867</v>
      </c>
      <c r="L821" s="7">
        <f t="shared" si="595"/>
        <v>312.02977</v>
      </c>
      <c r="M821" s="7">
        <f t="shared" si="596"/>
        <v>65.5262517</v>
      </c>
      <c r="N821" s="7">
        <f t="shared" si="597"/>
        <v>377.5560217</v>
      </c>
    </row>
    <row r="822" ht="15.75" hidden="1" customHeight="1">
      <c r="A822" s="5" t="s">
        <v>13</v>
      </c>
      <c r="B822" s="39">
        <v>4468.0</v>
      </c>
      <c r="C822" s="12">
        <v>4542.0</v>
      </c>
      <c r="D822" s="5">
        <f t="shared" si="588"/>
        <v>0.074</v>
      </c>
      <c r="E822" s="5">
        <f t="shared" si="589"/>
        <v>39.14</v>
      </c>
      <c r="F822" s="5">
        <v>55.0</v>
      </c>
      <c r="G822" s="7">
        <f t="shared" si="590"/>
        <v>190.86968</v>
      </c>
      <c r="H822" s="7">
        <f t="shared" si="591"/>
        <v>7.37854</v>
      </c>
      <c r="I822" s="7">
        <f t="shared" si="592"/>
        <v>36.63</v>
      </c>
      <c r="J822" s="7">
        <f t="shared" si="593"/>
        <v>92.0856</v>
      </c>
      <c r="K822" s="7">
        <f t="shared" si="594"/>
        <v>2.0942</v>
      </c>
      <c r="L822" s="7">
        <f t="shared" si="595"/>
        <v>423.19802</v>
      </c>
      <c r="M822" s="7">
        <f t="shared" si="596"/>
        <v>88.8715842</v>
      </c>
      <c r="N822" s="7">
        <f t="shared" si="597"/>
        <v>512.0696042</v>
      </c>
    </row>
    <row r="823" ht="15.75" hidden="1" customHeight="1">
      <c r="A823" s="5" t="s">
        <v>14</v>
      </c>
      <c r="B823" s="39">
        <v>3672.0</v>
      </c>
      <c r="C823" s="12">
        <v>3737.0</v>
      </c>
      <c r="D823" s="5">
        <f t="shared" si="588"/>
        <v>0.065</v>
      </c>
      <c r="E823" s="5">
        <f t="shared" si="589"/>
        <v>39.14</v>
      </c>
      <c r="F823" s="5">
        <v>55.0</v>
      </c>
      <c r="G823" s="7">
        <f t="shared" si="590"/>
        <v>167.6558</v>
      </c>
      <c r="H823" s="7">
        <f t="shared" si="591"/>
        <v>6.48115</v>
      </c>
      <c r="I823" s="7">
        <f t="shared" si="592"/>
        <v>32.175</v>
      </c>
      <c r="J823" s="7">
        <f t="shared" si="593"/>
        <v>80.886</v>
      </c>
      <c r="K823" s="7">
        <f t="shared" si="594"/>
        <v>1.8395</v>
      </c>
      <c r="L823" s="7">
        <f t="shared" si="595"/>
        <v>383.17745</v>
      </c>
      <c r="M823" s="7">
        <f t="shared" si="596"/>
        <v>80.4672645</v>
      </c>
      <c r="N823" s="7">
        <f t="shared" si="597"/>
        <v>463.6447145</v>
      </c>
    </row>
    <row r="824" ht="15.75" hidden="1" customHeight="1">
      <c r="A824" s="5" t="s">
        <v>15</v>
      </c>
      <c r="B824" s="39">
        <v>3850.0</v>
      </c>
      <c r="C824" s="12">
        <v>3922.0</v>
      </c>
      <c r="D824" s="5">
        <f t="shared" si="588"/>
        <v>0.072</v>
      </c>
      <c r="E824" s="5">
        <f t="shared" si="589"/>
        <v>39.14</v>
      </c>
      <c r="F824" s="5">
        <v>55.0</v>
      </c>
      <c r="G824" s="7">
        <f t="shared" si="590"/>
        <v>185.71104</v>
      </c>
      <c r="H824" s="7">
        <f t="shared" si="591"/>
        <v>7.17912</v>
      </c>
      <c r="I824" s="7">
        <f t="shared" si="592"/>
        <v>35.64</v>
      </c>
      <c r="J824" s="7">
        <f t="shared" si="593"/>
        <v>89.5968</v>
      </c>
      <c r="K824" s="7">
        <f t="shared" si="594"/>
        <v>2.0376</v>
      </c>
      <c r="L824" s="7">
        <f t="shared" si="595"/>
        <v>414.30456</v>
      </c>
      <c r="M824" s="7">
        <f t="shared" si="596"/>
        <v>87.0039576</v>
      </c>
      <c r="N824" s="7">
        <f t="shared" si="597"/>
        <v>501.3085176</v>
      </c>
    </row>
    <row r="825" ht="15.75" hidden="1" customHeight="1">
      <c r="A825" s="5" t="s">
        <v>16</v>
      </c>
      <c r="B825" s="39">
        <v>2986.0</v>
      </c>
      <c r="C825" s="12">
        <v>3040.0</v>
      </c>
      <c r="D825" s="5">
        <f t="shared" si="588"/>
        <v>0.054</v>
      </c>
      <c r="E825" s="5">
        <f t="shared" si="589"/>
        <v>39.14</v>
      </c>
      <c r="F825" s="5">
        <v>55.0</v>
      </c>
      <c r="G825" s="7">
        <f t="shared" si="590"/>
        <v>139.28328</v>
      </c>
      <c r="H825" s="7">
        <f t="shared" si="591"/>
        <v>5.38434</v>
      </c>
      <c r="I825" s="7">
        <f t="shared" si="592"/>
        <v>26.73</v>
      </c>
      <c r="J825" s="7">
        <f t="shared" si="593"/>
        <v>67.1976</v>
      </c>
      <c r="K825" s="7">
        <f t="shared" si="594"/>
        <v>1.5282</v>
      </c>
      <c r="L825" s="7">
        <f t="shared" si="595"/>
        <v>334.26342</v>
      </c>
      <c r="M825" s="7">
        <f t="shared" si="596"/>
        <v>70.1953182</v>
      </c>
      <c r="N825" s="7">
        <f t="shared" si="597"/>
        <v>404.4587382</v>
      </c>
    </row>
    <row r="826" ht="15.75" hidden="1" customHeight="1">
      <c r="A826" s="5" t="s">
        <v>17</v>
      </c>
      <c r="B826" s="39">
        <v>3660.0</v>
      </c>
      <c r="C826" s="12">
        <v>3726.0</v>
      </c>
      <c r="D826" s="5">
        <f t="shared" si="588"/>
        <v>0.066</v>
      </c>
      <c r="E826" s="5">
        <f t="shared" si="589"/>
        <v>39.14</v>
      </c>
      <c r="F826" s="5">
        <v>55.0</v>
      </c>
      <c r="G826" s="7">
        <f t="shared" si="590"/>
        <v>170.23512</v>
      </c>
      <c r="H826" s="7">
        <f t="shared" si="591"/>
        <v>6.58086</v>
      </c>
      <c r="I826" s="7">
        <f t="shared" si="592"/>
        <v>32.67</v>
      </c>
      <c r="J826" s="7">
        <f t="shared" si="593"/>
        <v>82.1304</v>
      </c>
      <c r="K826" s="7">
        <f t="shared" si="594"/>
        <v>1.8678</v>
      </c>
      <c r="L826" s="7">
        <f t="shared" si="595"/>
        <v>387.62418</v>
      </c>
      <c r="M826" s="7">
        <f t="shared" si="596"/>
        <v>81.4010778</v>
      </c>
      <c r="N826" s="7">
        <f t="shared" si="597"/>
        <v>469.0252578</v>
      </c>
    </row>
    <row r="827" ht="15.75" hidden="1" customHeight="1">
      <c r="A827" s="5" t="s">
        <v>18</v>
      </c>
      <c r="B827" s="39">
        <v>3463.0</v>
      </c>
      <c r="C827" s="12">
        <v>3522.0</v>
      </c>
      <c r="D827" s="5">
        <f t="shared" si="588"/>
        <v>0.059</v>
      </c>
      <c r="E827" s="5">
        <f t="shared" si="589"/>
        <v>39.14</v>
      </c>
      <c r="F827" s="5">
        <v>55.0</v>
      </c>
      <c r="G827" s="7">
        <f t="shared" si="590"/>
        <v>152.17988</v>
      </c>
      <c r="H827" s="7">
        <f t="shared" si="591"/>
        <v>5.88289</v>
      </c>
      <c r="I827" s="7">
        <f t="shared" si="592"/>
        <v>29.205</v>
      </c>
      <c r="J827" s="7">
        <f t="shared" si="593"/>
        <v>73.4196</v>
      </c>
      <c r="K827" s="7">
        <f t="shared" si="594"/>
        <v>1.6697</v>
      </c>
      <c r="L827" s="7">
        <f t="shared" si="595"/>
        <v>356.49707</v>
      </c>
      <c r="M827" s="7">
        <f t="shared" si="596"/>
        <v>74.8643847</v>
      </c>
      <c r="N827" s="7">
        <f t="shared" si="597"/>
        <v>431.3614547</v>
      </c>
    </row>
    <row r="828" ht="15.75" hidden="1" customHeight="1">
      <c r="A828" s="40" t="s">
        <v>19</v>
      </c>
      <c r="B828" s="39">
        <v>101918.0</v>
      </c>
      <c r="C828" s="12">
        <v>103276.0</v>
      </c>
      <c r="D828" s="5">
        <f t="shared" si="588"/>
        <v>1.358</v>
      </c>
      <c r="E828" s="5">
        <v>169.69</v>
      </c>
      <c r="F828" s="5">
        <v>78.05</v>
      </c>
      <c r="G828" s="7">
        <f t="shared" si="590"/>
        <v>3502.71656</v>
      </c>
      <c r="H828" s="7">
        <f t="shared" si="591"/>
        <v>135.40618</v>
      </c>
      <c r="I828" s="7">
        <f t="shared" si="592"/>
        <v>672.21</v>
      </c>
      <c r="J828" s="7">
        <f t="shared" si="593"/>
        <v>1689.8952</v>
      </c>
      <c r="K828" s="7">
        <f t="shared" si="594"/>
        <v>38.4314</v>
      </c>
      <c r="L828" s="7">
        <f t="shared" si="595"/>
        <v>6286.39934</v>
      </c>
      <c r="M828" s="7">
        <f t="shared" si="596"/>
        <v>1320.143861</v>
      </c>
      <c r="N828" s="7">
        <f t="shared" si="597"/>
        <v>7606.543201</v>
      </c>
    </row>
    <row r="829" ht="15.75" hidden="1" customHeight="1">
      <c r="A829" s="5" t="s">
        <v>30</v>
      </c>
      <c r="B829" s="39">
        <v>14858.0</v>
      </c>
      <c r="C829" s="12">
        <v>15055.0</v>
      </c>
      <c r="D829" s="5">
        <f t="shared" si="588"/>
        <v>0.197</v>
      </c>
      <c r="E829" s="5">
        <f t="shared" ref="E829:E830" si="598">29.8+9.34</f>
        <v>39.14</v>
      </c>
      <c r="F829" s="5">
        <v>55.0</v>
      </c>
      <c r="G829" s="7">
        <f t="shared" si="590"/>
        <v>508.12604</v>
      </c>
      <c r="H829" s="7">
        <f t="shared" si="591"/>
        <v>19.64287</v>
      </c>
      <c r="I829" s="7">
        <f t="shared" si="592"/>
        <v>97.515</v>
      </c>
      <c r="J829" s="7">
        <f t="shared" si="593"/>
        <v>245.1468</v>
      </c>
      <c r="K829" s="7">
        <f t="shared" si="594"/>
        <v>5.5751</v>
      </c>
      <c r="L829" s="7">
        <f t="shared" si="595"/>
        <v>970.14581</v>
      </c>
      <c r="M829" s="7">
        <f t="shared" si="596"/>
        <v>203.7306201</v>
      </c>
      <c r="N829" s="7">
        <f t="shared" si="597"/>
        <v>1173.87643</v>
      </c>
    </row>
    <row r="830" ht="15.75" hidden="1" customHeight="1">
      <c r="A830" s="5" t="s">
        <v>31</v>
      </c>
      <c r="B830" s="39">
        <v>71802.0</v>
      </c>
      <c r="C830" s="12">
        <v>72821.0</v>
      </c>
      <c r="D830" s="5">
        <f t="shared" si="588"/>
        <v>1.019</v>
      </c>
      <c r="E830" s="5">
        <f t="shared" si="598"/>
        <v>39.14</v>
      </c>
      <c r="F830" s="5">
        <v>55.0</v>
      </c>
      <c r="G830" s="7">
        <f t="shared" si="590"/>
        <v>2628.32708</v>
      </c>
      <c r="H830" s="7">
        <f t="shared" si="591"/>
        <v>101.60449</v>
      </c>
      <c r="I830" s="7">
        <f t="shared" si="592"/>
        <v>504.405</v>
      </c>
      <c r="J830" s="7">
        <f t="shared" si="593"/>
        <v>1268.0436</v>
      </c>
      <c r="K830" s="7">
        <f t="shared" si="594"/>
        <v>28.8377</v>
      </c>
      <c r="L830" s="13">
        <f t="shared" si="595"/>
        <v>4625.35787</v>
      </c>
      <c r="M830" s="7">
        <f t="shared" si="596"/>
        <v>971.3251527</v>
      </c>
      <c r="N830" s="7">
        <f t="shared" si="597"/>
        <v>5596.683023</v>
      </c>
    </row>
    <row r="831" ht="15.75" hidden="1" customHeight="1">
      <c r="A831" s="5"/>
      <c r="C831" s="4"/>
      <c r="D831" s="5"/>
      <c r="G831" s="5"/>
      <c r="L831" s="18">
        <f>SUM(L820:L830)</f>
        <v>14902.85532</v>
      </c>
      <c r="M831" s="19">
        <f t="shared" si="596"/>
        <v>3129.599617</v>
      </c>
      <c r="N831" s="20">
        <f t="shared" si="597"/>
        <v>18032.45494</v>
      </c>
    </row>
    <row r="832" ht="15.75" hidden="1" customHeight="1">
      <c r="A832" s="5"/>
      <c r="C832" s="4"/>
      <c r="D832" s="5">
        <f>SUM(D820:D830)</f>
        <v>3.084</v>
      </c>
      <c r="G832" s="5"/>
    </row>
    <row r="833" ht="15.75" hidden="1" customHeight="1">
      <c r="A833" s="5"/>
      <c r="C833" s="4"/>
      <c r="D833" s="5"/>
      <c r="G833" s="5"/>
      <c r="I833" s="15" t="s">
        <v>66</v>
      </c>
      <c r="L833" s="17">
        <f>2884</f>
        <v>2884</v>
      </c>
    </row>
    <row r="834" ht="15.75" hidden="1" customHeight="1">
      <c r="A834" s="5" t="s">
        <v>68</v>
      </c>
      <c r="B834" s="15">
        <v>98886.0</v>
      </c>
      <c r="C834" s="4">
        <v>100573.0</v>
      </c>
      <c r="D834" s="5">
        <f>(C834-B834)/1000</f>
        <v>1.687</v>
      </c>
      <c r="G834" s="5"/>
      <c r="I834" s="15" t="s">
        <v>67</v>
      </c>
      <c r="L834" s="16">
        <f>L831-L833</f>
        <v>12018.85532</v>
      </c>
    </row>
    <row r="835" ht="15.75" hidden="1" customHeight="1">
      <c r="A835" s="5"/>
      <c r="C835" s="4"/>
      <c r="D835" s="5"/>
      <c r="G835" s="5"/>
    </row>
    <row r="836" ht="15.75" hidden="1" customHeight="1">
      <c r="A836" s="5"/>
      <c r="C836" s="4"/>
      <c r="D836" s="5"/>
      <c r="G836" s="5"/>
    </row>
    <row r="837" ht="15.75" hidden="1" customHeight="1">
      <c r="A837" s="5"/>
      <c r="C837" s="4"/>
      <c r="D837" s="5"/>
      <c r="G837" s="5"/>
    </row>
    <row r="838" ht="15.75" hidden="1" customHeight="1">
      <c r="A838" s="1" t="s">
        <v>22</v>
      </c>
      <c r="C838" s="4"/>
      <c r="D838" s="5"/>
      <c r="G838" s="5"/>
    </row>
    <row r="839" ht="15.75" hidden="1" customHeight="1">
      <c r="A839" s="5" t="s">
        <v>11</v>
      </c>
      <c r="B839" s="39">
        <v>4792.0</v>
      </c>
      <c r="C839" s="12">
        <v>4842.0</v>
      </c>
      <c r="D839" s="5">
        <f t="shared" ref="D839:D849" si="599">(C839-B839)/1000</f>
        <v>0.05</v>
      </c>
      <c r="E839" s="5">
        <f t="shared" ref="E839:E846" si="600">29.8+9.34</f>
        <v>39.14</v>
      </c>
      <c r="F839" s="5">
        <v>55.0</v>
      </c>
      <c r="G839" s="7">
        <f t="shared" ref="G839:G849" si="601">D839*$G$2</f>
        <v>128.966</v>
      </c>
      <c r="H839" s="7">
        <f t="shared" ref="H839:H849" si="602">D839*$H$2</f>
        <v>4.9855</v>
      </c>
      <c r="I839" s="7">
        <f t="shared" ref="I839:I849" si="603">D839*$I$2</f>
        <v>24.75</v>
      </c>
      <c r="J839" s="7">
        <f t="shared" ref="J839:J849" si="604">D839*$J$2</f>
        <v>62.22</v>
      </c>
      <c r="K839" s="7">
        <f t="shared" ref="K839:K849" si="605">D839*$K$2</f>
        <v>1.415</v>
      </c>
      <c r="L839" s="7">
        <f t="shared" ref="L839:L849" si="606">SUM(E839:K839)</f>
        <v>316.4765</v>
      </c>
      <c r="M839" s="7">
        <f t="shared" ref="M839:M850" si="607">L839*0.21</f>
        <v>66.460065</v>
      </c>
      <c r="N839" s="7">
        <f t="shared" ref="N839:N850" si="608">L839+M839</f>
        <v>382.936565</v>
      </c>
    </row>
    <row r="840" ht="15.75" hidden="1" customHeight="1">
      <c r="A840" s="5" t="s">
        <v>12</v>
      </c>
      <c r="B840" s="39">
        <v>3394.0</v>
      </c>
      <c r="C840" s="12">
        <v>3420.0</v>
      </c>
      <c r="D840" s="5">
        <f t="shared" si="599"/>
        <v>0.026</v>
      </c>
      <c r="E840" s="5">
        <f t="shared" si="600"/>
        <v>39.14</v>
      </c>
      <c r="F840" s="5">
        <v>55.0</v>
      </c>
      <c r="G840" s="7">
        <f t="shared" si="601"/>
        <v>67.06232</v>
      </c>
      <c r="H840" s="7">
        <f t="shared" si="602"/>
        <v>2.59246</v>
      </c>
      <c r="I840" s="7">
        <f t="shared" si="603"/>
        <v>12.87</v>
      </c>
      <c r="J840" s="7">
        <f t="shared" si="604"/>
        <v>32.3544</v>
      </c>
      <c r="K840" s="7">
        <f t="shared" si="605"/>
        <v>0.7358</v>
      </c>
      <c r="L840" s="7">
        <f t="shared" si="606"/>
        <v>209.75498</v>
      </c>
      <c r="M840" s="7">
        <f t="shared" si="607"/>
        <v>44.0485458</v>
      </c>
      <c r="N840" s="7">
        <f t="shared" si="608"/>
        <v>253.8035258</v>
      </c>
    </row>
    <row r="841" ht="15.75" hidden="1" customHeight="1">
      <c r="A841" s="5" t="s">
        <v>13</v>
      </c>
      <c r="B841" s="39">
        <v>4542.0</v>
      </c>
      <c r="C841" s="12">
        <v>4580.0</v>
      </c>
      <c r="D841" s="5">
        <f t="shared" si="599"/>
        <v>0.038</v>
      </c>
      <c r="E841" s="5">
        <f t="shared" si="600"/>
        <v>39.14</v>
      </c>
      <c r="F841" s="5">
        <v>55.0</v>
      </c>
      <c r="G841" s="7">
        <f t="shared" si="601"/>
        <v>98.01416</v>
      </c>
      <c r="H841" s="7">
        <f t="shared" si="602"/>
        <v>3.78898</v>
      </c>
      <c r="I841" s="7">
        <f t="shared" si="603"/>
        <v>18.81</v>
      </c>
      <c r="J841" s="7">
        <f t="shared" si="604"/>
        <v>47.2872</v>
      </c>
      <c r="K841" s="7">
        <f t="shared" si="605"/>
        <v>1.0754</v>
      </c>
      <c r="L841" s="7">
        <f t="shared" si="606"/>
        <v>263.11574</v>
      </c>
      <c r="M841" s="7">
        <f t="shared" si="607"/>
        <v>55.2543054</v>
      </c>
      <c r="N841" s="7">
        <f t="shared" si="608"/>
        <v>318.3700454</v>
      </c>
    </row>
    <row r="842" ht="15.75" hidden="1" customHeight="1">
      <c r="A842" s="5" t="s">
        <v>14</v>
      </c>
      <c r="B842" s="39">
        <v>3737.0</v>
      </c>
      <c r="C842" s="12">
        <v>3770.0</v>
      </c>
      <c r="D842" s="5">
        <f t="shared" si="599"/>
        <v>0.033</v>
      </c>
      <c r="E842" s="5">
        <f t="shared" si="600"/>
        <v>39.14</v>
      </c>
      <c r="F842" s="5">
        <v>55.0</v>
      </c>
      <c r="G842" s="7">
        <f t="shared" si="601"/>
        <v>85.11756</v>
      </c>
      <c r="H842" s="7">
        <f t="shared" si="602"/>
        <v>3.29043</v>
      </c>
      <c r="I842" s="7">
        <f t="shared" si="603"/>
        <v>16.335</v>
      </c>
      <c r="J842" s="7">
        <f t="shared" si="604"/>
        <v>41.0652</v>
      </c>
      <c r="K842" s="7">
        <f t="shared" si="605"/>
        <v>0.9339</v>
      </c>
      <c r="L842" s="7">
        <f t="shared" si="606"/>
        <v>240.88209</v>
      </c>
      <c r="M842" s="7">
        <f t="shared" si="607"/>
        <v>50.5852389</v>
      </c>
      <c r="N842" s="7">
        <f t="shared" si="608"/>
        <v>291.4673289</v>
      </c>
    </row>
    <row r="843" ht="15.75" hidden="1" customHeight="1">
      <c r="A843" s="5" t="s">
        <v>15</v>
      </c>
      <c r="B843" s="39">
        <v>3922.0</v>
      </c>
      <c r="C843" s="12">
        <v>3964.0</v>
      </c>
      <c r="D843" s="5">
        <f t="shared" si="599"/>
        <v>0.042</v>
      </c>
      <c r="E843" s="5">
        <f t="shared" si="600"/>
        <v>39.14</v>
      </c>
      <c r="F843" s="5">
        <v>55.0</v>
      </c>
      <c r="G843" s="7">
        <f t="shared" si="601"/>
        <v>108.33144</v>
      </c>
      <c r="H843" s="7">
        <f t="shared" si="602"/>
        <v>4.18782</v>
      </c>
      <c r="I843" s="7">
        <f t="shared" si="603"/>
        <v>20.79</v>
      </c>
      <c r="J843" s="7">
        <f t="shared" si="604"/>
        <v>52.2648</v>
      </c>
      <c r="K843" s="7">
        <f t="shared" si="605"/>
        <v>1.1886</v>
      </c>
      <c r="L843" s="7">
        <f t="shared" si="606"/>
        <v>280.90266</v>
      </c>
      <c r="M843" s="7">
        <f t="shared" si="607"/>
        <v>58.9895586</v>
      </c>
      <c r="N843" s="7">
        <f t="shared" si="608"/>
        <v>339.8922186</v>
      </c>
    </row>
    <row r="844" ht="15.75" hidden="1" customHeight="1">
      <c r="A844" s="5" t="s">
        <v>16</v>
      </c>
      <c r="B844" s="39">
        <v>3040.0</v>
      </c>
      <c r="C844" s="12">
        <v>3079.0</v>
      </c>
      <c r="D844" s="5">
        <f t="shared" si="599"/>
        <v>0.039</v>
      </c>
      <c r="E844" s="5">
        <f t="shared" si="600"/>
        <v>39.14</v>
      </c>
      <c r="F844" s="5">
        <v>55.0</v>
      </c>
      <c r="G844" s="7">
        <f t="shared" si="601"/>
        <v>100.59348</v>
      </c>
      <c r="H844" s="7">
        <f t="shared" si="602"/>
        <v>3.88869</v>
      </c>
      <c r="I844" s="7">
        <f t="shared" si="603"/>
        <v>19.305</v>
      </c>
      <c r="J844" s="7">
        <f t="shared" si="604"/>
        <v>48.5316</v>
      </c>
      <c r="K844" s="7">
        <f t="shared" si="605"/>
        <v>1.1037</v>
      </c>
      <c r="L844" s="7">
        <f t="shared" si="606"/>
        <v>267.56247</v>
      </c>
      <c r="M844" s="7">
        <f t="shared" si="607"/>
        <v>56.1881187</v>
      </c>
      <c r="N844" s="7">
        <f t="shared" si="608"/>
        <v>323.7505887</v>
      </c>
    </row>
    <row r="845" ht="15.75" hidden="1" customHeight="1">
      <c r="A845" s="5" t="s">
        <v>17</v>
      </c>
      <c r="B845" s="39">
        <v>3726.0</v>
      </c>
      <c r="C845" s="12">
        <v>3757.0</v>
      </c>
      <c r="D845" s="5">
        <f t="shared" si="599"/>
        <v>0.031</v>
      </c>
      <c r="E845" s="5">
        <f t="shared" si="600"/>
        <v>39.14</v>
      </c>
      <c r="F845" s="5">
        <v>55.0</v>
      </c>
      <c r="G845" s="7">
        <f t="shared" si="601"/>
        <v>79.95892</v>
      </c>
      <c r="H845" s="7">
        <f t="shared" si="602"/>
        <v>3.09101</v>
      </c>
      <c r="I845" s="7">
        <f t="shared" si="603"/>
        <v>15.345</v>
      </c>
      <c r="J845" s="7">
        <f t="shared" si="604"/>
        <v>38.5764</v>
      </c>
      <c r="K845" s="7">
        <f t="shared" si="605"/>
        <v>0.8773</v>
      </c>
      <c r="L845" s="7">
        <f t="shared" si="606"/>
        <v>231.98863</v>
      </c>
      <c r="M845" s="7">
        <f t="shared" si="607"/>
        <v>48.7176123</v>
      </c>
      <c r="N845" s="7">
        <f t="shared" si="608"/>
        <v>280.7062423</v>
      </c>
    </row>
    <row r="846" ht="15.75" hidden="1" customHeight="1">
      <c r="A846" s="5" t="s">
        <v>18</v>
      </c>
      <c r="B846" s="39">
        <v>3522.0</v>
      </c>
      <c r="C846" s="12">
        <v>3557.0</v>
      </c>
      <c r="D846" s="5">
        <f t="shared" si="599"/>
        <v>0.035</v>
      </c>
      <c r="E846" s="5">
        <f t="shared" si="600"/>
        <v>39.14</v>
      </c>
      <c r="F846" s="5">
        <v>55.0</v>
      </c>
      <c r="G846" s="7">
        <f t="shared" si="601"/>
        <v>90.2762</v>
      </c>
      <c r="H846" s="7">
        <f t="shared" si="602"/>
        <v>3.48985</v>
      </c>
      <c r="I846" s="7">
        <f t="shared" si="603"/>
        <v>17.325</v>
      </c>
      <c r="J846" s="7">
        <f t="shared" si="604"/>
        <v>43.554</v>
      </c>
      <c r="K846" s="7">
        <f t="shared" si="605"/>
        <v>0.9905</v>
      </c>
      <c r="L846" s="7">
        <f t="shared" si="606"/>
        <v>249.77555</v>
      </c>
      <c r="M846" s="7">
        <f t="shared" si="607"/>
        <v>52.4528655</v>
      </c>
      <c r="N846" s="7">
        <f t="shared" si="608"/>
        <v>302.2284155</v>
      </c>
    </row>
    <row r="847" ht="15.75" hidden="1" customHeight="1">
      <c r="A847" s="40" t="s">
        <v>19</v>
      </c>
      <c r="B847" s="39">
        <v>103276.0</v>
      </c>
      <c r="C847" s="12">
        <v>104347.0</v>
      </c>
      <c r="D847" s="5">
        <f t="shared" si="599"/>
        <v>1.071</v>
      </c>
      <c r="E847" s="5">
        <v>169.69</v>
      </c>
      <c r="F847" s="5">
        <v>78.05</v>
      </c>
      <c r="G847" s="7">
        <f t="shared" si="601"/>
        <v>2762.45172</v>
      </c>
      <c r="H847" s="7">
        <f t="shared" si="602"/>
        <v>106.78941</v>
      </c>
      <c r="I847" s="7">
        <f t="shared" si="603"/>
        <v>530.145</v>
      </c>
      <c r="J847" s="7">
        <f t="shared" si="604"/>
        <v>1332.7524</v>
      </c>
      <c r="K847" s="7">
        <f t="shared" si="605"/>
        <v>30.3093</v>
      </c>
      <c r="L847" s="7">
        <f t="shared" si="606"/>
        <v>5010.18783</v>
      </c>
      <c r="M847" s="7">
        <f t="shared" si="607"/>
        <v>1052.139444</v>
      </c>
      <c r="N847" s="7">
        <f t="shared" si="608"/>
        <v>6062.327274</v>
      </c>
    </row>
    <row r="848" ht="15.75" hidden="1" customHeight="1">
      <c r="A848" s="5" t="s">
        <v>30</v>
      </c>
      <c r="B848" s="39">
        <v>15055.0</v>
      </c>
      <c r="C848" s="12">
        <v>15249.0</v>
      </c>
      <c r="D848" s="5">
        <f t="shared" si="599"/>
        <v>0.194</v>
      </c>
      <c r="E848" s="5">
        <f t="shared" ref="E848:E849" si="609">29.8+9.34</f>
        <v>39.14</v>
      </c>
      <c r="F848" s="5">
        <v>55.0</v>
      </c>
      <c r="G848" s="7">
        <f t="shared" si="601"/>
        <v>500.38808</v>
      </c>
      <c r="H848" s="7">
        <f t="shared" si="602"/>
        <v>19.34374</v>
      </c>
      <c r="I848" s="7">
        <f t="shared" si="603"/>
        <v>96.03</v>
      </c>
      <c r="J848" s="7">
        <f t="shared" si="604"/>
        <v>241.4136</v>
      </c>
      <c r="K848" s="7">
        <f t="shared" si="605"/>
        <v>5.4902</v>
      </c>
      <c r="L848" s="7">
        <f t="shared" si="606"/>
        <v>956.80562</v>
      </c>
      <c r="M848" s="7">
        <f t="shared" si="607"/>
        <v>200.9291802</v>
      </c>
      <c r="N848" s="7">
        <f t="shared" si="608"/>
        <v>1157.7348</v>
      </c>
    </row>
    <row r="849" ht="15.75" hidden="1" customHeight="1">
      <c r="A849" s="5" t="s">
        <v>31</v>
      </c>
      <c r="B849" s="39">
        <v>72821.0</v>
      </c>
      <c r="C849" s="12">
        <v>73782.0</v>
      </c>
      <c r="D849" s="5">
        <f t="shared" si="599"/>
        <v>0.961</v>
      </c>
      <c r="E849" s="5">
        <f t="shared" si="609"/>
        <v>39.14</v>
      </c>
      <c r="F849" s="5">
        <v>55.0</v>
      </c>
      <c r="G849" s="7">
        <f t="shared" si="601"/>
        <v>2478.72652</v>
      </c>
      <c r="H849" s="7">
        <f t="shared" si="602"/>
        <v>95.82131</v>
      </c>
      <c r="I849" s="7">
        <f t="shared" si="603"/>
        <v>475.695</v>
      </c>
      <c r="J849" s="7">
        <f t="shared" si="604"/>
        <v>1195.8684</v>
      </c>
      <c r="K849" s="7">
        <f t="shared" si="605"/>
        <v>27.1963</v>
      </c>
      <c r="L849" s="13">
        <f t="shared" si="606"/>
        <v>4367.44753</v>
      </c>
      <c r="M849" s="7">
        <f t="shared" si="607"/>
        <v>917.1639813</v>
      </c>
      <c r="N849" s="7">
        <f t="shared" si="608"/>
        <v>5284.611511</v>
      </c>
    </row>
    <row r="850" ht="15.75" hidden="1" customHeight="1">
      <c r="A850" s="5"/>
      <c r="C850" s="4"/>
      <c r="D850" s="5"/>
      <c r="G850" s="5"/>
      <c r="L850" s="18">
        <f>SUM(L839:L849)</f>
        <v>12394.8996</v>
      </c>
      <c r="M850" s="19">
        <f t="shared" si="607"/>
        <v>2602.928916</v>
      </c>
      <c r="N850" s="20">
        <f t="shared" si="608"/>
        <v>14997.82852</v>
      </c>
    </row>
    <row r="851" ht="15.75" hidden="1" customHeight="1">
      <c r="A851" s="5"/>
      <c r="C851" s="4"/>
      <c r="D851" s="5">
        <f>SUM(D839:D849)</f>
        <v>2.52</v>
      </c>
      <c r="G851" s="5"/>
    </row>
    <row r="852" ht="15.75" hidden="1" customHeight="1">
      <c r="A852" s="5"/>
      <c r="C852" s="4"/>
      <c r="D852" s="5"/>
      <c r="G852" s="5"/>
      <c r="I852" s="15" t="s">
        <v>66</v>
      </c>
      <c r="L852" s="17">
        <f>2884</f>
        <v>2884</v>
      </c>
    </row>
    <row r="853" ht="15.75" hidden="1" customHeight="1">
      <c r="A853" s="5" t="s">
        <v>68</v>
      </c>
      <c r="B853" s="15">
        <v>98886.0</v>
      </c>
      <c r="C853" s="4">
        <v>100573.0</v>
      </c>
      <c r="D853" s="5">
        <f>(C853-B853)/1000</f>
        <v>1.687</v>
      </c>
      <c r="G853" s="5"/>
      <c r="I853" s="15" t="s">
        <v>67</v>
      </c>
      <c r="L853" s="16">
        <f>L850-L852</f>
        <v>9510.8996</v>
      </c>
    </row>
    <row r="854" ht="15.75" hidden="1" customHeight="1">
      <c r="A854" s="5"/>
      <c r="C854" s="4"/>
      <c r="D854" s="5"/>
      <c r="G854" s="5"/>
    </row>
    <row r="855" ht="15.75" hidden="1" customHeight="1">
      <c r="A855" s="5"/>
      <c r="C855" s="4"/>
      <c r="D855" s="5"/>
      <c r="G855" s="5"/>
    </row>
    <row r="856" ht="15.75" hidden="1" customHeight="1">
      <c r="A856" s="1" t="s">
        <v>60</v>
      </c>
      <c r="C856" s="4"/>
      <c r="D856" s="5"/>
      <c r="G856" s="5"/>
    </row>
    <row r="857" ht="15.75" hidden="1" customHeight="1">
      <c r="A857" s="5" t="s">
        <v>11</v>
      </c>
      <c r="B857" s="39">
        <v>4842.0</v>
      </c>
      <c r="C857" s="12">
        <v>4866.0</v>
      </c>
      <c r="D857" s="5">
        <f t="shared" ref="D857:D867" si="610">(C857-B857)/1000</f>
        <v>0.024</v>
      </c>
      <c r="E857" s="5">
        <f t="shared" ref="E857:E864" si="611">29.8+9.34</f>
        <v>39.14</v>
      </c>
      <c r="F857" s="5">
        <v>55.0</v>
      </c>
      <c r="G857" s="7">
        <f t="shared" ref="G857:G867" si="612">D857*$G$2</f>
        <v>61.90368</v>
      </c>
      <c r="H857" s="7">
        <f t="shared" ref="H857:H867" si="613">D857*$H$2</f>
        <v>2.39304</v>
      </c>
      <c r="I857" s="7">
        <f t="shared" ref="I857:I867" si="614">D857*$I$2</f>
        <v>11.88</v>
      </c>
      <c r="J857" s="7">
        <f t="shared" ref="J857:J867" si="615">D857*$J$2</f>
        <v>29.8656</v>
      </c>
      <c r="K857" s="7">
        <f t="shared" ref="K857:K867" si="616">D857*$K$2</f>
        <v>0.6792</v>
      </c>
      <c r="L857" s="7">
        <f t="shared" ref="L857:L867" si="617">SUM(E857:K857)</f>
        <v>200.86152</v>
      </c>
      <c r="M857" s="7">
        <f t="shared" ref="M857:M868" si="618">L857*0.21</f>
        <v>42.1809192</v>
      </c>
      <c r="N857" s="7">
        <f t="shared" ref="N857:N868" si="619">L857+M857</f>
        <v>243.0424392</v>
      </c>
    </row>
    <row r="858" ht="15.75" hidden="1" customHeight="1">
      <c r="A858" s="5" t="s">
        <v>12</v>
      </c>
      <c r="B858" s="39">
        <v>3420.0</v>
      </c>
      <c r="C858" s="12">
        <v>3449.0</v>
      </c>
      <c r="D858" s="5">
        <f t="shared" si="610"/>
        <v>0.029</v>
      </c>
      <c r="E858" s="5">
        <f t="shared" si="611"/>
        <v>39.14</v>
      </c>
      <c r="F858" s="5">
        <v>55.0</v>
      </c>
      <c r="G858" s="7">
        <f t="shared" si="612"/>
        <v>74.80028</v>
      </c>
      <c r="H858" s="7">
        <f t="shared" si="613"/>
        <v>2.89159</v>
      </c>
      <c r="I858" s="7">
        <f t="shared" si="614"/>
        <v>14.355</v>
      </c>
      <c r="J858" s="7">
        <f t="shared" si="615"/>
        <v>36.0876</v>
      </c>
      <c r="K858" s="7">
        <f t="shared" si="616"/>
        <v>0.8207</v>
      </c>
      <c r="L858" s="7">
        <f t="shared" si="617"/>
        <v>223.09517</v>
      </c>
      <c r="M858" s="7">
        <f t="shared" si="618"/>
        <v>46.8499857</v>
      </c>
      <c r="N858" s="7">
        <f t="shared" si="619"/>
        <v>269.9451557</v>
      </c>
    </row>
    <row r="859" ht="15.75" hidden="1" customHeight="1">
      <c r="A859" s="5" t="s">
        <v>13</v>
      </c>
      <c r="B859" s="39">
        <v>4580.0</v>
      </c>
      <c r="C859" s="12">
        <v>4607.0</v>
      </c>
      <c r="D859" s="5">
        <f t="shared" si="610"/>
        <v>0.027</v>
      </c>
      <c r="E859" s="5">
        <f t="shared" si="611"/>
        <v>39.14</v>
      </c>
      <c r="F859" s="5">
        <v>55.0</v>
      </c>
      <c r="G859" s="7">
        <f t="shared" si="612"/>
        <v>69.64164</v>
      </c>
      <c r="H859" s="7">
        <f t="shared" si="613"/>
        <v>2.69217</v>
      </c>
      <c r="I859" s="7">
        <f t="shared" si="614"/>
        <v>13.365</v>
      </c>
      <c r="J859" s="7">
        <f t="shared" si="615"/>
        <v>33.5988</v>
      </c>
      <c r="K859" s="7">
        <f t="shared" si="616"/>
        <v>0.7641</v>
      </c>
      <c r="L859" s="7">
        <f t="shared" si="617"/>
        <v>214.20171</v>
      </c>
      <c r="M859" s="7">
        <f t="shared" si="618"/>
        <v>44.9823591</v>
      </c>
      <c r="N859" s="7">
        <f t="shared" si="619"/>
        <v>259.1840691</v>
      </c>
    </row>
    <row r="860" ht="15.75" hidden="1" customHeight="1">
      <c r="A860" s="5" t="s">
        <v>14</v>
      </c>
      <c r="B860" s="39">
        <v>3770.0</v>
      </c>
      <c r="C860" s="12">
        <v>3788.0</v>
      </c>
      <c r="D860" s="5">
        <f t="shared" si="610"/>
        <v>0.018</v>
      </c>
      <c r="E860" s="5">
        <f t="shared" si="611"/>
        <v>39.14</v>
      </c>
      <c r="F860" s="5">
        <v>55.0</v>
      </c>
      <c r="G860" s="7">
        <f t="shared" si="612"/>
        <v>46.42776</v>
      </c>
      <c r="H860" s="7">
        <f t="shared" si="613"/>
        <v>1.79478</v>
      </c>
      <c r="I860" s="7">
        <f t="shared" si="614"/>
        <v>8.91</v>
      </c>
      <c r="J860" s="7">
        <f t="shared" si="615"/>
        <v>22.3992</v>
      </c>
      <c r="K860" s="7">
        <f t="shared" si="616"/>
        <v>0.5094</v>
      </c>
      <c r="L860" s="7">
        <f t="shared" si="617"/>
        <v>174.18114</v>
      </c>
      <c r="M860" s="7">
        <f t="shared" si="618"/>
        <v>36.5780394</v>
      </c>
      <c r="N860" s="7">
        <f t="shared" si="619"/>
        <v>210.7591794</v>
      </c>
    </row>
    <row r="861" ht="15.75" hidden="1" customHeight="1">
      <c r="A861" s="5" t="s">
        <v>15</v>
      </c>
      <c r="B861" s="39">
        <v>3964.0</v>
      </c>
      <c r="C861" s="12">
        <v>3985.0</v>
      </c>
      <c r="D861" s="5">
        <f t="shared" si="610"/>
        <v>0.021</v>
      </c>
      <c r="E861" s="5">
        <f t="shared" si="611"/>
        <v>39.14</v>
      </c>
      <c r="F861" s="5">
        <v>55.0</v>
      </c>
      <c r="G861" s="7">
        <f t="shared" si="612"/>
        <v>54.16572</v>
      </c>
      <c r="H861" s="7">
        <f t="shared" si="613"/>
        <v>2.09391</v>
      </c>
      <c r="I861" s="7">
        <f t="shared" si="614"/>
        <v>10.395</v>
      </c>
      <c r="J861" s="7">
        <f t="shared" si="615"/>
        <v>26.1324</v>
      </c>
      <c r="K861" s="7">
        <f t="shared" si="616"/>
        <v>0.5943</v>
      </c>
      <c r="L861" s="7">
        <f t="shared" si="617"/>
        <v>187.52133</v>
      </c>
      <c r="M861" s="7">
        <f t="shared" si="618"/>
        <v>39.3794793</v>
      </c>
      <c r="N861" s="7">
        <f t="shared" si="619"/>
        <v>226.9008093</v>
      </c>
    </row>
    <row r="862" ht="15.75" hidden="1" customHeight="1">
      <c r="A862" s="5" t="s">
        <v>16</v>
      </c>
      <c r="B862" s="39">
        <v>3079.0</v>
      </c>
      <c r="C862" s="12">
        <v>3118.0</v>
      </c>
      <c r="D862" s="5">
        <f t="shared" si="610"/>
        <v>0.039</v>
      </c>
      <c r="E862" s="5">
        <f t="shared" si="611"/>
        <v>39.14</v>
      </c>
      <c r="F862" s="5">
        <v>55.0</v>
      </c>
      <c r="G862" s="7">
        <f t="shared" si="612"/>
        <v>100.59348</v>
      </c>
      <c r="H862" s="7">
        <f t="shared" si="613"/>
        <v>3.88869</v>
      </c>
      <c r="I862" s="7">
        <f t="shared" si="614"/>
        <v>19.305</v>
      </c>
      <c r="J862" s="7">
        <f t="shared" si="615"/>
        <v>48.5316</v>
      </c>
      <c r="K862" s="7">
        <f t="shared" si="616"/>
        <v>1.1037</v>
      </c>
      <c r="L862" s="7">
        <f t="shared" si="617"/>
        <v>267.56247</v>
      </c>
      <c r="M862" s="7">
        <f t="shared" si="618"/>
        <v>56.1881187</v>
      </c>
      <c r="N862" s="7">
        <f t="shared" si="619"/>
        <v>323.7505887</v>
      </c>
    </row>
    <row r="863" ht="15.75" hidden="1" customHeight="1">
      <c r="A863" s="5" t="s">
        <v>17</v>
      </c>
      <c r="B863" s="39">
        <v>3757.0</v>
      </c>
      <c r="C863" s="12">
        <v>3787.0</v>
      </c>
      <c r="D863" s="5">
        <f t="shared" si="610"/>
        <v>0.03</v>
      </c>
      <c r="E863" s="5">
        <f t="shared" si="611"/>
        <v>39.14</v>
      </c>
      <c r="F863" s="5">
        <v>55.0</v>
      </c>
      <c r="G863" s="7">
        <f t="shared" si="612"/>
        <v>77.3796</v>
      </c>
      <c r="H863" s="7">
        <f t="shared" si="613"/>
        <v>2.9913</v>
      </c>
      <c r="I863" s="7">
        <f t="shared" si="614"/>
        <v>14.85</v>
      </c>
      <c r="J863" s="7">
        <f t="shared" si="615"/>
        <v>37.332</v>
      </c>
      <c r="K863" s="7">
        <f t="shared" si="616"/>
        <v>0.849</v>
      </c>
      <c r="L863" s="7">
        <f t="shared" si="617"/>
        <v>227.5419</v>
      </c>
      <c r="M863" s="7">
        <f t="shared" si="618"/>
        <v>47.783799</v>
      </c>
      <c r="N863" s="7">
        <f t="shared" si="619"/>
        <v>275.325699</v>
      </c>
    </row>
    <row r="864" ht="15.75" hidden="1" customHeight="1">
      <c r="A864" s="5" t="s">
        <v>18</v>
      </c>
      <c r="B864" s="39">
        <v>3557.0</v>
      </c>
      <c r="C864" s="12">
        <v>3592.0</v>
      </c>
      <c r="D864" s="5">
        <f t="shared" si="610"/>
        <v>0.035</v>
      </c>
      <c r="E864" s="5">
        <f t="shared" si="611"/>
        <v>39.14</v>
      </c>
      <c r="F864" s="5">
        <v>55.0</v>
      </c>
      <c r="G864" s="7">
        <f t="shared" si="612"/>
        <v>90.2762</v>
      </c>
      <c r="H864" s="7">
        <f t="shared" si="613"/>
        <v>3.48985</v>
      </c>
      <c r="I864" s="7">
        <f t="shared" si="614"/>
        <v>17.325</v>
      </c>
      <c r="J864" s="7">
        <f t="shared" si="615"/>
        <v>43.554</v>
      </c>
      <c r="K864" s="7">
        <f t="shared" si="616"/>
        <v>0.9905</v>
      </c>
      <c r="L864" s="7">
        <f t="shared" si="617"/>
        <v>249.77555</v>
      </c>
      <c r="M864" s="7">
        <f t="shared" si="618"/>
        <v>52.4528655</v>
      </c>
      <c r="N864" s="7">
        <f t="shared" si="619"/>
        <v>302.2284155</v>
      </c>
    </row>
    <row r="865" ht="15.75" hidden="1" customHeight="1">
      <c r="A865" s="40" t="s">
        <v>19</v>
      </c>
      <c r="B865" s="39">
        <v>104347.0</v>
      </c>
      <c r="C865" s="12">
        <v>105202.0</v>
      </c>
      <c r="D865" s="5">
        <f t="shared" si="610"/>
        <v>0.855</v>
      </c>
      <c r="E865" s="5">
        <v>169.69</v>
      </c>
      <c r="F865" s="5">
        <v>78.05</v>
      </c>
      <c r="G865" s="7">
        <f t="shared" si="612"/>
        <v>2205.3186</v>
      </c>
      <c r="H865" s="7">
        <f t="shared" si="613"/>
        <v>85.25205</v>
      </c>
      <c r="I865" s="7">
        <f t="shared" si="614"/>
        <v>423.225</v>
      </c>
      <c r="J865" s="7">
        <f t="shared" si="615"/>
        <v>1063.962</v>
      </c>
      <c r="K865" s="7">
        <f t="shared" si="616"/>
        <v>24.1965</v>
      </c>
      <c r="L865" s="7">
        <f t="shared" si="617"/>
        <v>4049.69415</v>
      </c>
      <c r="M865" s="7">
        <f t="shared" si="618"/>
        <v>850.4357715</v>
      </c>
      <c r="N865" s="7">
        <f t="shared" si="619"/>
        <v>4900.129922</v>
      </c>
    </row>
    <row r="866" ht="15.75" hidden="1" customHeight="1">
      <c r="A866" s="5" t="s">
        <v>30</v>
      </c>
      <c r="B866" s="39">
        <v>15249.0</v>
      </c>
      <c r="C866" s="12">
        <v>15421.0</v>
      </c>
      <c r="D866" s="5">
        <f t="shared" si="610"/>
        <v>0.172</v>
      </c>
      <c r="E866" s="5">
        <f t="shared" ref="E866:E867" si="620">29.8+9.34</f>
        <v>39.14</v>
      </c>
      <c r="F866" s="5">
        <v>55.0</v>
      </c>
      <c r="G866" s="7">
        <f t="shared" si="612"/>
        <v>443.64304</v>
      </c>
      <c r="H866" s="7">
        <f t="shared" si="613"/>
        <v>17.15012</v>
      </c>
      <c r="I866" s="7">
        <f t="shared" si="614"/>
        <v>85.14</v>
      </c>
      <c r="J866" s="7">
        <f t="shared" si="615"/>
        <v>214.0368</v>
      </c>
      <c r="K866" s="7">
        <f t="shared" si="616"/>
        <v>4.8676</v>
      </c>
      <c r="L866" s="7">
        <f t="shared" si="617"/>
        <v>858.97756</v>
      </c>
      <c r="M866" s="7">
        <f t="shared" si="618"/>
        <v>180.3852876</v>
      </c>
      <c r="N866" s="7">
        <f t="shared" si="619"/>
        <v>1039.362848</v>
      </c>
    </row>
    <row r="867" ht="15.75" hidden="1" customHeight="1">
      <c r="A867" s="5" t="s">
        <v>31</v>
      </c>
      <c r="B867" s="39">
        <v>73782.0</v>
      </c>
      <c r="C867" s="12">
        <v>74683.0</v>
      </c>
      <c r="D867" s="5">
        <f t="shared" si="610"/>
        <v>0.901</v>
      </c>
      <c r="E867" s="5">
        <f t="shared" si="620"/>
        <v>39.14</v>
      </c>
      <c r="F867" s="5">
        <v>55.0</v>
      </c>
      <c r="G867" s="7">
        <f t="shared" si="612"/>
        <v>2323.96732</v>
      </c>
      <c r="H867" s="7">
        <f t="shared" si="613"/>
        <v>89.83871</v>
      </c>
      <c r="I867" s="7">
        <f t="shared" si="614"/>
        <v>445.995</v>
      </c>
      <c r="J867" s="7">
        <f t="shared" si="615"/>
        <v>1121.2044</v>
      </c>
      <c r="K867" s="7">
        <f t="shared" si="616"/>
        <v>25.4983</v>
      </c>
      <c r="L867" s="13">
        <f t="shared" si="617"/>
        <v>4100.64373</v>
      </c>
      <c r="M867" s="7">
        <f t="shared" si="618"/>
        <v>861.1351833</v>
      </c>
      <c r="N867" s="7">
        <f t="shared" si="619"/>
        <v>4961.778913</v>
      </c>
    </row>
    <row r="868" ht="15.75" hidden="1" customHeight="1">
      <c r="A868" s="5"/>
      <c r="C868" s="4"/>
      <c r="D868" s="5"/>
      <c r="G868" s="5"/>
      <c r="L868" s="18">
        <f>SUM(L857:L867)</f>
        <v>10754.05623</v>
      </c>
      <c r="M868" s="19">
        <f t="shared" si="618"/>
        <v>2258.351808</v>
      </c>
      <c r="N868" s="20">
        <f t="shared" si="619"/>
        <v>13012.40804</v>
      </c>
    </row>
    <row r="869" ht="15.75" hidden="1" customHeight="1">
      <c r="A869" s="5"/>
      <c r="C869" s="4"/>
      <c r="D869" s="5">
        <f>SUM(D857:D867)</f>
        <v>2.151</v>
      </c>
      <c r="G869" s="5"/>
    </row>
    <row r="870" ht="15.75" hidden="1" customHeight="1">
      <c r="A870" s="5"/>
      <c r="C870" s="4"/>
      <c r="D870" s="5"/>
      <c r="G870" s="5"/>
      <c r="I870" s="15" t="s">
        <v>66</v>
      </c>
      <c r="L870" s="17">
        <f>2884</f>
        <v>2884</v>
      </c>
    </row>
    <row r="871" ht="15.75" hidden="1" customHeight="1">
      <c r="A871" s="5" t="s">
        <v>68</v>
      </c>
      <c r="B871" s="15">
        <v>98886.0</v>
      </c>
      <c r="C871" s="4">
        <v>100573.0</v>
      </c>
      <c r="D871" s="5">
        <f>(C871-B871)/1000</f>
        <v>1.687</v>
      </c>
      <c r="G871" s="5"/>
      <c r="I871" s="15" t="s">
        <v>67</v>
      </c>
      <c r="L871" s="16">
        <f>L868-L870</f>
        <v>7870.05623</v>
      </c>
    </row>
    <row r="872" ht="15.75" hidden="1" customHeight="1">
      <c r="A872" s="5"/>
      <c r="C872" s="4"/>
      <c r="D872" s="5"/>
      <c r="G872" s="5"/>
    </row>
    <row r="873" ht="15.75" hidden="1" customHeight="1">
      <c r="A873" s="5"/>
      <c r="C873" s="4"/>
      <c r="D873" s="5"/>
      <c r="G873" s="5"/>
    </row>
    <row r="874" ht="15.75" hidden="1" customHeight="1">
      <c r="A874" s="1" t="s">
        <v>61</v>
      </c>
      <c r="C874" s="4"/>
      <c r="D874" s="5"/>
      <c r="G874" s="5"/>
    </row>
    <row r="875" ht="15.75" hidden="1" customHeight="1">
      <c r="A875" s="5" t="s">
        <v>11</v>
      </c>
      <c r="B875" s="39">
        <v>4866.0</v>
      </c>
      <c r="C875" s="12">
        <v>4886.0</v>
      </c>
      <c r="D875" s="5">
        <f t="shared" ref="D875:D885" si="621">(C875-B875)/1000</f>
        <v>0.02</v>
      </c>
      <c r="E875" s="5">
        <f t="shared" ref="E875:E882" si="622">29.8+9.34</f>
        <v>39.14</v>
      </c>
      <c r="F875" s="5">
        <v>55.0</v>
      </c>
      <c r="G875" s="7">
        <f t="shared" ref="G875:G885" si="623">D875*$G$2</f>
        <v>51.5864</v>
      </c>
      <c r="H875" s="7">
        <f t="shared" ref="H875:H885" si="624">D875*$H$2</f>
        <v>1.9942</v>
      </c>
      <c r="I875" s="7">
        <f t="shared" ref="I875:I885" si="625">D875*$I$2</f>
        <v>9.9</v>
      </c>
      <c r="J875" s="7">
        <f t="shared" ref="J875:J885" si="626">D875*$J$2</f>
        <v>24.888</v>
      </c>
      <c r="K875" s="7">
        <f t="shared" ref="K875:K885" si="627">D875*$K$2</f>
        <v>0.566</v>
      </c>
      <c r="L875" s="7">
        <f t="shared" ref="L875:L885" si="628">SUM(E875:K875)</f>
        <v>183.0746</v>
      </c>
      <c r="M875" s="7">
        <f t="shared" ref="M875:M886" si="629">L875*0.21</f>
        <v>38.445666</v>
      </c>
      <c r="N875" s="7">
        <f t="shared" ref="N875:N886" si="630">L875+M875</f>
        <v>221.520266</v>
      </c>
    </row>
    <row r="876" ht="15.75" hidden="1" customHeight="1">
      <c r="A876" s="5" t="s">
        <v>12</v>
      </c>
      <c r="B876" s="39">
        <v>3449.0</v>
      </c>
      <c r="C876" s="12">
        <v>3467.0</v>
      </c>
      <c r="D876" s="5">
        <f t="shared" si="621"/>
        <v>0.018</v>
      </c>
      <c r="E876" s="5">
        <f t="shared" si="622"/>
        <v>39.14</v>
      </c>
      <c r="F876" s="5">
        <v>55.0</v>
      </c>
      <c r="G876" s="7">
        <f t="shared" si="623"/>
        <v>46.42776</v>
      </c>
      <c r="H876" s="7">
        <f t="shared" si="624"/>
        <v>1.79478</v>
      </c>
      <c r="I876" s="7">
        <f t="shared" si="625"/>
        <v>8.91</v>
      </c>
      <c r="J876" s="7">
        <f t="shared" si="626"/>
        <v>22.3992</v>
      </c>
      <c r="K876" s="7">
        <f t="shared" si="627"/>
        <v>0.5094</v>
      </c>
      <c r="L876" s="7">
        <f t="shared" si="628"/>
        <v>174.18114</v>
      </c>
      <c r="M876" s="7">
        <f t="shared" si="629"/>
        <v>36.5780394</v>
      </c>
      <c r="N876" s="7">
        <f t="shared" si="630"/>
        <v>210.7591794</v>
      </c>
    </row>
    <row r="877" ht="15.75" hidden="1" customHeight="1">
      <c r="A877" s="5" t="s">
        <v>13</v>
      </c>
      <c r="B877" s="39">
        <v>4607.0</v>
      </c>
      <c r="C877" s="12">
        <v>4757.0</v>
      </c>
      <c r="D877" s="5">
        <f t="shared" si="621"/>
        <v>0.15</v>
      </c>
      <c r="E877" s="5">
        <f t="shared" si="622"/>
        <v>39.14</v>
      </c>
      <c r="F877" s="5">
        <v>55.0</v>
      </c>
      <c r="G877" s="7">
        <f t="shared" si="623"/>
        <v>386.898</v>
      </c>
      <c r="H877" s="7">
        <f t="shared" si="624"/>
        <v>14.9565</v>
      </c>
      <c r="I877" s="7">
        <f t="shared" si="625"/>
        <v>74.25</v>
      </c>
      <c r="J877" s="7">
        <f t="shared" si="626"/>
        <v>186.66</v>
      </c>
      <c r="K877" s="7">
        <f t="shared" si="627"/>
        <v>4.245</v>
      </c>
      <c r="L877" s="7">
        <f t="shared" si="628"/>
        <v>761.1495</v>
      </c>
      <c r="M877" s="7">
        <f t="shared" si="629"/>
        <v>159.841395</v>
      </c>
      <c r="N877" s="7">
        <f t="shared" si="630"/>
        <v>920.990895</v>
      </c>
    </row>
    <row r="878" ht="15.75" hidden="1" customHeight="1">
      <c r="A878" s="5" t="s">
        <v>14</v>
      </c>
      <c r="B878" s="39">
        <v>3788.0</v>
      </c>
      <c r="C878" s="12">
        <v>3798.0</v>
      </c>
      <c r="D878" s="5">
        <f t="shared" si="621"/>
        <v>0.01</v>
      </c>
      <c r="E878" s="5">
        <f t="shared" si="622"/>
        <v>39.14</v>
      </c>
      <c r="F878" s="5">
        <v>55.0</v>
      </c>
      <c r="G878" s="7">
        <f t="shared" si="623"/>
        <v>25.7932</v>
      </c>
      <c r="H878" s="7">
        <f t="shared" si="624"/>
        <v>0.9971</v>
      </c>
      <c r="I878" s="7">
        <f t="shared" si="625"/>
        <v>4.95</v>
      </c>
      <c r="J878" s="7">
        <f t="shared" si="626"/>
        <v>12.444</v>
      </c>
      <c r="K878" s="7">
        <f t="shared" si="627"/>
        <v>0.283</v>
      </c>
      <c r="L878" s="7">
        <f t="shared" si="628"/>
        <v>138.6073</v>
      </c>
      <c r="M878" s="7">
        <f t="shared" si="629"/>
        <v>29.107533</v>
      </c>
      <c r="N878" s="7">
        <f t="shared" si="630"/>
        <v>167.714833</v>
      </c>
    </row>
    <row r="879" ht="15.75" hidden="1" customHeight="1">
      <c r="A879" s="5" t="s">
        <v>15</v>
      </c>
      <c r="B879" s="39">
        <v>3985.0</v>
      </c>
      <c r="C879" s="12">
        <v>3993.0</v>
      </c>
      <c r="D879" s="5">
        <f t="shared" si="621"/>
        <v>0.008</v>
      </c>
      <c r="E879" s="5">
        <f t="shared" si="622"/>
        <v>39.14</v>
      </c>
      <c r="F879" s="5">
        <v>55.0</v>
      </c>
      <c r="G879" s="7">
        <f t="shared" si="623"/>
        <v>20.63456</v>
      </c>
      <c r="H879" s="7">
        <f t="shared" si="624"/>
        <v>0.79768</v>
      </c>
      <c r="I879" s="7">
        <f t="shared" si="625"/>
        <v>3.96</v>
      </c>
      <c r="J879" s="7">
        <f t="shared" si="626"/>
        <v>9.9552</v>
      </c>
      <c r="K879" s="7">
        <f t="shared" si="627"/>
        <v>0.2264</v>
      </c>
      <c r="L879" s="7">
        <f t="shared" si="628"/>
        <v>129.71384</v>
      </c>
      <c r="M879" s="7">
        <f t="shared" si="629"/>
        <v>27.2399064</v>
      </c>
      <c r="N879" s="7">
        <f t="shared" si="630"/>
        <v>156.9537464</v>
      </c>
    </row>
    <row r="880" ht="15.75" hidden="1" customHeight="1">
      <c r="A880" s="5" t="s">
        <v>16</v>
      </c>
      <c r="B880" s="39">
        <v>3118.0</v>
      </c>
      <c r="C880" s="12">
        <v>3133.0</v>
      </c>
      <c r="D880" s="5">
        <f t="shared" si="621"/>
        <v>0.015</v>
      </c>
      <c r="E880" s="5">
        <f t="shared" si="622"/>
        <v>39.14</v>
      </c>
      <c r="F880" s="5">
        <v>55.0</v>
      </c>
      <c r="G880" s="7">
        <f t="shared" si="623"/>
        <v>38.6898</v>
      </c>
      <c r="H880" s="7">
        <f t="shared" si="624"/>
        <v>1.49565</v>
      </c>
      <c r="I880" s="7">
        <f t="shared" si="625"/>
        <v>7.425</v>
      </c>
      <c r="J880" s="7">
        <f t="shared" si="626"/>
        <v>18.666</v>
      </c>
      <c r="K880" s="7">
        <f t="shared" si="627"/>
        <v>0.4245</v>
      </c>
      <c r="L880" s="7">
        <f t="shared" si="628"/>
        <v>160.84095</v>
      </c>
      <c r="M880" s="7">
        <f t="shared" si="629"/>
        <v>33.7765995</v>
      </c>
      <c r="N880" s="7">
        <f t="shared" si="630"/>
        <v>194.6175495</v>
      </c>
    </row>
    <row r="881" ht="15.75" hidden="1" customHeight="1">
      <c r="A881" s="5" t="s">
        <v>17</v>
      </c>
      <c r="B881" s="39">
        <v>3787.0</v>
      </c>
      <c r="C881" s="12">
        <v>3795.0</v>
      </c>
      <c r="D881" s="5">
        <f t="shared" si="621"/>
        <v>0.008</v>
      </c>
      <c r="E881" s="5">
        <f t="shared" si="622"/>
        <v>39.14</v>
      </c>
      <c r="F881" s="5">
        <v>55.0</v>
      </c>
      <c r="G881" s="7">
        <f t="shared" si="623"/>
        <v>20.63456</v>
      </c>
      <c r="H881" s="7">
        <f t="shared" si="624"/>
        <v>0.79768</v>
      </c>
      <c r="I881" s="7">
        <f t="shared" si="625"/>
        <v>3.96</v>
      </c>
      <c r="J881" s="7">
        <f t="shared" si="626"/>
        <v>9.9552</v>
      </c>
      <c r="K881" s="7">
        <f t="shared" si="627"/>
        <v>0.2264</v>
      </c>
      <c r="L881" s="7">
        <f t="shared" si="628"/>
        <v>129.71384</v>
      </c>
      <c r="M881" s="7">
        <f t="shared" si="629"/>
        <v>27.2399064</v>
      </c>
      <c r="N881" s="7">
        <f t="shared" si="630"/>
        <v>156.9537464</v>
      </c>
    </row>
    <row r="882" ht="15.75" hidden="1" customHeight="1">
      <c r="A882" s="5" t="s">
        <v>18</v>
      </c>
      <c r="B882" s="39">
        <v>3592.0</v>
      </c>
      <c r="C882" s="12">
        <v>3600.0</v>
      </c>
      <c r="D882" s="5">
        <f t="shared" si="621"/>
        <v>0.008</v>
      </c>
      <c r="E882" s="5">
        <f t="shared" si="622"/>
        <v>39.14</v>
      </c>
      <c r="F882" s="5">
        <v>55.0</v>
      </c>
      <c r="G882" s="7">
        <f t="shared" si="623"/>
        <v>20.63456</v>
      </c>
      <c r="H882" s="7">
        <f t="shared" si="624"/>
        <v>0.79768</v>
      </c>
      <c r="I882" s="7">
        <f t="shared" si="625"/>
        <v>3.96</v>
      </c>
      <c r="J882" s="7">
        <f t="shared" si="626"/>
        <v>9.9552</v>
      </c>
      <c r="K882" s="7">
        <f t="shared" si="627"/>
        <v>0.2264</v>
      </c>
      <c r="L882" s="7">
        <f t="shared" si="628"/>
        <v>129.71384</v>
      </c>
      <c r="M882" s="7">
        <f t="shared" si="629"/>
        <v>27.2399064</v>
      </c>
      <c r="N882" s="7">
        <f t="shared" si="630"/>
        <v>156.9537464</v>
      </c>
    </row>
    <row r="883" ht="15.75" hidden="1" customHeight="1">
      <c r="A883" s="40" t="s">
        <v>19</v>
      </c>
      <c r="B883" s="39">
        <v>105202.0</v>
      </c>
      <c r="C883" s="12">
        <v>105890.0</v>
      </c>
      <c r="D883" s="5">
        <f t="shared" si="621"/>
        <v>0.688</v>
      </c>
      <c r="E883" s="5">
        <v>169.69</v>
      </c>
      <c r="F883" s="5">
        <v>78.05</v>
      </c>
      <c r="G883" s="7">
        <f t="shared" si="623"/>
        <v>1774.57216</v>
      </c>
      <c r="H883" s="7">
        <f t="shared" si="624"/>
        <v>68.60048</v>
      </c>
      <c r="I883" s="7">
        <f t="shared" si="625"/>
        <v>340.56</v>
      </c>
      <c r="J883" s="7">
        <f t="shared" si="626"/>
        <v>856.1472</v>
      </c>
      <c r="K883" s="7">
        <f t="shared" si="627"/>
        <v>19.4704</v>
      </c>
      <c r="L883" s="7">
        <f t="shared" si="628"/>
        <v>3307.09024</v>
      </c>
      <c r="M883" s="7">
        <f t="shared" si="629"/>
        <v>694.4889504</v>
      </c>
      <c r="N883" s="7">
        <f t="shared" si="630"/>
        <v>4001.57919</v>
      </c>
    </row>
    <row r="884" ht="15.75" hidden="1" customHeight="1">
      <c r="A884" s="5" t="s">
        <v>30</v>
      </c>
      <c r="B884" s="39">
        <v>15421.0</v>
      </c>
      <c r="C884" s="12">
        <v>15576.0</v>
      </c>
      <c r="D884" s="5">
        <f t="shared" si="621"/>
        <v>0.155</v>
      </c>
      <c r="E884" s="5">
        <f t="shared" ref="E884:E885" si="631">29.8+9.34</f>
        <v>39.14</v>
      </c>
      <c r="F884" s="5">
        <v>55.0</v>
      </c>
      <c r="G884" s="7">
        <f t="shared" si="623"/>
        <v>399.7946</v>
      </c>
      <c r="H884" s="7">
        <f t="shared" si="624"/>
        <v>15.45505</v>
      </c>
      <c r="I884" s="7">
        <f t="shared" si="625"/>
        <v>76.725</v>
      </c>
      <c r="J884" s="7">
        <f t="shared" si="626"/>
        <v>192.882</v>
      </c>
      <c r="K884" s="7">
        <f t="shared" si="627"/>
        <v>4.3865</v>
      </c>
      <c r="L884" s="7">
        <f t="shared" si="628"/>
        <v>783.38315</v>
      </c>
      <c r="M884" s="7">
        <f t="shared" si="629"/>
        <v>164.5104615</v>
      </c>
      <c r="N884" s="7">
        <f t="shared" si="630"/>
        <v>947.8936115</v>
      </c>
    </row>
    <row r="885" ht="15.75" hidden="1" customHeight="1">
      <c r="A885" s="5" t="s">
        <v>31</v>
      </c>
      <c r="B885" s="39">
        <v>74683.0</v>
      </c>
      <c r="C885" s="12">
        <v>75485.0</v>
      </c>
      <c r="D885" s="5">
        <f t="shared" si="621"/>
        <v>0.802</v>
      </c>
      <c r="E885" s="5">
        <f t="shared" si="631"/>
        <v>39.14</v>
      </c>
      <c r="F885" s="5">
        <v>55.0</v>
      </c>
      <c r="G885" s="7">
        <f t="shared" si="623"/>
        <v>2068.61464</v>
      </c>
      <c r="H885" s="7">
        <f t="shared" si="624"/>
        <v>79.96742</v>
      </c>
      <c r="I885" s="7">
        <f t="shared" si="625"/>
        <v>396.99</v>
      </c>
      <c r="J885" s="7">
        <f t="shared" si="626"/>
        <v>998.0088</v>
      </c>
      <c r="K885" s="7">
        <f t="shared" si="627"/>
        <v>22.6966</v>
      </c>
      <c r="L885" s="13">
        <f t="shared" si="628"/>
        <v>3660.41746</v>
      </c>
      <c r="M885" s="7">
        <f t="shared" si="629"/>
        <v>768.6876666</v>
      </c>
      <c r="N885" s="7">
        <f t="shared" si="630"/>
        <v>4429.105127</v>
      </c>
    </row>
    <row r="886" ht="15.75" hidden="1" customHeight="1">
      <c r="A886" s="5"/>
      <c r="C886" s="4"/>
      <c r="D886" s="5"/>
      <c r="G886" s="5"/>
      <c r="L886" s="18">
        <f>SUM(L875:L885)</f>
        <v>9557.88586</v>
      </c>
      <c r="M886" s="19">
        <f t="shared" si="629"/>
        <v>2007.156031</v>
      </c>
      <c r="N886" s="20">
        <f t="shared" si="630"/>
        <v>11565.04189</v>
      </c>
    </row>
    <row r="887" ht="15.75" hidden="1" customHeight="1">
      <c r="A887" s="5"/>
      <c r="C887" s="4"/>
      <c r="D887" s="5">
        <f>SUM(D875:D885)</f>
        <v>1.882</v>
      </c>
      <c r="G887" s="5"/>
    </row>
    <row r="888" ht="15.75" hidden="1" customHeight="1">
      <c r="A888" s="5"/>
      <c r="C888" s="4"/>
      <c r="D888" s="5"/>
      <c r="G888" s="5"/>
      <c r="I888" s="15" t="s">
        <v>66</v>
      </c>
      <c r="L888" s="17">
        <f>2884</f>
        <v>2884</v>
      </c>
    </row>
    <row r="889" ht="15.75" hidden="1" customHeight="1">
      <c r="A889" s="5" t="s">
        <v>68</v>
      </c>
      <c r="B889" s="15">
        <v>98886.0</v>
      </c>
      <c r="C889" s="4">
        <v>100573.0</v>
      </c>
      <c r="D889" s="5">
        <f>(C889-B889)/1000</f>
        <v>1.687</v>
      </c>
      <c r="G889" s="5"/>
      <c r="I889" s="15" t="s">
        <v>67</v>
      </c>
      <c r="L889" s="16">
        <f>L886-L888</f>
        <v>6673.88586</v>
      </c>
    </row>
    <row r="890" ht="15.75" hidden="1" customHeight="1">
      <c r="A890" s="5"/>
      <c r="C890" s="4"/>
      <c r="D890" s="5"/>
      <c r="G890" s="5"/>
    </row>
    <row r="891" ht="15.75" hidden="1" customHeight="1">
      <c r="A891" s="5"/>
      <c r="C891" s="4"/>
      <c r="D891" s="5"/>
      <c r="G891" s="5"/>
    </row>
    <row r="892" ht="15.75" hidden="1" customHeight="1">
      <c r="A892" s="1" t="s">
        <v>51</v>
      </c>
      <c r="C892" s="4"/>
      <c r="D892" s="5"/>
      <c r="G892" s="5"/>
    </row>
    <row r="893" ht="15.75" hidden="1" customHeight="1">
      <c r="A893" s="5" t="s">
        <v>11</v>
      </c>
      <c r="B893" s="39">
        <v>4886.0</v>
      </c>
      <c r="C893" s="41">
        <v>4934.0</v>
      </c>
      <c r="D893" s="5">
        <f t="shared" ref="D893:D903" si="632">(C893-B893)/1000</f>
        <v>0.048</v>
      </c>
      <c r="E893" s="5">
        <f t="shared" ref="E893:E900" si="633">29.8+9.34</f>
        <v>39.14</v>
      </c>
      <c r="F893" s="5">
        <v>55.0</v>
      </c>
      <c r="G893" s="7">
        <f t="shared" ref="G893:G903" si="634">D893*$G$2</f>
        <v>123.80736</v>
      </c>
      <c r="H893" s="7">
        <f t="shared" ref="H893:H903" si="635">D893*$H$2</f>
        <v>4.78608</v>
      </c>
      <c r="I893" s="7">
        <f t="shared" ref="I893:I903" si="636">D893*$I$2</f>
        <v>23.76</v>
      </c>
      <c r="J893" s="7">
        <f t="shared" ref="J893:J903" si="637">D893*$J$2</f>
        <v>59.7312</v>
      </c>
      <c r="K893" s="7">
        <f t="shared" ref="K893:K903" si="638">D893*$K$2</f>
        <v>1.3584</v>
      </c>
      <c r="L893" s="7">
        <f t="shared" ref="L893:L903" si="639">SUM(E893:K893)</f>
        <v>307.58304</v>
      </c>
      <c r="M893" s="7">
        <f t="shared" ref="M893:M904" si="640">L893*0.21</f>
        <v>64.5924384</v>
      </c>
      <c r="N893" s="7">
        <f t="shared" ref="N893:N904" si="641">L893+M893</f>
        <v>372.1754784</v>
      </c>
    </row>
    <row r="894" ht="15.75" hidden="1" customHeight="1">
      <c r="A894" s="5" t="s">
        <v>12</v>
      </c>
      <c r="B894" s="39">
        <v>3467.0</v>
      </c>
      <c r="C894" s="41">
        <v>3513.0</v>
      </c>
      <c r="D894" s="5">
        <f t="shared" si="632"/>
        <v>0.046</v>
      </c>
      <c r="E894" s="5">
        <f t="shared" si="633"/>
        <v>39.14</v>
      </c>
      <c r="F894" s="5">
        <v>55.0</v>
      </c>
      <c r="G894" s="7">
        <f t="shared" si="634"/>
        <v>118.64872</v>
      </c>
      <c r="H894" s="7">
        <f t="shared" si="635"/>
        <v>4.58666</v>
      </c>
      <c r="I894" s="7">
        <f t="shared" si="636"/>
        <v>22.77</v>
      </c>
      <c r="J894" s="7">
        <f t="shared" si="637"/>
        <v>57.2424</v>
      </c>
      <c r="K894" s="7">
        <f t="shared" si="638"/>
        <v>1.3018</v>
      </c>
      <c r="L894" s="7">
        <f t="shared" si="639"/>
        <v>298.68958</v>
      </c>
      <c r="M894" s="7">
        <f t="shared" si="640"/>
        <v>62.7248118</v>
      </c>
      <c r="N894" s="7">
        <f t="shared" si="641"/>
        <v>361.4143918</v>
      </c>
    </row>
    <row r="895" ht="15.75" hidden="1" customHeight="1">
      <c r="A895" s="5" t="s">
        <v>13</v>
      </c>
      <c r="B895" s="39">
        <v>4757.0</v>
      </c>
      <c r="C895" s="41">
        <v>4845.0</v>
      </c>
      <c r="D895" s="5">
        <f t="shared" si="632"/>
        <v>0.088</v>
      </c>
      <c r="E895" s="5">
        <f t="shared" si="633"/>
        <v>39.14</v>
      </c>
      <c r="F895" s="5">
        <v>55.0</v>
      </c>
      <c r="G895" s="7">
        <f t="shared" si="634"/>
        <v>226.98016</v>
      </c>
      <c r="H895" s="7">
        <f t="shared" si="635"/>
        <v>8.77448</v>
      </c>
      <c r="I895" s="7">
        <f t="shared" si="636"/>
        <v>43.56</v>
      </c>
      <c r="J895" s="7">
        <f t="shared" si="637"/>
        <v>109.5072</v>
      </c>
      <c r="K895" s="7">
        <f t="shared" si="638"/>
        <v>2.4904</v>
      </c>
      <c r="L895" s="7">
        <f t="shared" si="639"/>
        <v>485.45224</v>
      </c>
      <c r="M895" s="7">
        <f t="shared" si="640"/>
        <v>101.9449704</v>
      </c>
      <c r="N895" s="7">
        <f t="shared" si="641"/>
        <v>587.3972104</v>
      </c>
    </row>
    <row r="896" ht="15.75" hidden="1" customHeight="1">
      <c r="A896" s="5" t="s">
        <v>14</v>
      </c>
      <c r="B896" s="39">
        <v>3798.0</v>
      </c>
      <c r="C896" s="41">
        <v>3812.0</v>
      </c>
      <c r="D896" s="5">
        <f t="shared" si="632"/>
        <v>0.014</v>
      </c>
      <c r="E896" s="5">
        <f t="shared" si="633"/>
        <v>39.14</v>
      </c>
      <c r="F896" s="5">
        <v>55.0</v>
      </c>
      <c r="G896" s="7">
        <f t="shared" si="634"/>
        <v>36.11048</v>
      </c>
      <c r="H896" s="7">
        <f t="shared" si="635"/>
        <v>1.39594</v>
      </c>
      <c r="I896" s="7">
        <f t="shared" si="636"/>
        <v>6.93</v>
      </c>
      <c r="J896" s="7">
        <f t="shared" si="637"/>
        <v>17.4216</v>
      </c>
      <c r="K896" s="7">
        <f t="shared" si="638"/>
        <v>0.3962</v>
      </c>
      <c r="L896" s="7">
        <f t="shared" si="639"/>
        <v>156.39422</v>
      </c>
      <c r="M896" s="7">
        <f t="shared" si="640"/>
        <v>32.8427862</v>
      </c>
      <c r="N896" s="7">
        <f t="shared" si="641"/>
        <v>189.2370062</v>
      </c>
    </row>
    <row r="897" ht="15.75" hidden="1" customHeight="1">
      <c r="A897" s="5" t="s">
        <v>15</v>
      </c>
      <c r="B897" s="39">
        <v>3993.0</v>
      </c>
      <c r="C897" s="41">
        <v>4155.0</v>
      </c>
      <c r="D897" s="5">
        <f t="shared" si="632"/>
        <v>0.162</v>
      </c>
      <c r="E897" s="5">
        <f t="shared" si="633"/>
        <v>39.14</v>
      </c>
      <c r="F897" s="5">
        <v>55.0</v>
      </c>
      <c r="G897" s="7">
        <f t="shared" si="634"/>
        <v>417.84984</v>
      </c>
      <c r="H897" s="7">
        <f t="shared" si="635"/>
        <v>16.15302</v>
      </c>
      <c r="I897" s="7">
        <f t="shared" si="636"/>
        <v>80.19</v>
      </c>
      <c r="J897" s="7">
        <f t="shared" si="637"/>
        <v>201.5928</v>
      </c>
      <c r="K897" s="7">
        <f t="shared" si="638"/>
        <v>4.5846</v>
      </c>
      <c r="L897" s="7">
        <f t="shared" si="639"/>
        <v>814.51026</v>
      </c>
      <c r="M897" s="7">
        <f t="shared" si="640"/>
        <v>171.0471546</v>
      </c>
      <c r="N897" s="7">
        <f t="shared" si="641"/>
        <v>985.5574146</v>
      </c>
    </row>
    <row r="898" ht="15.75" hidden="1" customHeight="1">
      <c r="A898" s="5" t="s">
        <v>16</v>
      </c>
      <c r="B898" s="39">
        <v>3133.0</v>
      </c>
      <c r="C898" s="41">
        <v>3154.0</v>
      </c>
      <c r="D898" s="5">
        <f t="shared" si="632"/>
        <v>0.021</v>
      </c>
      <c r="E898" s="5">
        <f t="shared" si="633"/>
        <v>39.14</v>
      </c>
      <c r="F898" s="5">
        <v>55.0</v>
      </c>
      <c r="G898" s="7">
        <f t="shared" si="634"/>
        <v>54.16572</v>
      </c>
      <c r="H898" s="7">
        <f t="shared" si="635"/>
        <v>2.09391</v>
      </c>
      <c r="I898" s="7">
        <f t="shared" si="636"/>
        <v>10.395</v>
      </c>
      <c r="J898" s="7">
        <f t="shared" si="637"/>
        <v>26.1324</v>
      </c>
      <c r="K898" s="7">
        <f t="shared" si="638"/>
        <v>0.5943</v>
      </c>
      <c r="L898" s="7">
        <f t="shared" si="639"/>
        <v>187.52133</v>
      </c>
      <c r="M898" s="7">
        <f t="shared" si="640"/>
        <v>39.3794793</v>
      </c>
      <c r="N898" s="7">
        <f t="shared" si="641"/>
        <v>226.9008093</v>
      </c>
    </row>
    <row r="899" ht="15.75" hidden="1" customHeight="1">
      <c r="A899" s="5" t="s">
        <v>17</v>
      </c>
      <c r="B899" s="39">
        <v>3795.0</v>
      </c>
      <c r="C899" s="41">
        <v>3835.0</v>
      </c>
      <c r="D899" s="5">
        <f t="shared" si="632"/>
        <v>0.04</v>
      </c>
      <c r="E899" s="5">
        <f t="shared" si="633"/>
        <v>39.14</v>
      </c>
      <c r="F899" s="5">
        <v>55.0</v>
      </c>
      <c r="G899" s="7">
        <f t="shared" si="634"/>
        <v>103.1728</v>
      </c>
      <c r="H899" s="7">
        <f t="shared" si="635"/>
        <v>3.9884</v>
      </c>
      <c r="I899" s="7">
        <f t="shared" si="636"/>
        <v>19.8</v>
      </c>
      <c r="J899" s="7">
        <f t="shared" si="637"/>
        <v>49.776</v>
      </c>
      <c r="K899" s="7">
        <f t="shared" si="638"/>
        <v>1.132</v>
      </c>
      <c r="L899" s="7">
        <f t="shared" si="639"/>
        <v>272.0092</v>
      </c>
      <c r="M899" s="7">
        <f t="shared" si="640"/>
        <v>57.121932</v>
      </c>
      <c r="N899" s="7">
        <f t="shared" si="641"/>
        <v>329.131132</v>
      </c>
    </row>
    <row r="900" ht="15.75" hidden="1" customHeight="1">
      <c r="A900" s="5" t="s">
        <v>18</v>
      </c>
      <c r="B900" s="39">
        <v>3600.0</v>
      </c>
      <c r="C900" s="41">
        <v>3657.0</v>
      </c>
      <c r="D900" s="5">
        <f t="shared" si="632"/>
        <v>0.057</v>
      </c>
      <c r="E900" s="5">
        <f t="shared" si="633"/>
        <v>39.14</v>
      </c>
      <c r="F900" s="5">
        <v>55.0</v>
      </c>
      <c r="G900" s="7">
        <f t="shared" si="634"/>
        <v>147.02124</v>
      </c>
      <c r="H900" s="7">
        <f t="shared" si="635"/>
        <v>5.68347</v>
      </c>
      <c r="I900" s="7">
        <f t="shared" si="636"/>
        <v>28.215</v>
      </c>
      <c r="J900" s="7">
        <f t="shared" si="637"/>
        <v>70.9308</v>
      </c>
      <c r="K900" s="7">
        <f t="shared" si="638"/>
        <v>1.6131</v>
      </c>
      <c r="L900" s="7">
        <f t="shared" si="639"/>
        <v>347.60361</v>
      </c>
      <c r="M900" s="7">
        <f t="shared" si="640"/>
        <v>72.9967581</v>
      </c>
      <c r="N900" s="7">
        <f t="shared" si="641"/>
        <v>420.6003681</v>
      </c>
    </row>
    <row r="901" ht="15.75" hidden="1" customHeight="1">
      <c r="A901" s="40" t="s">
        <v>19</v>
      </c>
      <c r="B901" s="39">
        <v>105890.0</v>
      </c>
      <c r="C901" s="41">
        <v>106724.0</v>
      </c>
      <c r="D901" s="5">
        <f t="shared" si="632"/>
        <v>0.834</v>
      </c>
      <c r="E901" s="5">
        <v>169.69</v>
      </c>
      <c r="F901" s="5">
        <v>78.05</v>
      </c>
      <c r="G901" s="7">
        <f t="shared" si="634"/>
        <v>2151.15288</v>
      </c>
      <c r="H901" s="7">
        <f t="shared" si="635"/>
        <v>83.15814</v>
      </c>
      <c r="I901" s="7">
        <f t="shared" si="636"/>
        <v>412.83</v>
      </c>
      <c r="J901" s="7">
        <f t="shared" si="637"/>
        <v>1037.8296</v>
      </c>
      <c r="K901" s="7">
        <f t="shared" si="638"/>
        <v>23.6022</v>
      </c>
      <c r="L901" s="7">
        <f t="shared" si="639"/>
        <v>3956.31282</v>
      </c>
      <c r="M901" s="7">
        <f t="shared" si="640"/>
        <v>830.8256922</v>
      </c>
      <c r="N901" s="7">
        <f t="shared" si="641"/>
        <v>4787.138512</v>
      </c>
    </row>
    <row r="902" ht="15.75" hidden="1" customHeight="1">
      <c r="A902" s="5" t="s">
        <v>30</v>
      </c>
      <c r="B902" s="39">
        <v>15576.0</v>
      </c>
      <c r="C902" s="41">
        <v>15795.0</v>
      </c>
      <c r="D902" s="5">
        <f t="shared" si="632"/>
        <v>0.219</v>
      </c>
      <c r="E902" s="5">
        <f t="shared" ref="E902:E903" si="642">29.8+9.34</f>
        <v>39.14</v>
      </c>
      <c r="F902" s="5">
        <v>55.0</v>
      </c>
      <c r="G902" s="7">
        <f t="shared" si="634"/>
        <v>564.87108</v>
      </c>
      <c r="H902" s="7">
        <f t="shared" si="635"/>
        <v>21.83649</v>
      </c>
      <c r="I902" s="7">
        <f t="shared" si="636"/>
        <v>108.405</v>
      </c>
      <c r="J902" s="7">
        <f t="shared" si="637"/>
        <v>272.5236</v>
      </c>
      <c r="K902" s="7">
        <f t="shared" si="638"/>
        <v>6.1977</v>
      </c>
      <c r="L902" s="7">
        <f t="shared" si="639"/>
        <v>1067.97387</v>
      </c>
      <c r="M902" s="7">
        <f t="shared" si="640"/>
        <v>224.2745127</v>
      </c>
      <c r="N902" s="7">
        <f t="shared" si="641"/>
        <v>1292.248383</v>
      </c>
    </row>
    <row r="903" ht="15.75" hidden="1" customHeight="1">
      <c r="A903" s="5" t="s">
        <v>31</v>
      </c>
      <c r="B903" s="39">
        <v>75485.0</v>
      </c>
      <c r="C903" s="41">
        <v>76598.0</v>
      </c>
      <c r="D903" s="5">
        <f t="shared" si="632"/>
        <v>1.113</v>
      </c>
      <c r="E903" s="5">
        <f t="shared" si="642"/>
        <v>39.14</v>
      </c>
      <c r="F903" s="5">
        <v>55.0</v>
      </c>
      <c r="G903" s="7">
        <f t="shared" si="634"/>
        <v>2870.78316</v>
      </c>
      <c r="H903" s="7">
        <f t="shared" si="635"/>
        <v>110.97723</v>
      </c>
      <c r="I903" s="7">
        <f t="shared" si="636"/>
        <v>550.935</v>
      </c>
      <c r="J903" s="7">
        <f t="shared" si="637"/>
        <v>1385.0172</v>
      </c>
      <c r="K903" s="7">
        <f t="shared" si="638"/>
        <v>31.4979</v>
      </c>
      <c r="L903" s="13">
        <f t="shared" si="639"/>
        <v>5043.35049</v>
      </c>
      <c r="M903" s="7">
        <f t="shared" si="640"/>
        <v>1059.103603</v>
      </c>
      <c r="N903" s="7">
        <f t="shared" si="641"/>
        <v>6102.454093</v>
      </c>
    </row>
    <row r="904" ht="15.75" hidden="1" customHeight="1">
      <c r="A904" s="5"/>
      <c r="C904" s="4"/>
      <c r="D904" s="5"/>
      <c r="G904" s="5"/>
      <c r="L904" s="18">
        <f>SUM(L893:L903)</f>
        <v>12937.40066</v>
      </c>
      <c r="M904" s="19">
        <f t="shared" si="640"/>
        <v>2716.854139</v>
      </c>
      <c r="N904" s="20">
        <f t="shared" si="641"/>
        <v>15654.2548</v>
      </c>
    </row>
    <row r="905" ht="15.75" hidden="1" customHeight="1">
      <c r="A905" s="5"/>
      <c r="C905" s="4"/>
      <c r="D905" s="5">
        <f>SUM(D893:D903)</f>
        <v>2.642</v>
      </c>
      <c r="G905" s="5"/>
    </row>
    <row r="906" ht="15.75" hidden="1" customHeight="1">
      <c r="A906" s="5"/>
      <c r="C906" s="4"/>
      <c r="D906" s="5"/>
      <c r="G906" s="5"/>
      <c r="I906" s="15" t="s">
        <v>66</v>
      </c>
      <c r="L906" s="17">
        <f>2884</f>
        <v>2884</v>
      </c>
    </row>
    <row r="907" ht="15.75" hidden="1" customHeight="1">
      <c r="A907" s="5" t="s">
        <v>68</v>
      </c>
      <c r="B907" s="15">
        <v>98886.0</v>
      </c>
      <c r="C907" s="4">
        <v>100573.0</v>
      </c>
      <c r="D907" s="5">
        <f>(C907-B907)/1000</f>
        <v>1.687</v>
      </c>
      <c r="G907" s="5"/>
      <c r="I907" s="15" t="s">
        <v>67</v>
      </c>
      <c r="L907" s="16">
        <f>L904-L906</f>
        <v>10053.40066</v>
      </c>
    </row>
    <row r="908" ht="15.75" hidden="1" customHeight="1">
      <c r="A908" s="5"/>
      <c r="C908" s="4"/>
      <c r="D908" s="5"/>
      <c r="G908" s="5"/>
    </row>
    <row r="909" ht="15.75" hidden="1" customHeight="1">
      <c r="A909" s="5"/>
      <c r="C909" s="4"/>
      <c r="D909" s="5"/>
      <c r="G909" s="5"/>
    </row>
    <row r="910" ht="15.75" hidden="1" customHeight="1">
      <c r="A910" s="5" t="s">
        <v>70</v>
      </c>
      <c r="C910" s="4"/>
      <c r="D910" s="5"/>
      <c r="G910" s="5"/>
    </row>
    <row r="911" ht="15.75" hidden="1" customHeight="1">
      <c r="A911" s="1"/>
      <c r="C911" s="4"/>
      <c r="D911" s="5"/>
      <c r="G911" s="5"/>
    </row>
    <row r="912" ht="15.75" hidden="1" customHeight="1">
      <c r="A912" s="5" t="s">
        <v>11</v>
      </c>
      <c r="B912" s="42">
        <v>4934.0</v>
      </c>
      <c r="C912" s="41">
        <v>4992.0</v>
      </c>
      <c r="D912" s="5">
        <f t="shared" ref="D912:D922" si="643">(C912-B912)/1000</f>
        <v>0.058</v>
      </c>
      <c r="E912" s="5">
        <f t="shared" ref="E912:E919" si="644">29.8+9.34</f>
        <v>39.14</v>
      </c>
      <c r="F912" s="5">
        <v>55.0</v>
      </c>
      <c r="G912" s="7">
        <f t="shared" ref="G912:G922" si="645">D912*$G$2</f>
        <v>149.60056</v>
      </c>
      <c r="H912" s="7">
        <f t="shared" ref="H912:H922" si="646">D912*$H$2</f>
        <v>5.78318</v>
      </c>
      <c r="I912" s="7">
        <f t="shared" ref="I912:I922" si="647">D912*$I$2</f>
        <v>28.71</v>
      </c>
      <c r="J912" s="7">
        <f t="shared" ref="J912:J922" si="648">D912*$J$2</f>
        <v>72.1752</v>
      </c>
      <c r="K912" s="7">
        <f t="shared" ref="K912:K922" si="649">D912*$K$2</f>
        <v>1.6414</v>
      </c>
      <c r="L912" s="7">
        <f t="shared" ref="L912:L922" si="650">SUM(E912:K912)</f>
        <v>352.05034</v>
      </c>
      <c r="M912" s="7">
        <f t="shared" ref="M912:M923" si="651">L912*0.21</f>
        <v>73.9305714</v>
      </c>
      <c r="N912" s="7">
        <f t="shared" ref="N912:N923" si="652">L912+M912</f>
        <v>425.9809114</v>
      </c>
    </row>
    <row r="913" ht="15.75" hidden="1" customHeight="1">
      <c r="A913" s="5" t="s">
        <v>12</v>
      </c>
      <c r="B913" s="42">
        <v>3513.0</v>
      </c>
      <c r="C913" s="41">
        <v>3538.0</v>
      </c>
      <c r="D913" s="5">
        <f t="shared" si="643"/>
        <v>0.025</v>
      </c>
      <c r="E913" s="5">
        <f t="shared" si="644"/>
        <v>39.14</v>
      </c>
      <c r="F913" s="5">
        <v>55.0</v>
      </c>
      <c r="G913" s="7">
        <f t="shared" si="645"/>
        <v>64.483</v>
      </c>
      <c r="H913" s="7">
        <f t="shared" si="646"/>
        <v>2.49275</v>
      </c>
      <c r="I913" s="7">
        <f t="shared" si="647"/>
        <v>12.375</v>
      </c>
      <c r="J913" s="7">
        <f t="shared" si="648"/>
        <v>31.11</v>
      </c>
      <c r="K913" s="7">
        <f t="shared" si="649"/>
        <v>0.7075</v>
      </c>
      <c r="L913" s="7">
        <f t="shared" si="650"/>
        <v>205.30825</v>
      </c>
      <c r="M913" s="7">
        <f t="shared" si="651"/>
        <v>43.1147325</v>
      </c>
      <c r="N913" s="7">
        <f t="shared" si="652"/>
        <v>248.4229825</v>
      </c>
    </row>
    <row r="914" ht="15.75" hidden="1" customHeight="1">
      <c r="A914" s="5" t="s">
        <v>13</v>
      </c>
      <c r="B914" s="42">
        <v>4845.0</v>
      </c>
      <c r="C914" s="41">
        <v>4892.0</v>
      </c>
      <c r="D914" s="5">
        <f t="shared" si="643"/>
        <v>0.047</v>
      </c>
      <c r="E914" s="5">
        <f t="shared" si="644"/>
        <v>39.14</v>
      </c>
      <c r="F914" s="5">
        <v>55.0</v>
      </c>
      <c r="G914" s="7">
        <f t="shared" si="645"/>
        <v>121.22804</v>
      </c>
      <c r="H914" s="7">
        <f t="shared" si="646"/>
        <v>4.68637</v>
      </c>
      <c r="I914" s="7">
        <f t="shared" si="647"/>
        <v>23.265</v>
      </c>
      <c r="J914" s="7">
        <f t="shared" si="648"/>
        <v>58.4868</v>
      </c>
      <c r="K914" s="7">
        <f t="shared" si="649"/>
        <v>1.3301</v>
      </c>
      <c r="L914" s="7">
        <f t="shared" si="650"/>
        <v>303.13631</v>
      </c>
      <c r="M914" s="7">
        <f t="shared" si="651"/>
        <v>63.6586251</v>
      </c>
      <c r="N914" s="7">
        <f t="shared" si="652"/>
        <v>366.7949351</v>
      </c>
    </row>
    <row r="915" ht="15.75" hidden="1" customHeight="1">
      <c r="A915" s="5" t="s">
        <v>14</v>
      </c>
      <c r="B915" s="42">
        <v>3812.0</v>
      </c>
      <c r="C915" s="41">
        <v>3833.0</v>
      </c>
      <c r="D915" s="5">
        <f t="shared" si="643"/>
        <v>0.021</v>
      </c>
      <c r="E915" s="5">
        <f t="shared" si="644"/>
        <v>39.14</v>
      </c>
      <c r="F915" s="5">
        <v>55.0</v>
      </c>
      <c r="G915" s="7">
        <f t="shared" si="645"/>
        <v>54.16572</v>
      </c>
      <c r="H915" s="7">
        <f t="shared" si="646"/>
        <v>2.09391</v>
      </c>
      <c r="I915" s="7">
        <f t="shared" si="647"/>
        <v>10.395</v>
      </c>
      <c r="J915" s="7">
        <f t="shared" si="648"/>
        <v>26.1324</v>
      </c>
      <c r="K915" s="7">
        <f t="shared" si="649"/>
        <v>0.5943</v>
      </c>
      <c r="L915" s="7">
        <f t="shared" si="650"/>
        <v>187.52133</v>
      </c>
      <c r="M915" s="7">
        <f t="shared" si="651"/>
        <v>39.3794793</v>
      </c>
      <c r="N915" s="7">
        <f t="shared" si="652"/>
        <v>226.9008093</v>
      </c>
    </row>
    <row r="916" ht="15.75" hidden="1" customHeight="1">
      <c r="A916" s="5" t="s">
        <v>15</v>
      </c>
      <c r="B916" s="42">
        <v>4155.0</v>
      </c>
      <c r="C916" s="41">
        <v>4307.0</v>
      </c>
      <c r="D916" s="5">
        <f t="shared" si="643"/>
        <v>0.152</v>
      </c>
      <c r="E916" s="5">
        <f t="shared" si="644"/>
        <v>39.14</v>
      </c>
      <c r="F916" s="5">
        <v>55.0</v>
      </c>
      <c r="G916" s="7">
        <f t="shared" si="645"/>
        <v>392.05664</v>
      </c>
      <c r="H916" s="7">
        <f t="shared" si="646"/>
        <v>15.15592</v>
      </c>
      <c r="I916" s="7">
        <f t="shared" si="647"/>
        <v>75.24</v>
      </c>
      <c r="J916" s="7">
        <f t="shared" si="648"/>
        <v>189.1488</v>
      </c>
      <c r="K916" s="7">
        <f t="shared" si="649"/>
        <v>4.3016</v>
      </c>
      <c r="L916" s="7">
        <f t="shared" si="650"/>
        <v>770.04296</v>
      </c>
      <c r="M916" s="7">
        <f t="shared" si="651"/>
        <v>161.7090216</v>
      </c>
      <c r="N916" s="7">
        <f t="shared" si="652"/>
        <v>931.7519816</v>
      </c>
    </row>
    <row r="917" ht="15.75" hidden="1" customHeight="1">
      <c r="A917" s="5" t="s">
        <v>16</v>
      </c>
      <c r="B917" s="42">
        <v>3154.0</v>
      </c>
      <c r="C917" s="41">
        <v>3176.0</v>
      </c>
      <c r="D917" s="5">
        <f t="shared" si="643"/>
        <v>0.022</v>
      </c>
      <c r="E917" s="5">
        <f t="shared" si="644"/>
        <v>39.14</v>
      </c>
      <c r="F917" s="5">
        <v>55.0</v>
      </c>
      <c r="G917" s="7">
        <f t="shared" si="645"/>
        <v>56.74504</v>
      </c>
      <c r="H917" s="7">
        <f t="shared" si="646"/>
        <v>2.19362</v>
      </c>
      <c r="I917" s="7">
        <f t="shared" si="647"/>
        <v>10.89</v>
      </c>
      <c r="J917" s="7">
        <f t="shared" si="648"/>
        <v>27.3768</v>
      </c>
      <c r="K917" s="7">
        <f t="shared" si="649"/>
        <v>0.6226</v>
      </c>
      <c r="L917" s="7">
        <f t="shared" si="650"/>
        <v>191.96806</v>
      </c>
      <c r="M917" s="7">
        <f t="shared" si="651"/>
        <v>40.3132926</v>
      </c>
      <c r="N917" s="7">
        <f t="shared" si="652"/>
        <v>232.2813526</v>
      </c>
    </row>
    <row r="918" ht="15.75" hidden="1" customHeight="1">
      <c r="A918" s="5" t="s">
        <v>17</v>
      </c>
      <c r="B918" s="42">
        <v>3835.0</v>
      </c>
      <c r="C918" s="41">
        <v>3908.0</v>
      </c>
      <c r="D918" s="5">
        <f t="shared" si="643"/>
        <v>0.073</v>
      </c>
      <c r="E918" s="5">
        <f t="shared" si="644"/>
        <v>39.14</v>
      </c>
      <c r="F918" s="5">
        <v>55.0</v>
      </c>
      <c r="G918" s="7">
        <f t="shared" si="645"/>
        <v>188.29036</v>
      </c>
      <c r="H918" s="7">
        <f t="shared" si="646"/>
        <v>7.27883</v>
      </c>
      <c r="I918" s="7">
        <f t="shared" si="647"/>
        <v>36.135</v>
      </c>
      <c r="J918" s="7">
        <f t="shared" si="648"/>
        <v>90.8412</v>
      </c>
      <c r="K918" s="7">
        <f t="shared" si="649"/>
        <v>2.0659</v>
      </c>
      <c r="L918" s="7">
        <f t="shared" si="650"/>
        <v>418.75129</v>
      </c>
      <c r="M918" s="7">
        <f t="shared" si="651"/>
        <v>87.9377709</v>
      </c>
      <c r="N918" s="7">
        <f t="shared" si="652"/>
        <v>506.6890609</v>
      </c>
    </row>
    <row r="919" ht="15.75" hidden="1" customHeight="1">
      <c r="A919" s="5" t="s">
        <v>18</v>
      </c>
      <c r="B919" s="42">
        <v>3657.0</v>
      </c>
      <c r="C919" s="41">
        <v>3727.0</v>
      </c>
      <c r="D919" s="5">
        <f t="shared" si="643"/>
        <v>0.07</v>
      </c>
      <c r="E919" s="5">
        <f t="shared" si="644"/>
        <v>39.14</v>
      </c>
      <c r="F919" s="5">
        <v>55.0</v>
      </c>
      <c r="G919" s="7">
        <f t="shared" si="645"/>
        <v>180.5524</v>
      </c>
      <c r="H919" s="7">
        <f t="shared" si="646"/>
        <v>6.9797</v>
      </c>
      <c r="I919" s="7">
        <f t="shared" si="647"/>
        <v>34.65</v>
      </c>
      <c r="J919" s="7">
        <f t="shared" si="648"/>
        <v>87.108</v>
      </c>
      <c r="K919" s="7">
        <f t="shared" si="649"/>
        <v>1.981</v>
      </c>
      <c r="L919" s="7">
        <f t="shared" si="650"/>
        <v>405.4111</v>
      </c>
      <c r="M919" s="7">
        <f t="shared" si="651"/>
        <v>85.136331</v>
      </c>
      <c r="N919" s="7">
        <f t="shared" si="652"/>
        <v>490.547431</v>
      </c>
    </row>
    <row r="920" ht="15.75" hidden="1" customHeight="1">
      <c r="A920" s="40" t="s">
        <v>19</v>
      </c>
      <c r="B920" s="42">
        <v>106724.0</v>
      </c>
      <c r="C920" s="41">
        <v>107580.0</v>
      </c>
      <c r="D920" s="5">
        <f t="shared" si="643"/>
        <v>0.856</v>
      </c>
      <c r="E920" s="5">
        <v>169.69</v>
      </c>
      <c r="F920" s="5">
        <v>78.05</v>
      </c>
      <c r="G920" s="7">
        <f t="shared" si="645"/>
        <v>2207.89792</v>
      </c>
      <c r="H920" s="7">
        <f t="shared" si="646"/>
        <v>85.35176</v>
      </c>
      <c r="I920" s="7">
        <f t="shared" si="647"/>
        <v>423.72</v>
      </c>
      <c r="J920" s="7">
        <f t="shared" si="648"/>
        <v>1065.2064</v>
      </c>
      <c r="K920" s="7">
        <f t="shared" si="649"/>
        <v>24.2248</v>
      </c>
      <c r="L920" s="7">
        <f t="shared" si="650"/>
        <v>4054.14088</v>
      </c>
      <c r="M920" s="7">
        <f t="shared" si="651"/>
        <v>851.3695848</v>
      </c>
      <c r="N920" s="7">
        <f t="shared" si="652"/>
        <v>4905.510465</v>
      </c>
    </row>
    <row r="921" ht="15.75" hidden="1" customHeight="1">
      <c r="A921" s="5" t="s">
        <v>30</v>
      </c>
      <c r="B921" s="42">
        <v>15795.0</v>
      </c>
      <c r="C921" s="41">
        <v>15990.0</v>
      </c>
      <c r="D921" s="5">
        <f t="shared" si="643"/>
        <v>0.195</v>
      </c>
      <c r="E921" s="5">
        <f t="shared" ref="E921:E922" si="653">29.8+9.34</f>
        <v>39.14</v>
      </c>
      <c r="F921" s="5">
        <v>55.0</v>
      </c>
      <c r="G921" s="7">
        <f t="shared" si="645"/>
        <v>502.9674</v>
      </c>
      <c r="H921" s="7">
        <f t="shared" si="646"/>
        <v>19.44345</v>
      </c>
      <c r="I921" s="7">
        <f t="shared" si="647"/>
        <v>96.525</v>
      </c>
      <c r="J921" s="7">
        <f t="shared" si="648"/>
        <v>242.658</v>
      </c>
      <c r="K921" s="7">
        <f t="shared" si="649"/>
        <v>5.5185</v>
      </c>
      <c r="L921" s="7">
        <f t="shared" si="650"/>
        <v>961.25235</v>
      </c>
      <c r="M921" s="7">
        <f t="shared" si="651"/>
        <v>201.8629935</v>
      </c>
      <c r="N921" s="7">
        <f t="shared" si="652"/>
        <v>1163.115344</v>
      </c>
    </row>
    <row r="922" ht="15.75" hidden="1" customHeight="1">
      <c r="A922" s="5" t="s">
        <v>31</v>
      </c>
      <c r="B922" s="42">
        <v>76598.0</v>
      </c>
      <c r="C922" s="41">
        <v>77596.0</v>
      </c>
      <c r="D922" s="5">
        <f t="shared" si="643"/>
        <v>0.998</v>
      </c>
      <c r="E922" s="5">
        <f t="shared" si="653"/>
        <v>39.14</v>
      </c>
      <c r="F922" s="5">
        <v>55.0</v>
      </c>
      <c r="G922" s="7">
        <f t="shared" si="645"/>
        <v>2574.16136</v>
      </c>
      <c r="H922" s="7">
        <f t="shared" si="646"/>
        <v>99.51058</v>
      </c>
      <c r="I922" s="7">
        <f t="shared" si="647"/>
        <v>494.01</v>
      </c>
      <c r="J922" s="7">
        <f t="shared" si="648"/>
        <v>1241.9112</v>
      </c>
      <c r="K922" s="7">
        <f t="shared" si="649"/>
        <v>28.2434</v>
      </c>
      <c r="L922" s="13">
        <f t="shared" si="650"/>
        <v>4531.97654</v>
      </c>
      <c r="M922" s="7">
        <f t="shared" si="651"/>
        <v>951.7150734</v>
      </c>
      <c r="N922" s="7">
        <f t="shared" si="652"/>
        <v>5483.691613</v>
      </c>
    </row>
    <row r="923" ht="15.75" hidden="1" customHeight="1">
      <c r="A923" s="5"/>
      <c r="C923" s="4"/>
      <c r="D923" s="5"/>
      <c r="G923" s="5"/>
      <c r="L923" s="18">
        <f>SUM(L912:L922)</f>
        <v>12381.55941</v>
      </c>
      <c r="M923" s="19">
        <f t="shared" si="651"/>
        <v>2600.127476</v>
      </c>
      <c r="N923" s="20">
        <f t="shared" si="652"/>
        <v>14981.68689</v>
      </c>
    </row>
    <row r="924" ht="15.75" hidden="1" customHeight="1">
      <c r="A924" s="5"/>
      <c r="C924" s="4"/>
      <c r="D924" s="5">
        <f>SUM(D912:D922)</f>
        <v>2.517</v>
      </c>
      <c r="G924" s="5"/>
    </row>
    <row r="925" ht="15.75" hidden="1" customHeight="1">
      <c r="A925" s="5"/>
      <c r="C925" s="4"/>
      <c r="D925" s="5"/>
      <c r="G925" s="5"/>
      <c r="I925" s="15" t="s">
        <v>66</v>
      </c>
      <c r="L925" s="17">
        <f>2884</f>
        <v>2884</v>
      </c>
    </row>
    <row r="926" ht="15.75" hidden="1" customHeight="1">
      <c r="A926" s="5" t="s">
        <v>68</v>
      </c>
      <c r="B926" s="15">
        <v>100573.0</v>
      </c>
      <c r="C926" s="4">
        <v>100573.0</v>
      </c>
      <c r="D926" s="5">
        <f>(C926-B926)/1000</f>
        <v>0</v>
      </c>
      <c r="G926" s="5"/>
      <c r="I926" s="15" t="s">
        <v>67</v>
      </c>
      <c r="L926" s="16">
        <f>L923-L925</f>
        <v>9497.55941</v>
      </c>
    </row>
    <row r="927" ht="15.75" hidden="1" customHeight="1">
      <c r="A927" s="5"/>
      <c r="C927" s="4"/>
      <c r="D927" s="5"/>
      <c r="G927" s="5"/>
    </row>
    <row r="928" ht="15.75" hidden="1" customHeight="1">
      <c r="A928" s="5"/>
      <c r="C928" s="4"/>
      <c r="D928" s="5"/>
      <c r="G928" s="5"/>
    </row>
    <row r="929" ht="15.75" hidden="1" customHeight="1">
      <c r="A929" s="5" t="s">
        <v>71</v>
      </c>
      <c r="C929" s="4"/>
      <c r="D929" s="5"/>
      <c r="G929" s="5"/>
    </row>
    <row r="930" ht="15.75" hidden="1" customHeight="1">
      <c r="A930" s="1"/>
      <c r="C930" s="4"/>
      <c r="D930" s="5"/>
      <c r="G930" s="5"/>
    </row>
    <row r="931" ht="15.75" hidden="1" customHeight="1">
      <c r="A931" s="5" t="s">
        <v>11</v>
      </c>
      <c r="B931" s="42">
        <v>4992.0</v>
      </c>
      <c r="C931" s="41">
        <v>5042.0</v>
      </c>
      <c r="D931" s="5">
        <f t="shared" ref="D931:D941" si="654">(C931-B931)/1000</f>
        <v>0.05</v>
      </c>
      <c r="E931" s="5">
        <f t="shared" ref="E931:E938" si="655">29.8+9.34</f>
        <v>39.14</v>
      </c>
      <c r="F931" s="5">
        <v>55.0</v>
      </c>
      <c r="G931" s="7">
        <f t="shared" ref="G931:G941" si="656">D931*$G$2</f>
        <v>128.966</v>
      </c>
      <c r="H931" s="7">
        <f t="shared" ref="H931:H941" si="657">D931*$H$2</f>
        <v>4.9855</v>
      </c>
      <c r="I931" s="7">
        <f t="shared" ref="I931:I941" si="658">D931*$I$2</f>
        <v>24.75</v>
      </c>
      <c r="J931" s="7">
        <f t="shared" ref="J931:J941" si="659">D931*$J$2</f>
        <v>62.22</v>
      </c>
      <c r="K931" s="7">
        <f t="shared" ref="K931:K941" si="660">D931*$K$2</f>
        <v>1.415</v>
      </c>
      <c r="L931" s="7">
        <f t="shared" ref="L931:L941" si="661">SUM(E931:K931)</f>
        <v>316.4765</v>
      </c>
      <c r="M931" s="7">
        <f t="shared" ref="M931:M942" si="662">L931*0.21</f>
        <v>66.460065</v>
      </c>
      <c r="N931" s="7">
        <f t="shared" ref="N931:N942" si="663">L931+M931</f>
        <v>382.936565</v>
      </c>
    </row>
    <row r="932" ht="15.75" hidden="1" customHeight="1">
      <c r="A932" s="5" t="s">
        <v>12</v>
      </c>
      <c r="B932" s="42">
        <v>3538.0</v>
      </c>
      <c r="C932" s="41">
        <v>3569.0</v>
      </c>
      <c r="D932" s="5">
        <f t="shared" si="654"/>
        <v>0.031</v>
      </c>
      <c r="E932" s="5">
        <f t="shared" si="655"/>
        <v>39.14</v>
      </c>
      <c r="F932" s="5">
        <v>55.0</v>
      </c>
      <c r="G932" s="7">
        <f t="shared" si="656"/>
        <v>79.95892</v>
      </c>
      <c r="H932" s="7">
        <f t="shared" si="657"/>
        <v>3.09101</v>
      </c>
      <c r="I932" s="7">
        <f t="shared" si="658"/>
        <v>15.345</v>
      </c>
      <c r="J932" s="7">
        <f t="shared" si="659"/>
        <v>38.5764</v>
      </c>
      <c r="K932" s="7">
        <f t="shared" si="660"/>
        <v>0.8773</v>
      </c>
      <c r="L932" s="7">
        <f t="shared" si="661"/>
        <v>231.98863</v>
      </c>
      <c r="M932" s="7">
        <f t="shared" si="662"/>
        <v>48.7176123</v>
      </c>
      <c r="N932" s="7">
        <f t="shared" si="663"/>
        <v>280.7062423</v>
      </c>
    </row>
    <row r="933" ht="15.75" hidden="1" customHeight="1">
      <c r="A933" s="5" t="s">
        <v>13</v>
      </c>
      <c r="B933" s="42">
        <v>4892.0</v>
      </c>
      <c r="C933" s="41">
        <v>4969.0</v>
      </c>
      <c r="D933" s="5">
        <f t="shared" si="654"/>
        <v>0.077</v>
      </c>
      <c r="E933" s="5">
        <f t="shared" si="655"/>
        <v>39.14</v>
      </c>
      <c r="F933" s="5">
        <v>55.0</v>
      </c>
      <c r="G933" s="7">
        <f t="shared" si="656"/>
        <v>198.60764</v>
      </c>
      <c r="H933" s="7">
        <f t="shared" si="657"/>
        <v>7.67767</v>
      </c>
      <c r="I933" s="7">
        <f t="shared" si="658"/>
        <v>38.115</v>
      </c>
      <c r="J933" s="7">
        <f t="shared" si="659"/>
        <v>95.8188</v>
      </c>
      <c r="K933" s="7">
        <f t="shared" si="660"/>
        <v>2.1791</v>
      </c>
      <c r="L933" s="7">
        <f t="shared" si="661"/>
        <v>436.53821</v>
      </c>
      <c r="M933" s="7">
        <f t="shared" si="662"/>
        <v>91.6730241</v>
      </c>
      <c r="N933" s="7">
        <f t="shared" si="663"/>
        <v>528.2112341</v>
      </c>
    </row>
    <row r="934" ht="15.75" hidden="1" customHeight="1">
      <c r="A934" s="5" t="s">
        <v>14</v>
      </c>
      <c r="B934" s="42">
        <v>3833.0</v>
      </c>
      <c r="C934" s="41">
        <v>3850.0</v>
      </c>
      <c r="D934" s="5">
        <f t="shared" si="654"/>
        <v>0.017</v>
      </c>
      <c r="E934" s="5">
        <f t="shared" si="655"/>
        <v>39.14</v>
      </c>
      <c r="F934" s="5">
        <v>55.0</v>
      </c>
      <c r="G934" s="7">
        <f t="shared" si="656"/>
        <v>43.84844</v>
      </c>
      <c r="H934" s="7">
        <f t="shared" si="657"/>
        <v>1.69507</v>
      </c>
      <c r="I934" s="7">
        <f t="shared" si="658"/>
        <v>8.415</v>
      </c>
      <c r="J934" s="7">
        <f t="shared" si="659"/>
        <v>21.1548</v>
      </c>
      <c r="K934" s="7">
        <f t="shared" si="660"/>
        <v>0.4811</v>
      </c>
      <c r="L934" s="7">
        <f t="shared" si="661"/>
        <v>169.73441</v>
      </c>
      <c r="M934" s="7">
        <f t="shared" si="662"/>
        <v>35.6442261</v>
      </c>
      <c r="N934" s="7">
        <f t="shared" si="663"/>
        <v>205.3786361</v>
      </c>
    </row>
    <row r="935" ht="15.75" hidden="1" customHeight="1">
      <c r="A935" s="5" t="s">
        <v>15</v>
      </c>
      <c r="B935" s="42">
        <v>4307.0</v>
      </c>
      <c r="C935" s="41">
        <v>4401.0</v>
      </c>
      <c r="D935" s="5">
        <f t="shared" si="654"/>
        <v>0.094</v>
      </c>
      <c r="E935" s="5">
        <f t="shared" si="655"/>
        <v>39.14</v>
      </c>
      <c r="F935" s="5">
        <v>55.0</v>
      </c>
      <c r="G935" s="7">
        <f t="shared" si="656"/>
        <v>242.45608</v>
      </c>
      <c r="H935" s="7">
        <f t="shared" si="657"/>
        <v>9.37274</v>
      </c>
      <c r="I935" s="7">
        <f t="shared" si="658"/>
        <v>46.53</v>
      </c>
      <c r="J935" s="7">
        <f t="shared" si="659"/>
        <v>116.9736</v>
      </c>
      <c r="K935" s="7">
        <f t="shared" si="660"/>
        <v>2.6602</v>
      </c>
      <c r="L935" s="7">
        <f t="shared" si="661"/>
        <v>512.13262</v>
      </c>
      <c r="M935" s="7">
        <f t="shared" si="662"/>
        <v>107.5478502</v>
      </c>
      <c r="N935" s="7">
        <f t="shared" si="663"/>
        <v>619.6804702</v>
      </c>
    </row>
    <row r="936" ht="15.75" hidden="1" customHeight="1">
      <c r="A936" s="5" t="s">
        <v>16</v>
      </c>
      <c r="B936" s="42">
        <v>3176.0</v>
      </c>
      <c r="C936" s="41">
        <v>3221.0</v>
      </c>
      <c r="D936" s="5">
        <f t="shared" si="654"/>
        <v>0.045</v>
      </c>
      <c r="E936" s="5">
        <f t="shared" si="655"/>
        <v>39.14</v>
      </c>
      <c r="F936" s="5">
        <v>55.0</v>
      </c>
      <c r="G936" s="7">
        <f t="shared" si="656"/>
        <v>116.0694</v>
      </c>
      <c r="H936" s="7">
        <f t="shared" si="657"/>
        <v>4.48695</v>
      </c>
      <c r="I936" s="7">
        <f t="shared" si="658"/>
        <v>22.275</v>
      </c>
      <c r="J936" s="7">
        <f t="shared" si="659"/>
        <v>55.998</v>
      </c>
      <c r="K936" s="7">
        <f t="shared" si="660"/>
        <v>1.2735</v>
      </c>
      <c r="L936" s="7">
        <f t="shared" si="661"/>
        <v>294.24285</v>
      </c>
      <c r="M936" s="7">
        <f t="shared" si="662"/>
        <v>61.7909985</v>
      </c>
      <c r="N936" s="7">
        <f t="shared" si="663"/>
        <v>356.0338485</v>
      </c>
    </row>
    <row r="937" ht="15.75" hidden="1" customHeight="1">
      <c r="A937" s="5" t="s">
        <v>17</v>
      </c>
      <c r="B937" s="42">
        <v>3908.0</v>
      </c>
      <c r="C937" s="41">
        <v>3994.0</v>
      </c>
      <c r="D937" s="5">
        <f t="shared" si="654"/>
        <v>0.086</v>
      </c>
      <c r="E937" s="5">
        <f t="shared" si="655"/>
        <v>39.14</v>
      </c>
      <c r="F937" s="5">
        <v>55.0</v>
      </c>
      <c r="G937" s="7">
        <f t="shared" si="656"/>
        <v>221.82152</v>
      </c>
      <c r="H937" s="7">
        <f t="shared" si="657"/>
        <v>8.57506</v>
      </c>
      <c r="I937" s="7">
        <f t="shared" si="658"/>
        <v>42.57</v>
      </c>
      <c r="J937" s="7">
        <f t="shared" si="659"/>
        <v>107.0184</v>
      </c>
      <c r="K937" s="7">
        <f t="shared" si="660"/>
        <v>2.4338</v>
      </c>
      <c r="L937" s="7">
        <f t="shared" si="661"/>
        <v>476.55878</v>
      </c>
      <c r="M937" s="7">
        <f t="shared" si="662"/>
        <v>100.0773438</v>
      </c>
      <c r="N937" s="7">
        <f t="shared" si="663"/>
        <v>576.6361238</v>
      </c>
    </row>
    <row r="938" ht="15.75" hidden="1" customHeight="1">
      <c r="A938" s="5" t="s">
        <v>18</v>
      </c>
      <c r="B938" s="42">
        <v>3727.0</v>
      </c>
      <c r="C938" s="41">
        <v>3786.0</v>
      </c>
      <c r="D938" s="5">
        <f t="shared" si="654"/>
        <v>0.059</v>
      </c>
      <c r="E938" s="5">
        <f t="shared" si="655"/>
        <v>39.14</v>
      </c>
      <c r="F938" s="5">
        <v>55.0</v>
      </c>
      <c r="G938" s="7">
        <f t="shared" si="656"/>
        <v>152.17988</v>
      </c>
      <c r="H938" s="7">
        <f t="shared" si="657"/>
        <v>5.88289</v>
      </c>
      <c r="I938" s="7">
        <f t="shared" si="658"/>
        <v>29.205</v>
      </c>
      <c r="J938" s="7">
        <f t="shared" si="659"/>
        <v>73.4196</v>
      </c>
      <c r="K938" s="7">
        <f t="shared" si="660"/>
        <v>1.6697</v>
      </c>
      <c r="L938" s="7">
        <f t="shared" si="661"/>
        <v>356.49707</v>
      </c>
      <c r="M938" s="7">
        <f t="shared" si="662"/>
        <v>74.8643847</v>
      </c>
      <c r="N938" s="7">
        <f t="shared" si="663"/>
        <v>431.3614547</v>
      </c>
    </row>
    <row r="939" ht="15.75" hidden="1" customHeight="1">
      <c r="A939" s="40" t="s">
        <v>19</v>
      </c>
      <c r="B939" s="42">
        <v>107580.0</v>
      </c>
      <c r="C939" s="41">
        <v>108305.0</v>
      </c>
      <c r="D939" s="5">
        <f t="shared" si="654"/>
        <v>0.725</v>
      </c>
      <c r="E939" s="5">
        <v>169.69</v>
      </c>
      <c r="F939" s="5">
        <v>78.05</v>
      </c>
      <c r="G939" s="7">
        <f t="shared" si="656"/>
        <v>1870.007</v>
      </c>
      <c r="H939" s="7">
        <f t="shared" si="657"/>
        <v>72.28975</v>
      </c>
      <c r="I939" s="7">
        <f t="shared" si="658"/>
        <v>358.875</v>
      </c>
      <c r="J939" s="7">
        <f t="shared" si="659"/>
        <v>902.19</v>
      </c>
      <c r="K939" s="7">
        <f t="shared" si="660"/>
        <v>20.5175</v>
      </c>
      <c r="L939" s="7">
        <f t="shared" si="661"/>
        <v>3471.61925</v>
      </c>
      <c r="M939" s="7">
        <f t="shared" si="662"/>
        <v>729.0400425</v>
      </c>
      <c r="N939" s="7">
        <f t="shared" si="663"/>
        <v>4200.659293</v>
      </c>
    </row>
    <row r="940" ht="15.75" hidden="1" customHeight="1">
      <c r="A940" s="5" t="s">
        <v>30</v>
      </c>
      <c r="B940" s="42">
        <v>15990.0</v>
      </c>
      <c r="C940" s="41">
        <v>16163.0</v>
      </c>
      <c r="D940" s="5">
        <f t="shared" si="654"/>
        <v>0.173</v>
      </c>
      <c r="E940" s="5">
        <f t="shared" ref="E940:E941" si="664">29.8+9.34</f>
        <v>39.14</v>
      </c>
      <c r="F940" s="5">
        <v>55.0</v>
      </c>
      <c r="G940" s="7">
        <f t="shared" si="656"/>
        <v>446.22236</v>
      </c>
      <c r="H940" s="7">
        <f t="shared" si="657"/>
        <v>17.24983</v>
      </c>
      <c r="I940" s="7">
        <f t="shared" si="658"/>
        <v>85.635</v>
      </c>
      <c r="J940" s="7">
        <f t="shared" si="659"/>
        <v>215.2812</v>
      </c>
      <c r="K940" s="7">
        <f t="shared" si="660"/>
        <v>4.8959</v>
      </c>
      <c r="L940" s="7">
        <f t="shared" si="661"/>
        <v>863.42429</v>
      </c>
      <c r="M940" s="7">
        <f t="shared" si="662"/>
        <v>181.3191009</v>
      </c>
      <c r="N940" s="7">
        <f t="shared" si="663"/>
        <v>1044.743391</v>
      </c>
    </row>
    <row r="941" ht="15.75" hidden="1" customHeight="1">
      <c r="A941" s="5" t="s">
        <v>31</v>
      </c>
      <c r="B941" s="42">
        <v>77596.0</v>
      </c>
      <c r="C941" s="41">
        <v>78536.0</v>
      </c>
      <c r="D941" s="5">
        <f t="shared" si="654"/>
        <v>0.94</v>
      </c>
      <c r="E941" s="5">
        <f t="shared" si="664"/>
        <v>39.14</v>
      </c>
      <c r="F941" s="5">
        <v>55.0</v>
      </c>
      <c r="G941" s="7">
        <f t="shared" si="656"/>
        <v>2424.5608</v>
      </c>
      <c r="H941" s="7">
        <f t="shared" si="657"/>
        <v>93.7274</v>
      </c>
      <c r="I941" s="7">
        <f t="shared" si="658"/>
        <v>465.3</v>
      </c>
      <c r="J941" s="7">
        <f t="shared" si="659"/>
        <v>1169.736</v>
      </c>
      <c r="K941" s="7">
        <f t="shared" si="660"/>
        <v>26.602</v>
      </c>
      <c r="L941" s="13">
        <f t="shared" si="661"/>
        <v>4274.0662</v>
      </c>
      <c r="M941" s="7">
        <f t="shared" si="662"/>
        <v>897.553902</v>
      </c>
      <c r="N941" s="7">
        <f t="shared" si="663"/>
        <v>5171.620102</v>
      </c>
    </row>
    <row r="942" ht="15.75" hidden="1" customHeight="1">
      <c r="A942" s="5"/>
      <c r="C942" s="4"/>
      <c r="D942" s="5"/>
      <c r="G942" s="5"/>
      <c r="L942" s="18">
        <f>SUM(L931:L941)</f>
        <v>11403.27881</v>
      </c>
      <c r="M942" s="19">
        <f t="shared" si="662"/>
        <v>2394.68855</v>
      </c>
      <c r="N942" s="20">
        <f t="shared" si="663"/>
        <v>13797.96736</v>
      </c>
    </row>
    <row r="943" ht="15.75" hidden="1" customHeight="1">
      <c r="A943" s="5"/>
      <c r="C943" s="4"/>
      <c r="D943" s="5">
        <f>SUM(D931:D941)</f>
        <v>2.297</v>
      </c>
      <c r="G943" s="5"/>
    </row>
    <row r="944" ht="15.75" hidden="1" customHeight="1">
      <c r="A944" s="5"/>
      <c r="C944" s="4"/>
      <c r="D944" s="5"/>
      <c r="G944" s="5"/>
      <c r="I944" s="15" t="s">
        <v>66</v>
      </c>
      <c r="L944" s="17">
        <f>2884</f>
        <v>2884</v>
      </c>
    </row>
    <row r="945" ht="15.75" hidden="1" customHeight="1">
      <c r="A945" s="5" t="s">
        <v>68</v>
      </c>
      <c r="B945" s="15">
        <v>100573.0</v>
      </c>
      <c r="C945" s="4">
        <v>100573.0</v>
      </c>
      <c r="D945" s="5">
        <f>(C945-B945)/1000</f>
        <v>0</v>
      </c>
      <c r="G945" s="5"/>
      <c r="I945" s="15" t="s">
        <v>67</v>
      </c>
      <c r="L945" s="16">
        <f>L942-L944</f>
        <v>8519.27881</v>
      </c>
    </row>
    <row r="946" ht="15.75" hidden="1" customHeight="1">
      <c r="A946" s="5"/>
      <c r="C946" s="4"/>
      <c r="D946" s="5"/>
      <c r="G946" s="5"/>
    </row>
    <row r="947" ht="15.75" hidden="1" customHeight="1">
      <c r="A947" s="5"/>
      <c r="C947" s="4"/>
      <c r="D947" s="5"/>
      <c r="G947" s="5"/>
    </row>
    <row r="948" ht="15.75" hidden="1" customHeight="1">
      <c r="A948" s="5" t="s">
        <v>72</v>
      </c>
      <c r="C948" s="4"/>
      <c r="D948" s="5"/>
      <c r="G948" s="5"/>
    </row>
    <row r="949" ht="15.75" hidden="1" customHeight="1">
      <c r="A949" s="1"/>
      <c r="C949" s="4"/>
      <c r="D949" s="5"/>
      <c r="G949" s="5"/>
    </row>
    <row r="950" ht="15.75" hidden="1" customHeight="1">
      <c r="A950" s="5" t="s">
        <v>11</v>
      </c>
      <c r="B950" s="42">
        <v>5042.0</v>
      </c>
      <c r="C950" s="41">
        <v>5075.0</v>
      </c>
      <c r="D950" s="5">
        <f t="shared" ref="D950:D960" si="665">(C950-B950)/1000</f>
        <v>0.033</v>
      </c>
      <c r="E950" s="5">
        <f t="shared" ref="E950:E957" si="666">29.8+9.34</f>
        <v>39.14</v>
      </c>
      <c r="F950" s="5">
        <v>55.0</v>
      </c>
      <c r="G950" s="7">
        <f t="shared" ref="G950:G960" si="667">D950*$G$2</f>
        <v>85.11756</v>
      </c>
      <c r="H950" s="7">
        <f t="shared" ref="H950:H960" si="668">D950*$H$2</f>
        <v>3.29043</v>
      </c>
      <c r="I950" s="7">
        <f t="shared" ref="I950:I960" si="669">D950*$I$2</f>
        <v>16.335</v>
      </c>
      <c r="J950" s="7">
        <f t="shared" ref="J950:J960" si="670">D950*$J$2</f>
        <v>41.0652</v>
      </c>
      <c r="K950" s="7">
        <f t="shared" ref="K950:K960" si="671">D950*$K$2</f>
        <v>0.9339</v>
      </c>
      <c r="L950" s="7">
        <f t="shared" ref="L950:L960" si="672">SUM(E950:K950)</f>
        <v>240.88209</v>
      </c>
      <c r="M950" s="7">
        <f t="shared" ref="M950:M961" si="673">L950*0.21</f>
        <v>50.5852389</v>
      </c>
      <c r="N950" s="7">
        <f t="shared" ref="N950:N961" si="674">L950+M950</f>
        <v>291.4673289</v>
      </c>
    </row>
    <row r="951" ht="15.75" hidden="1" customHeight="1">
      <c r="A951" s="5" t="s">
        <v>12</v>
      </c>
      <c r="B951" s="42">
        <v>3569.0</v>
      </c>
      <c r="C951" s="41">
        <v>3670.0</v>
      </c>
      <c r="D951" s="5">
        <f t="shared" si="665"/>
        <v>0.101</v>
      </c>
      <c r="E951" s="5">
        <f t="shared" si="666"/>
        <v>39.14</v>
      </c>
      <c r="F951" s="5">
        <v>55.0</v>
      </c>
      <c r="G951" s="7">
        <f t="shared" si="667"/>
        <v>260.51132</v>
      </c>
      <c r="H951" s="7">
        <f t="shared" si="668"/>
        <v>10.07071</v>
      </c>
      <c r="I951" s="7">
        <f t="shared" si="669"/>
        <v>49.995</v>
      </c>
      <c r="J951" s="7">
        <f t="shared" si="670"/>
        <v>125.6844</v>
      </c>
      <c r="K951" s="7">
        <f t="shared" si="671"/>
        <v>2.8583</v>
      </c>
      <c r="L951" s="7">
        <f t="shared" si="672"/>
        <v>543.25973</v>
      </c>
      <c r="M951" s="7">
        <f t="shared" si="673"/>
        <v>114.0845433</v>
      </c>
      <c r="N951" s="7">
        <f t="shared" si="674"/>
        <v>657.3442733</v>
      </c>
    </row>
    <row r="952" ht="15.75" hidden="1" customHeight="1">
      <c r="A952" s="5" t="s">
        <v>13</v>
      </c>
      <c r="B952" s="42">
        <v>4969.0</v>
      </c>
      <c r="C952" s="41">
        <v>5045.0</v>
      </c>
      <c r="D952" s="5">
        <f t="shared" si="665"/>
        <v>0.076</v>
      </c>
      <c r="E952" s="5">
        <f t="shared" si="666"/>
        <v>39.14</v>
      </c>
      <c r="F952" s="5">
        <v>55.0</v>
      </c>
      <c r="G952" s="7">
        <f t="shared" si="667"/>
        <v>196.02832</v>
      </c>
      <c r="H952" s="7">
        <f t="shared" si="668"/>
        <v>7.57796</v>
      </c>
      <c r="I952" s="7">
        <f t="shared" si="669"/>
        <v>37.62</v>
      </c>
      <c r="J952" s="7">
        <f t="shared" si="670"/>
        <v>94.5744</v>
      </c>
      <c r="K952" s="7">
        <f t="shared" si="671"/>
        <v>2.1508</v>
      </c>
      <c r="L952" s="7">
        <f t="shared" si="672"/>
        <v>432.09148</v>
      </c>
      <c r="M952" s="7">
        <f t="shared" si="673"/>
        <v>90.7392108</v>
      </c>
      <c r="N952" s="7">
        <f t="shared" si="674"/>
        <v>522.8306908</v>
      </c>
    </row>
    <row r="953" ht="15.75" hidden="1" customHeight="1">
      <c r="A953" s="5" t="s">
        <v>14</v>
      </c>
      <c r="B953" s="42">
        <v>3850.0</v>
      </c>
      <c r="C953" s="41">
        <v>3873.0</v>
      </c>
      <c r="D953" s="5">
        <f t="shared" si="665"/>
        <v>0.023</v>
      </c>
      <c r="E953" s="5">
        <f t="shared" si="666"/>
        <v>39.14</v>
      </c>
      <c r="F953" s="5">
        <v>55.0</v>
      </c>
      <c r="G953" s="7">
        <f t="shared" si="667"/>
        <v>59.32436</v>
      </c>
      <c r="H953" s="7">
        <f t="shared" si="668"/>
        <v>2.29333</v>
      </c>
      <c r="I953" s="7">
        <f t="shared" si="669"/>
        <v>11.385</v>
      </c>
      <c r="J953" s="7">
        <f t="shared" si="670"/>
        <v>28.6212</v>
      </c>
      <c r="K953" s="7">
        <f t="shared" si="671"/>
        <v>0.6509</v>
      </c>
      <c r="L953" s="7">
        <f t="shared" si="672"/>
        <v>196.41479</v>
      </c>
      <c r="M953" s="7">
        <f t="shared" si="673"/>
        <v>41.2471059</v>
      </c>
      <c r="N953" s="7">
        <f t="shared" si="674"/>
        <v>237.6618959</v>
      </c>
    </row>
    <row r="954" ht="15.75" hidden="1" customHeight="1">
      <c r="A954" s="5" t="s">
        <v>15</v>
      </c>
      <c r="B954" s="42">
        <v>4401.0</v>
      </c>
      <c r="C954" s="41">
        <v>4443.0</v>
      </c>
      <c r="D954" s="5">
        <f t="shared" si="665"/>
        <v>0.042</v>
      </c>
      <c r="E954" s="5">
        <f t="shared" si="666"/>
        <v>39.14</v>
      </c>
      <c r="F954" s="5">
        <v>55.0</v>
      </c>
      <c r="G954" s="7">
        <f t="shared" si="667"/>
        <v>108.33144</v>
      </c>
      <c r="H954" s="7">
        <f t="shared" si="668"/>
        <v>4.18782</v>
      </c>
      <c r="I954" s="7">
        <f t="shared" si="669"/>
        <v>20.79</v>
      </c>
      <c r="J954" s="7">
        <f t="shared" si="670"/>
        <v>52.2648</v>
      </c>
      <c r="K954" s="7">
        <f t="shared" si="671"/>
        <v>1.1886</v>
      </c>
      <c r="L954" s="7">
        <f t="shared" si="672"/>
        <v>280.90266</v>
      </c>
      <c r="M954" s="7">
        <f t="shared" si="673"/>
        <v>58.9895586</v>
      </c>
      <c r="N954" s="7">
        <f t="shared" si="674"/>
        <v>339.8922186</v>
      </c>
    </row>
    <row r="955" ht="15.75" hidden="1" customHeight="1">
      <c r="A955" s="5" t="s">
        <v>16</v>
      </c>
      <c r="B955" s="42">
        <v>3221.0</v>
      </c>
      <c r="C955" s="41">
        <v>3253.0</v>
      </c>
      <c r="D955" s="5">
        <f t="shared" si="665"/>
        <v>0.032</v>
      </c>
      <c r="E955" s="5">
        <f t="shared" si="666"/>
        <v>39.14</v>
      </c>
      <c r="F955" s="5">
        <v>55.0</v>
      </c>
      <c r="G955" s="7">
        <f t="shared" si="667"/>
        <v>82.53824</v>
      </c>
      <c r="H955" s="7">
        <f t="shared" si="668"/>
        <v>3.19072</v>
      </c>
      <c r="I955" s="7">
        <f t="shared" si="669"/>
        <v>15.84</v>
      </c>
      <c r="J955" s="7">
        <f t="shared" si="670"/>
        <v>39.8208</v>
      </c>
      <c r="K955" s="7">
        <f t="shared" si="671"/>
        <v>0.9056</v>
      </c>
      <c r="L955" s="7">
        <f t="shared" si="672"/>
        <v>236.43536</v>
      </c>
      <c r="M955" s="7">
        <f t="shared" si="673"/>
        <v>49.6514256</v>
      </c>
      <c r="N955" s="7">
        <f t="shared" si="674"/>
        <v>286.0867856</v>
      </c>
    </row>
    <row r="956" ht="15.75" hidden="1" customHeight="1">
      <c r="A956" s="5" t="s">
        <v>17</v>
      </c>
      <c r="B956" s="42">
        <v>3994.0</v>
      </c>
      <c r="C956" s="41">
        <v>4108.0</v>
      </c>
      <c r="D956" s="5">
        <f t="shared" si="665"/>
        <v>0.114</v>
      </c>
      <c r="E956" s="5">
        <f t="shared" si="666"/>
        <v>39.14</v>
      </c>
      <c r="F956" s="5">
        <v>55.0</v>
      </c>
      <c r="G956" s="7">
        <f t="shared" si="667"/>
        <v>294.04248</v>
      </c>
      <c r="H956" s="7">
        <f t="shared" si="668"/>
        <v>11.36694</v>
      </c>
      <c r="I956" s="7">
        <f t="shared" si="669"/>
        <v>56.43</v>
      </c>
      <c r="J956" s="7">
        <f t="shared" si="670"/>
        <v>141.8616</v>
      </c>
      <c r="K956" s="7">
        <f t="shared" si="671"/>
        <v>3.2262</v>
      </c>
      <c r="L956" s="7">
        <f t="shared" si="672"/>
        <v>601.06722</v>
      </c>
      <c r="M956" s="7">
        <f t="shared" si="673"/>
        <v>126.2241162</v>
      </c>
      <c r="N956" s="7">
        <f t="shared" si="674"/>
        <v>727.2913362</v>
      </c>
    </row>
    <row r="957" ht="15.75" hidden="1" customHeight="1">
      <c r="A957" s="5" t="s">
        <v>18</v>
      </c>
      <c r="B957" s="42">
        <v>3786.0</v>
      </c>
      <c r="C957" s="41">
        <v>3836.0</v>
      </c>
      <c r="D957" s="5">
        <f t="shared" si="665"/>
        <v>0.05</v>
      </c>
      <c r="E957" s="5">
        <f t="shared" si="666"/>
        <v>39.14</v>
      </c>
      <c r="F957" s="5">
        <v>55.0</v>
      </c>
      <c r="G957" s="7">
        <f t="shared" si="667"/>
        <v>128.966</v>
      </c>
      <c r="H957" s="7">
        <f t="shared" si="668"/>
        <v>4.9855</v>
      </c>
      <c r="I957" s="7">
        <f t="shared" si="669"/>
        <v>24.75</v>
      </c>
      <c r="J957" s="7">
        <f t="shared" si="670"/>
        <v>62.22</v>
      </c>
      <c r="K957" s="7">
        <f t="shared" si="671"/>
        <v>1.415</v>
      </c>
      <c r="L957" s="7">
        <f t="shared" si="672"/>
        <v>316.4765</v>
      </c>
      <c r="M957" s="7">
        <f t="shared" si="673"/>
        <v>66.460065</v>
      </c>
      <c r="N957" s="7">
        <f t="shared" si="674"/>
        <v>382.936565</v>
      </c>
    </row>
    <row r="958" ht="15.75" hidden="1" customHeight="1">
      <c r="A958" s="40" t="s">
        <v>19</v>
      </c>
      <c r="B958" s="42">
        <v>108305.0</v>
      </c>
      <c r="C958" s="41">
        <v>109037.0</v>
      </c>
      <c r="D958" s="5">
        <f t="shared" si="665"/>
        <v>0.732</v>
      </c>
      <c r="E958" s="5">
        <v>169.69</v>
      </c>
      <c r="F958" s="5">
        <v>78.05</v>
      </c>
      <c r="G958" s="7">
        <f t="shared" si="667"/>
        <v>1888.06224</v>
      </c>
      <c r="H958" s="7">
        <f t="shared" si="668"/>
        <v>72.98772</v>
      </c>
      <c r="I958" s="7">
        <f t="shared" si="669"/>
        <v>362.34</v>
      </c>
      <c r="J958" s="7">
        <f t="shared" si="670"/>
        <v>910.9008</v>
      </c>
      <c r="K958" s="7">
        <f t="shared" si="671"/>
        <v>20.7156</v>
      </c>
      <c r="L958" s="7">
        <f t="shared" si="672"/>
        <v>3502.74636</v>
      </c>
      <c r="M958" s="7">
        <f t="shared" si="673"/>
        <v>735.5767356</v>
      </c>
      <c r="N958" s="7">
        <f t="shared" si="674"/>
        <v>4238.323096</v>
      </c>
    </row>
    <row r="959" ht="15.75" hidden="1" customHeight="1">
      <c r="A959" s="5" t="s">
        <v>30</v>
      </c>
      <c r="B959" s="42">
        <v>16163.0</v>
      </c>
      <c r="C959" s="41">
        <v>16302.0</v>
      </c>
      <c r="D959" s="5">
        <f t="shared" si="665"/>
        <v>0.139</v>
      </c>
      <c r="E959" s="5">
        <f t="shared" ref="E959:E960" si="675">29.8+9.34</f>
        <v>39.14</v>
      </c>
      <c r="F959" s="5">
        <v>55.0</v>
      </c>
      <c r="G959" s="7">
        <f t="shared" si="667"/>
        <v>358.52548</v>
      </c>
      <c r="H959" s="7">
        <f t="shared" si="668"/>
        <v>13.85969</v>
      </c>
      <c r="I959" s="7">
        <f t="shared" si="669"/>
        <v>68.805</v>
      </c>
      <c r="J959" s="7">
        <f t="shared" si="670"/>
        <v>172.9716</v>
      </c>
      <c r="K959" s="7">
        <f t="shared" si="671"/>
        <v>3.9337</v>
      </c>
      <c r="L959" s="7">
        <f t="shared" si="672"/>
        <v>712.23547</v>
      </c>
      <c r="M959" s="7">
        <f t="shared" si="673"/>
        <v>149.5694487</v>
      </c>
      <c r="N959" s="7">
        <f t="shared" si="674"/>
        <v>861.8049187</v>
      </c>
    </row>
    <row r="960" ht="15.75" hidden="1" customHeight="1">
      <c r="A960" s="5" t="s">
        <v>31</v>
      </c>
      <c r="B960" s="42">
        <v>78536.0</v>
      </c>
      <c r="C960" s="41">
        <v>79280.0</v>
      </c>
      <c r="D960" s="5">
        <f t="shared" si="665"/>
        <v>0.744</v>
      </c>
      <c r="E960" s="5">
        <f t="shared" si="675"/>
        <v>39.14</v>
      </c>
      <c r="F960" s="5">
        <v>55.0</v>
      </c>
      <c r="G960" s="7">
        <f t="shared" si="667"/>
        <v>1919.01408</v>
      </c>
      <c r="H960" s="7">
        <f t="shared" si="668"/>
        <v>74.18424</v>
      </c>
      <c r="I960" s="7">
        <f t="shared" si="669"/>
        <v>368.28</v>
      </c>
      <c r="J960" s="7">
        <f t="shared" si="670"/>
        <v>925.8336</v>
      </c>
      <c r="K960" s="7">
        <f t="shared" si="671"/>
        <v>21.0552</v>
      </c>
      <c r="L960" s="13">
        <f t="shared" si="672"/>
        <v>3402.50712</v>
      </c>
      <c r="M960" s="7">
        <f t="shared" si="673"/>
        <v>714.5264952</v>
      </c>
      <c r="N960" s="7">
        <f t="shared" si="674"/>
        <v>4117.033615</v>
      </c>
    </row>
    <row r="961" ht="15.75" hidden="1" customHeight="1">
      <c r="A961" s="5"/>
      <c r="C961" s="4"/>
      <c r="D961" s="5"/>
      <c r="G961" s="5"/>
      <c r="L961" s="18">
        <f>SUM(L950:L960)</f>
        <v>10465.01878</v>
      </c>
      <c r="M961" s="19">
        <f t="shared" si="673"/>
        <v>2197.653944</v>
      </c>
      <c r="N961" s="20">
        <f t="shared" si="674"/>
        <v>12662.67272</v>
      </c>
    </row>
    <row r="962" ht="15.75" hidden="1" customHeight="1">
      <c r="A962" s="5"/>
      <c r="C962" s="4"/>
      <c r="D962" s="5">
        <f>SUM(D950:D960)</f>
        <v>2.086</v>
      </c>
      <c r="G962" s="5"/>
    </row>
    <row r="963" ht="15.75" hidden="1" customHeight="1">
      <c r="A963" s="5"/>
      <c r="C963" s="4"/>
      <c r="D963" s="5"/>
      <c r="G963" s="5"/>
      <c r="I963" s="15" t="s">
        <v>66</v>
      </c>
      <c r="L963" s="17">
        <f>2884</f>
        <v>2884</v>
      </c>
    </row>
    <row r="964" ht="15.75" hidden="1" customHeight="1">
      <c r="A964" s="5" t="s">
        <v>68</v>
      </c>
      <c r="B964" s="15">
        <v>100573.0</v>
      </c>
      <c r="C964" s="4">
        <v>100573.0</v>
      </c>
      <c r="D964" s="5">
        <f>(C964-B964)/1000</f>
        <v>0</v>
      </c>
      <c r="G964" s="5"/>
      <c r="I964" s="15" t="s">
        <v>67</v>
      </c>
      <c r="L964" s="16">
        <f>L961-L963</f>
        <v>7581.01878</v>
      </c>
    </row>
    <row r="965" ht="15.75" hidden="1" customHeight="1">
      <c r="A965" s="5"/>
      <c r="C965" s="4"/>
      <c r="D965" s="5"/>
      <c r="G965" s="5"/>
    </row>
    <row r="966" ht="15.75" hidden="1" customHeight="1">
      <c r="A966" s="5"/>
      <c r="C966" s="4"/>
      <c r="D966" s="5"/>
      <c r="G966" s="5"/>
    </row>
    <row r="967" ht="15.75" hidden="1" customHeight="1">
      <c r="A967" s="5"/>
      <c r="C967" s="4"/>
      <c r="D967" s="5"/>
      <c r="G967" s="5"/>
    </row>
    <row r="968" ht="15.75" hidden="1" customHeight="1">
      <c r="A968" s="5"/>
      <c r="C968" s="4"/>
      <c r="D968" s="5"/>
      <c r="G968" s="5"/>
    </row>
    <row r="969" ht="15.75" customHeight="1">
      <c r="A969" s="5" t="s">
        <v>73</v>
      </c>
      <c r="C969" s="4"/>
      <c r="D969" s="5"/>
      <c r="G969" s="5"/>
    </row>
    <row r="970" ht="15.75" customHeight="1">
      <c r="A970" s="1"/>
      <c r="C970" s="4"/>
      <c r="D970" s="5"/>
      <c r="G970" s="5"/>
    </row>
    <row r="971" ht="15.75" customHeight="1">
      <c r="A971" s="5" t="s">
        <v>11</v>
      </c>
      <c r="B971" s="42">
        <v>5075.0</v>
      </c>
      <c r="C971" s="41">
        <v>5120.0</v>
      </c>
      <c r="D971" s="5">
        <f t="shared" ref="D971:D981" si="676">(C971-B971)/1000</f>
        <v>0.045</v>
      </c>
      <c r="E971" s="5">
        <f t="shared" ref="E971:E978" si="677">29.8+9.34</f>
        <v>39.14</v>
      </c>
      <c r="F971" s="5">
        <v>55.0</v>
      </c>
      <c r="G971" s="7">
        <f t="shared" ref="G971:G981" si="678">D971*$G$2</f>
        <v>116.0694</v>
      </c>
      <c r="H971" s="7">
        <f t="shared" ref="H971:H981" si="679">D971*$H$2</f>
        <v>4.48695</v>
      </c>
      <c r="I971" s="7">
        <f t="shared" ref="I971:I981" si="680">D971*$I$2</f>
        <v>22.275</v>
      </c>
      <c r="J971" s="7">
        <f t="shared" ref="J971:J981" si="681">D971*$J$2</f>
        <v>55.998</v>
      </c>
      <c r="K971" s="7">
        <f t="shared" ref="K971:K981" si="682">D971*$K$2</f>
        <v>1.2735</v>
      </c>
      <c r="L971" s="43">
        <f t="shared" ref="L971:L981" si="683">SUM(E971:K971)</f>
        <v>294.24285</v>
      </c>
      <c r="M971" s="43">
        <f t="shared" ref="M971:M982" si="684">L971*0.21</f>
        <v>61.7909985</v>
      </c>
      <c r="N971" s="43">
        <f t="shared" ref="N971:N982" si="685">L971+M971</f>
        <v>356.0338485</v>
      </c>
    </row>
    <row r="972" ht="15.75" customHeight="1">
      <c r="A972" s="5" t="s">
        <v>12</v>
      </c>
      <c r="B972" s="42">
        <v>3670.0</v>
      </c>
      <c r="C972" s="41">
        <v>3806.0</v>
      </c>
      <c r="D972" s="5">
        <f t="shared" si="676"/>
        <v>0.136</v>
      </c>
      <c r="E972" s="5">
        <f t="shared" si="677"/>
        <v>39.14</v>
      </c>
      <c r="F972" s="5">
        <v>55.0</v>
      </c>
      <c r="G972" s="7">
        <f t="shared" si="678"/>
        <v>350.78752</v>
      </c>
      <c r="H972" s="7">
        <f t="shared" si="679"/>
        <v>13.56056</v>
      </c>
      <c r="I972" s="7">
        <f t="shared" si="680"/>
        <v>67.32</v>
      </c>
      <c r="J972" s="7">
        <f t="shared" si="681"/>
        <v>169.2384</v>
      </c>
      <c r="K972" s="7">
        <f t="shared" si="682"/>
        <v>3.8488</v>
      </c>
      <c r="L972" s="43">
        <f t="shared" si="683"/>
        <v>698.89528</v>
      </c>
      <c r="M972" s="43">
        <f t="shared" si="684"/>
        <v>146.7680088</v>
      </c>
      <c r="N972" s="43">
        <f t="shared" si="685"/>
        <v>845.6632888</v>
      </c>
    </row>
    <row r="973" ht="15.75" customHeight="1">
      <c r="A973" s="5" t="s">
        <v>13</v>
      </c>
      <c r="B973" s="42">
        <v>5045.0</v>
      </c>
      <c r="C973" s="41">
        <v>5109.0</v>
      </c>
      <c r="D973" s="5">
        <f t="shared" si="676"/>
        <v>0.064</v>
      </c>
      <c r="E973" s="5">
        <f t="shared" si="677"/>
        <v>39.14</v>
      </c>
      <c r="F973" s="5">
        <v>55.0</v>
      </c>
      <c r="G973" s="7">
        <f t="shared" si="678"/>
        <v>165.07648</v>
      </c>
      <c r="H973" s="7">
        <f t="shared" si="679"/>
        <v>6.38144</v>
      </c>
      <c r="I973" s="7">
        <f t="shared" si="680"/>
        <v>31.68</v>
      </c>
      <c r="J973" s="7">
        <f t="shared" si="681"/>
        <v>79.6416</v>
      </c>
      <c r="K973" s="7">
        <f t="shared" si="682"/>
        <v>1.8112</v>
      </c>
      <c r="L973" s="43">
        <f t="shared" si="683"/>
        <v>378.73072</v>
      </c>
      <c r="M973" s="43">
        <f t="shared" si="684"/>
        <v>79.5334512</v>
      </c>
      <c r="N973" s="43">
        <f t="shared" si="685"/>
        <v>458.2641712</v>
      </c>
    </row>
    <row r="974" ht="15.75" customHeight="1">
      <c r="A974" s="5" t="s">
        <v>14</v>
      </c>
      <c r="B974" s="42">
        <v>3873.0</v>
      </c>
      <c r="C974" s="41">
        <v>3898.0</v>
      </c>
      <c r="D974" s="5">
        <f t="shared" si="676"/>
        <v>0.025</v>
      </c>
      <c r="E974" s="5">
        <f t="shared" si="677"/>
        <v>39.14</v>
      </c>
      <c r="F974" s="5">
        <v>55.0</v>
      </c>
      <c r="G974" s="7">
        <f t="shared" si="678"/>
        <v>64.483</v>
      </c>
      <c r="H974" s="7">
        <f t="shared" si="679"/>
        <v>2.49275</v>
      </c>
      <c r="I974" s="7">
        <f t="shared" si="680"/>
        <v>12.375</v>
      </c>
      <c r="J974" s="7">
        <f t="shared" si="681"/>
        <v>31.11</v>
      </c>
      <c r="K974" s="7">
        <f t="shared" si="682"/>
        <v>0.7075</v>
      </c>
      <c r="L974" s="43">
        <f t="shared" si="683"/>
        <v>205.30825</v>
      </c>
      <c r="M974" s="43">
        <f t="shared" si="684"/>
        <v>43.1147325</v>
      </c>
      <c r="N974" s="43">
        <f t="shared" si="685"/>
        <v>248.4229825</v>
      </c>
    </row>
    <row r="975" ht="15.75" customHeight="1">
      <c r="A975" s="5" t="s">
        <v>15</v>
      </c>
      <c r="B975" s="42">
        <v>4443.0</v>
      </c>
      <c r="C975" s="41">
        <v>4494.0</v>
      </c>
      <c r="D975" s="5">
        <f t="shared" si="676"/>
        <v>0.051</v>
      </c>
      <c r="E975" s="5">
        <f t="shared" si="677"/>
        <v>39.14</v>
      </c>
      <c r="F975" s="5">
        <v>55.0</v>
      </c>
      <c r="G975" s="7">
        <f t="shared" si="678"/>
        <v>131.54532</v>
      </c>
      <c r="H975" s="7">
        <f t="shared" si="679"/>
        <v>5.08521</v>
      </c>
      <c r="I975" s="7">
        <f t="shared" si="680"/>
        <v>25.245</v>
      </c>
      <c r="J975" s="7">
        <f t="shared" si="681"/>
        <v>63.4644</v>
      </c>
      <c r="K975" s="7">
        <f t="shared" si="682"/>
        <v>1.4433</v>
      </c>
      <c r="L975" s="43">
        <f t="shared" si="683"/>
        <v>320.92323</v>
      </c>
      <c r="M975" s="43">
        <f t="shared" si="684"/>
        <v>67.3938783</v>
      </c>
      <c r="N975" s="43">
        <f t="shared" si="685"/>
        <v>388.3171083</v>
      </c>
    </row>
    <row r="976" ht="15.75" customHeight="1">
      <c r="A976" s="5" t="s">
        <v>16</v>
      </c>
      <c r="B976" s="42">
        <v>3253.0</v>
      </c>
      <c r="C976" s="41">
        <v>3280.0</v>
      </c>
      <c r="D976" s="5">
        <f t="shared" si="676"/>
        <v>0.027</v>
      </c>
      <c r="E976" s="5">
        <f t="shared" si="677"/>
        <v>39.14</v>
      </c>
      <c r="F976" s="5">
        <v>55.0</v>
      </c>
      <c r="G976" s="7">
        <f t="shared" si="678"/>
        <v>69.64164</v>
      </c>
      <c r="H976" s="7">
        <f t="shared" si="679"/>
        <v>2.69217</v>
      </c>
      <c r="I976" s="7">
        <f t="shared" si="680"/>
        <v>13.365</v>
      </c>
      <c r="J976" s="7">
        <f t="shared" si="681"/>
        <v>33.5988</v>
      </c>
      <c r="K976" s="7">
        <f t="shared" si="682"/>
        <v>0.7641</v>
      </c>
      <c r="L976" s="43">
        <f t="shared" si="683"/>
        <v>214.20171</v>
      </c>
      <c r="M976" s="43">
        <f t="shared" si="684"/>
        <v>44.9823591</v>
      </c>
      <c r="N976" s="43">
        <f t="shared" si="685"/>
        <v>259.1840691</v>
      </c>
    </row>
    <row r="977" ht="15.75" customHeight="1">
      <c r="A977" s="5" t="s">
        <v>17</v>
      </c>
      <c r="B977" s="42">
        <v>4108.0</v>
      </c>
      <c r="C977" s="41">
        <v>4218.0</v>
      </c>
      <c r="D977" s="5">
        <f t="shared" si="676"/>
        <v>0.11</v>
      </c>
      <c r="E977" s="5">
        <f t="shared" si="677"/>
        <v>39.14</v>
      </c>
      <c r="F977" s="5">
        <v>55.0</v>
      </c>
      <c r="G977" s="7">
        <f t="shared" si="678"/>
        <v>283.7252</v>
      </c>
      <c r="H977" s="7">
        <f t="shared" si="679"/>
        <v>10.9681</v>
      </c>
      <c r="I977" s="7">
        <f t="shared" si="680"/>
        <v>54.45</v>
      </c>
      <c r="J977" s="7">
        <f t="shared" si="681"/>
        <v>136.884</v>
      </c>
      <c r="K977" s="7">
        <f t="shared" si="682"/>
        <v>3.113</v>
      </c>
      <c r="L977" s="43">
        <f t="shared" si="683"/>
        <v>583.2803</v>
      </c>
      <c r="M977" s="43">
        <f t="shared" si="684"/>
        <v>122.488863</v>
      </c>
      <c r="N977" s="43">
        <f t="shared" si="685"/>
        <v>705.769163</v>
      </c>
    </row>
    <row r="978" ht="15.75" customHeight="1">
      <c r="A978" s="5" t="s">
        <v>18</v>
      </c>
      <c r="B978" s="42">
        <v>3836.0</v>
      </c>
      <c r="C978" s="41">
        <v>3871.0</v>
      </c>
      <c r="D978" s="5">
        <f t="shared" si="676"/>
        <v>0.035</v>
      </c>
      <c r="E978" s="5">
        <f t="shared" si="677"/>
        <v>39.14</v>
      </c>
      <c r="F978" s="5">
        <v>55.0</v>
      </c>
      <c r="G978" s="7">
        <f t="shared" si="678"/>
        <v>90.2762</v>
      </c>
      <c r="H978" s="7">
        <f t="shared" si="679"/>
        <v>3.48985</v>
      </c>
      <c r="I978" s="7">
        <f t="shared" si="680"/>
        <v>17.325</v>
      </c>
      <c r="J978" s="7">
        <f t="shared" si="681"/>
        <v>43.554</v>
      </c>
      <c r="K978" s="7">
        <f t="shared" si="682"/>
        <v>0.9905</v>
      </c>
      <c r="L978" s="43">
        <f t="shared" si="683"/>
        <v>249.77555</v>
      </c>
      <c r="M978" s="43">
        <f t="shared" si="684"/>
        <v>52.4528655</v>
      </c>
      <c r="N978" s="43">
        <f t="shared" si="685"/>
        <v>302.2284155</v>
      </c>
    </row>
    <row r="979" ht="15.75" customHeight="1">
      <c r="A979" s="40" t="s">
        <v>19</v>
      </c>
      <c r="B979" s="42">
        <v>109037.0</v>
      </c>
      <c r="C979" s="41">
        <v>109698.0</v>
      </c>
      <c r="D979" s="5">
        <f t="shared" si="676"/>
        <v>0.661</v>
      </c>
      <c r="E979" s="5">
        <v>169.69</v>
      </c>
      <c r="F979" s="5">
        <v>78.05</v>
      </c>
      <c r="G979" s="7">
        <f t="shared" si="678"/>
        <v>1704.93052</v>
      </c>
      <c r="H979" s="7">
        <f t="shared" si="679"/>
        <v>65.90831</v>
      </c>
      <c r="I979" s="7">
        <f t="shared" si="680"/>
        <v>327.195</v>
      </c>
      <c r="J979" s="7">
        <f t="shared" si="681"/>
        <v>822.5484</v>
      </c>
      <c r="K979" s="7">
        <f t="shared" si="682"/>
        <v>18.7063</v>
      </c>
      <c r="L979" s="43">
        <f t="shared" si="683"/>
        <v>3187.02853</v>
      </c>
      <c r="M979" s="43">
        <f t="shared" si="684"/>
        <v>669.2759913</v>
      </c>
      <c r="N979" s="43">
        <f t="shared" si="685"/>
        <v>3856.304521</v>
      </c>
    </row>
    <row r="980" ht="15.75" customHeight="1">
      <c r="A980" s="5" t="s">
        <v>30</v>
      </c>
      <c r="B980" s="42">
        <v>16302.0</v>
      </c>
      <c r="C980" s="41">
        <v>16431.0</v>
      </c>
      <c r="D980" s="5">
        <f t="shared" si="676"/>
        <v>0.129</v>
      </c>
      <c r="E980" s="5">
        <f t="shared" ref="E980:E981" si="686">29.8+9.34</f>
        <v>39.14</v>
      </c>
      <c r="F980" s="5">
        <v>55.0</v>
      </c>
      <c r="G980" s="7">
        <f t="shared" si="678"/>
        <v>332.73228</v>
      </c>
      <c r="H980" s="7">
        <f t="shared" si="679"/>
        <v>12.86259</v>
      </c>
      <c r="I980" s="7">
        <f t="shared" si="680"/>
        <v>63.855</v>
      </c>
      <c r="J980" s="7">
        <f t="shared" si="681"/>
        <v>160.5276</v>
      </c>
      <c r="K980" s="7">
        <f t="shared" si="682"/>
        <v>3.6507</v>
      </c>
      <c r="L980" s="43">
        <f t="shared" si="683"/>
        <v>667.76817</v>
      </c>
      <c r="M980" s="43">
        <f t="shared" si="684"/>
        <v>140.2313157</v>
      </c>
      <c r="N980" s="43">
        <f t="shared" si="685"/>
        <v>807.9994857</v>
      </c>
    </row>
    <row r="981" ht="15.75" customHeight="1">
      <c r="A981" s="5" t="s">
        <v>31</v>
      </c>
      <c r="B981" s="42">
        <v>79280.0</v>
      </c>
      <c r="C981" s="41">
        <v>79951.0</v>
      </c>
      <c r="D981" s="5">
        <f t="shared" si="676"/>
        <v>0.671</v>
      </c>
      <c r="E981" s="5">
        <f t="shared" si="686"/>
        <v>39.14</v>
      </c>
      <c r="F981" s="5">
        <v>55.0</v>
      </c>
      <c r="G981" s="7">
        <f t="shared" si="678"/>
        <v>1730.72372</v>
      </c>
      <c r="H981" s="7">
        <f t="shared" si="679"/>
        <v>66.90541</v>
      </c>
      <c r="I981" s="7">
        <f t="shared" si="680"/>
        <v>332.145</v>
      </c>
      <c r="J981" s="7">
        <f t="shared" si="681"/>
        <v>834.9924</v>
      </c>
      <c r="K981" s="7">
        <f t="shared" si="682"/>
        <v>18.9893</v>
      </c>
      <c r="L981" s="44">
        <f t="shared" si="683"/>
        <v>3077.89583</v>
      </c>
      <c r="M981" s="43">
        <f t="shared" si="684"/>
        <v>646.3581243</v>
      </c>
      <c r="N981" s="43">
        <f t="shared" si="685"/>
        <v>3724.253954</v>
      </c>
    </row>
    <row r="982" ht="15.75" customHeight="1">
      <c r="A982" s="5"/>
      <c r="C982" s="4"/>
      <c r="D982" s="5"/>
      <c r="G982" s="5"/>
      <c r="L982" s="45">
        <f>SUM(L971:L981)</f>
        <v>9878.05042</v>
      </c>
      <c r="M982" s="46">
        <f t="shared" si="684"/>
        <v>2074.390588</v>
      </c>
      <c r="N982" s="46">
        <f t="shared" si="685"/>
        <v>11952.44101</v>
      </c>
    </row>
    <row r="983" ht="15.75" customHeight="1">
      <c r="A983" s="5"/>
      <c r="C983" s="4"/>
      <c r="D983" s="5">
        <f>SUM(D971:D981)</f>
        <v>1.954</v>
      </c>
      <c r="G983" s="5"/>
    </row>
    <row r="984" ht="15.75" customHeight="1">
      <c r="A984" s="5"/>
      <c r="C984" s="4"/>
      <c r="D984" s="5"/>
      <c r="G984" s="5"/>
      <c r="I984" s="15" t="s">
        <v>66</v>
      </c>
      <c r="L984" s="15">
        <v>1700.0</v>
      </c>
    </row>
    <row r="985" ht="15.75" customHeight="1">
      <c r="A985" s="5" t="s">
        <v>68</v>
      </c>
      <c r="B985" s="15">
        <v>100573.0</v>
      </c>
      <c r="C985" s="4">
        <v>100573.0</v>
      </c>
      <c r="D985" s="5">
        <f>(C985-B985)/1000</f>
        <v>0</v>
      </c>
      <c r="G985" s="5"/>
      <c r="I985" s="15" t="s">
        <v>67</v>
      </c>
      <c r="L985" s="47">
        <f>L982-L984</f>
        <v>8178.05042</v>
      </c>
    </row>
    <row r="986" ht="15.75" customHeight="1">
      <c r="A986" s="5"/>
      <c r="C986" s="4"/>
      <c r="D986" s="5"/>
      <c r="G986" s="5"/>
    </row>
    <row r="987" ht="15.75" customHeight="1">
      <c r="A987" s="5"/>
      <c r="C987" s="4"/>
      <c r="D987" s="5"/>
      <c r="G987" s="5"/>
    </row>
    <row r="988" ht="15.75" customHeight="1">
      <c r="A988" s="5" t="s">
        <v>74</v>
      </c>
      <c r="C988" s="4"/>
      <c r="D988" s="5"/>
      <c r="G988" s="5"/>
    </row>
    <row r="989" ht="15.75" customHeight="1">
      <c r="A989" s="1"/>
      <c r="C989" s="4"/>
      <c r="D989" s="5"/>
      <c r="G989" s="5"/>
    </row>
    <row r="990" ht="15.75" customHeight="1">
      <c r="A990" s="5" t="s">
        <v>11</v>
      </c>
      <c r="B990" s="48">
        <v>5120.0</v>
      </c>
      <c r="C990" s="41">
        <v>5150.0</v>
      </c>
      <c r="D990" s="5">
        <f t="shared" ref="D990:D1000" si="687">(C990-B990)/1000</f>
        <v>0.03</v>
      </c>
      <c r="E990" s="5">
        <f t="shared" ref="E990:E997" si="688">29.8+9.34</f>
        <v>39.14</v>
      </c>
      <c r="F990" s="5">
        <v>55.0</v>
      </c>
      <c r="G990" s="7">
        <f t="shared" ref="G990:G1000" si="689">D990*$G$2</f>
        <v>77.3796</v>
      </c>
      <c r="H990" s="7">
        <f t="shared" ref="H990:H1000" si="690">D990*$H$2</f>
        <v>2.9913</v>
      </c>
      <c r="I990" s="7">
        <f t="shared" ref="I990:I1000" si="691">D990*$I$2</f>
        <v>14.85</v>
      </c>
      <c r="J990" s="7">
        <f t="shared" ref="J990:J1000" si="692">D990*$J$2</f>
        <v>37.332</v>
      </c>
      <c r="K990" s="7">
        <f t="shared" ref="K990:K1000" si="693">D990*$K$2</f>
        <v>0.849</v>
      </c>
      <c r="L990" s="43">
        <f t="shared" ref="L990:L1000" si="694">SUM(E990:K990)</f>
        <v>227.5419</v>
      </c>
      <c r="M990" s="43">
        <f t="shared" ref="M990:M1001" si="695">L990*0.21</f>
        <v>47.783799</v>
      </c>
      <c r="N990" s="43">
        <f t="shared" ref="N990:N1001" si="696">L990+M990</f>
        <v>275.325699</v>
      </c>
    </row>
    <row r="991" ht="15.75" customHeight="1">
      <c r="A991" s="5" t="s">
        <v>12</v>
      </c>
      <c r="B991" s="48">
        <v>3806.0</v>
      </c>
      <c r="C991" s="41">
        <v>3897.0</v>
      </c>
      <c r="D991" s="5">
        <f t="shared" si="687"/>
        <v>0.091</v>
      </c>
      <c r="E991" s="5">
        <f t="shared" si="688"/>
        <v>39.14</v>
      </c>
      <c r="F991" s="5">
        <v>55.0</v>
      </c>
      <c r="G991" s="7">
        <f t="shared" si="689"/>
        <v>234.71812</v>
      </c>
      <c r="H991" s="7">
        <f t="shared" si="690"/>
        <v>9.07361</v>
      </c>
      <c r="I991" s="7">
        <f t="shared" si="691"/>
        <v>45.045</v>
      </c>
      <c r="J991" s="7">
        <f t="shared" si="692"/>
        <v>113.2404</v>
      </c>
      <c r="K991" s="7">
        <f t="shared" si="693"/>
        <v>2.5753</v>
      </c>
      <c r="L991" s="43">
        <f t="shared" si="694"/>
        <v>498.79243</v>
      </c>
      <c r="M991" s="43">
        <f t="shared" si="695"/>
        <v>104.7464103</v>
      </c>
      <c r="N991" s="43">
        <f t="shared" si="696"/>
        <v>603.5388403</v>
      </c>
    </row>
    <row r="992" ht="15.75" customHeight="1">
      <c r="A992" s="5" t="s">
        <v>13</v>
      </c>
      <c r="B992" s="48">
        <v>5109.0</v>
      </c>
      <c r="C992" s="41">
        <v>5162.0</v>
      </c>
      <c r="D992" s="5">
        <f t="shared" si="687"/>
        <v>0.053</v>
      </c>
      <c r="E992" s="5">
        <f t="shared" si="688"/>
        <v>39.14</v>
      </c>
      <c r="F992" s="5">
        <v>55.0</v>
      </c>
      <c r="G992" s="7">
        <f t="shared" si="689"/>
        <v>136.70396</v>
      </c>
      <c r="H992" s="7">
        <f t="shared" si="690"/>
        <v>5.28463</v>
      </c>
      <c r="I992" s="7">
        <f t="shared" si="691"/>
        <v>26.235</v>
      </c>
      <c r="J992" s="7">
        <f t="shared" si="692"/>
        <v>65.9532</v>
      </c>
      <c r="K992" s="7">
        <f t="shared" si="693"/>
        <v>1.4999</v>
      </c>
      <c r="L992" s="43">
        <f t="shared" si="694"/>
        <v>329.81669</v>
      </c>
      <c r="M992" s="43">
        <f t="shared" si="695"/>
        <v>69.2615049</v>
      </c>
      <c r="N992" s="43">
        <f t="shared" si="696"/>
        <v>399.0781949</v>
      </c>
    </row>
    <row r="993" ht="15.75" customHeight="1">
      <c r="A993" s="5" t="s">
        <v>14</v>
      </c>
      <c r="B993" s="48">
        <v>3898.0</v>
      </c>
      <c r="C993" s="41">
        <v>3910.0</v>
      </c>
      <c r="D993" s="5">
        <f t="shared" si="687"/>
        <v>0.012</v>
      </c>
      <c r="E993" s="5">
        <f t="shared" si="688"/>
        <v>39.14</v>
      </c>
      <c r="F993" s="5">
        <v>55.0</v>
      </c>
      <c r="G993" s="7">
        <f t="shared" si="689"/>
        <v>30.95184</v>
      </c>
      <c r="H993" s="7">
        <f t="shared" si="690"/>
        <v>1.19652</v>
      </c>
      <c r="I993" s="7">
        <f t="shared" si="691"/>
        <v>5.94</v>
      </c>
      <c r="J993" s="7">
        <f t="shared" si="692"/>
        <v>14.9328</v>
      </c>
      <c r="K993" s="7">
        <f t="shared" si="693"/>
        <v>0.3396</v>
      </c>
      <c r="L993" s="43">
        <f t="shared" si="694"/>
        <v>147.50076</v>
      </c>
      <c r="M993" s="43">
        <f t="shared" si="695"/>
        <v>30.9751596</v>
      </c>
      <c r="N993" s="43">
        <f t="shared" si="696"/>
        <v>178.4759196</v>
      </c>
    </row>
    <row r="994" ht="15.75" customHeight="1">
      <c r="A994" s="5" t="s">
        <v>15</v>
      </c>
      <c r="B994" s="48">
        <v>4494.0</v>
      </c>
      <c r="C994" s="41">
        <v>4517.0</v>
      </c>
      <c r="D994" s="5">
        <f t="shared" si="687"/>
        <v>0.023</v>
      </c>
      <c r="E994" s="5">
        <f t="shared" si="688"/>
        <v>39.14</v>
      </c>
      <c r="F994" s="5">
        <v>55.0</v>
      </c>
      <c r="G994" s="7">
        <f t="shared" si="689"/>
        <v>59.32436</v>
      </c>
      <c r="H994" s="7">
        <f t="shared" si="690"/>
        <v>2.29333</v>
      </c>
      <c r="I994" s="7">
        <f t="shared" si="691"/>
        <v>11.385</v>
      </c>
      <c r="J994" s="7">
        <f t="shared" si="692"/>
        <v>28.6212</v>
      </c>
      <c r="K994" s="7">
        <f t="shared" si="693"/>
        <v>0.6509</v>
      </c>
      <c r="L994" s="43">
        <f t="shared" si="694"/>
        <v>196.41479</v>
      </c>
      <c r="M994" s="43">
        <f t="shared" si="695"/>
        <v>41.2471059</v>
      </c>
      <c r="N994" s="43">
        <f t="shared" si="696"/>
        <v>237.6618959</v>
      </c>
    </row>
    <row r="995" ht="15.75" customHeight="1">
      <c r="A995" s="5" t="s">
        <v>16</v>
      </c>
      <c r="B995" s="48">
        <v>3280.0</v>
      </c>
      <c r="C995" s="41">
        <v>3314.0</v>
      </c>
      <c r="D995" s="5">
        <f t="shared" si="687"/>
        <v>0.034</v>
      </c>
      <c r="E995" s="5">
        <f t="shared" si="688"/>
        <v>39.14</v>
      </c>
      <c r="F995" s="5">
        <v>55.0</v>
      </c>
      <c r="G995" s="7">
        <f t="shared" si="689"/>
        <v>87.69688</v>
      </c>
      <c r="H995" s="7">
        <f t="shared" si="690"/>
        <v>3.39014</v>
      </c>
      <c r="I995" s="7">
        <f t="shared" si="691"/>
        <v>16.83</v>
      </c>
      <c r="J995" s="7">
        <f t="shared" si="692"/>
        <v>42.3096</v>
      </c>
      <c r="K995" s="7">
        <f t="shared" si="693"/>
        <v>0.9622</v>
      </c>
      <c r="L995" s="43">
        <f t="shared" si="694"/>
        <v>245.32882</v>
      </c>
      <c r="M995" s="43">
        <f t="shared" si="695"/>
        <v>51.5190522</v>
      </c>
      <c r="N995" s="43">
        <f t="shared" si="696"/>
        <v>296.8478722</v>
      </c>
    </row>
    <row r="996" ht="15.75" customHeight="1">
      <c r="A996" s="5" t="s">
        <v>17</v>
      </c>
      <c r="B996" s="48">
        <v>4218.0</v>
      </c>
      <c r="C996" s="41">
        <v>4321.0</v>
      </c>
      <c r="D996" s="5">
        <f t="shared" si="687"/>
        <v>0.103</v>
      </c>
      <c r="E996" s="5">
        <f t="shared" si="688"/>
        <v>39.14</v>
      </c>
      <c r="F996" s="5">
        <v>55.0</v>
      </c>
      <c r="G996" s="7">
        <f t="shared" si="689"/>
        <v>265.66996</v>
      </c>
      <c r="H996" s="7">
        <f t="shared" si="690"/>
        <v>10.27013</v>
      </c>
      <c r="I996" s="7">
        <f t="shared" si="691"/>
        <v>50.985</v>
      </c>
      <c r="J996" s="7">
        <f t="shared" si="692"/>
        <v>128.1732</v>
      </c>
      <c r="K996" s="7">
        <f t="shared" si="693"/>
        <v>2.9149</v>
      </c>
      <c r="L996" s="43">
        <f t="shared" si="694"/>
        <v>552.15319</v>
      </c>
      <c r="M996" s="43">
        <f t="shared" si="695"/>
        <v>115.9521699</v>
      </c>
      <c r="N996" s="43">
        <f t="shared" si="696"/>
        <v>668.1053599</v>
      </c>
    </row>
    <row r="997" ht="15.75" customHeight="1">
      <c r="A997" s="5" t="s">
        <v>18</v>
      </c>
      <c r="B997" s="48">
        <v>3871.0</v>
      </c>
      <c r="C997" s="41">
        <v>3942.0</v>
      </c>
      <c r="D997" s="5">
        <f t="shared" si="687"/>
        <v>0.071</v>
      </c>
      <c r="E997" s="5">
        <f t="shared" si="688"/>
        <v>39.14</v>
      </c>
      <c r="F997" s="5">
        <v>55.0</v>
      </c>
      <c r="G997" s="7">
        <f t="shared" si="689"/>
        <v>183.13172</v>
      </c>
      <c r="H997" s="7">
        <f t="shared" si="690"/>
        <v>7.07941</v>
      </c>
      <c r="I997" s="7">
        <f t="shared" si="691"/>
        <v>35.145</v>
      </c>
      <c r="J997" s="7">
        <f t="shared" si="692"/>
        <v>88.3524</v>
      </c>
      <c r="K997" s="7">
        <f t="shared" si="693"/>
        <v>2.0093</v>
      </c>
      <c r="L997" s="43">
        <f t="shared" si="694"/>
        <v>409.85783</v>
      </c>
      <c r="M997" s="43">
        <f t="shared" si="695"/>
        <v>86.0701443</v>
      </c>
      <c r="N997" s="43">
        <f t="shared" si="696"/>
        <v>495.9279743</v>
      </c>
    </row>
    <row r="998" ht="15.75" customHeight="1">
      <c r="A998" s="40" t="s">
        <v>19</v>
      </c>
      <c r="B998" s="48">
        <v>109698.0</v>
      </c>
      <c r="C998" s="41">
        <v>110913.0</v>
      </c>
      <c r="D998" s="5">
        <f t="shared" si="687"/>
        <v>1.215</v>
      </c>
      <c r="E998" s="5">
        <v>169.69</v>
      </c>
      <c r="F998" s="5">
        <v>78.05</v>
      </c>
      <c r="G998" s="7">
        <f t="shared" si="689"/>
        <v>3133.8738</v>
      </c>
      <c r="H998" s="7">
        <f t="shared" si="690"/>
        <v>121.14765</v>
      </c>
      <c r="I998" s="7">
        <f t="shared" si="691"/>
        <v>601.425</v>
      </c>
      <c r="J998" s="7">
        <f t="shared" si="692"/>
        <v>1511.946</v>
      </c>
      <c r="K998" s="7">
        <f t="shared" si="693"/>
        <v>34.3845</v>
      </c>
      <c r="L998" s="43">
        <f t="shared" si="694"/>
        <v>5650.51695</v>
      </c>
      <c r="M998" s="43">
        <f t="shared" si="695"/>
        <v>1186.60856</v>
      </c>
      <c r="N998" s="43">
        <f t="shared" si="696"/>
        <v>6837.12551</v>
      </c>
    </row>
    <row r="999" ht="15.75" customHeight="1">
      <c r="A999" s="5" t="s">
        <v>30</v>
      </c>
      <c r="B999" s="48">
        <v>16431.0</v>
      </c>
      <c r="C999" s="41">
        <v>16587.0</v>
      </c>
      <c r="D999" s="5">
        <f t="shared" si="687"/>
        <v>0.156</v>
      </c>
      <c r="E999" s="5">
        <f t="shared" ref="E999:E1000" si="697">29.8+9.34</f>
        <v>39.14</v>
      </c>
      <c r="F999" s="5">
        <v>55.0</v>
      </c>
      <c r="G999" s="7">
        <f t="shared" si="689"/>
        <v>402.37392</v>
      </c>
      <c r="H999" s="7">
        <f t="shared" si="690"/>
        <v>15.55476</v>
      </c>
      <c r="I999" s="7">
        <f t="shared" si="691"/>
        <v>77.22</v>
      </c>
      <c r="J999" s="7">
        <f t="shared" si="692"/>
        <v>194.1264</v>
      </c>
      <c r="K999" s="7">
        <f t="shared" si="693"/>
        <v>4.4148</v>
      </c>
      <c r="L999" s="43">
        <f t="shared" si="694"/>
        <v>787.82988</v>
      </c>
      <c r="M999" s="43">
        <f t="shared" si="695"/>
        <v>165.4442748</v>
      </c>
      <c r="N999" s="43">
        <f t="shared" si="696"/>
        <v>953.2741548</v>
      </c>
    </row>
    <row r="1000" ht="15.75" customHeight="1">
      <c r="A1000" s="5" t="s">
        <v>31</v>
      </c>
      <c r="B1000" s="48">
        <v>79951.0</v>
      </c>
      <c r="C1000" s="41">
        <v>80723.0</v>
      </c>
      <c r="D1000" s="5">
        <f t="shared" si="687"/>
        <v>0.772</v>
      </c>
      <c r="E1000" s="5">
        <f t="shared" si="697"/>
        <v>39.14</v>
      </c>
      <c r="F1000" s="5">
        <v>55.0</v>
      </c>
      <c r="G1000" s="7">
        <f t="shared" si="689"/>
        <v>1991.23504</v>
      </c>
      <c r="H1000" s="7">
        <f t="shared" si="690"/>
        <v>76.97612</v>
      </c>
      <c r="I1000" s="7">
        <f t="shared" si="691"/>
        <v>382.14</v>
      </c>
      <c r="J1000" s="7">
        <f t="shared" si="692"/>
        <v>960.6768</v>
      </c>
      <c r="K1000" s="7">
        <f t="shared" si="693"/>
        <v>21.8476</v>
      </c>
      <c r="L1000" s="44">
        <f t="shared" si="694"/>
        <v>3527.01556</v>
      </c>
      <c r="M1000" s="43">
        <f t="shared" si="695"/>
        <v>740.6732676</v>
      </c>
      <c r="N1000" s="43">
        <f t="shared" si="696"/>
        <v>4267.688828</v>
      </c>
    </row>
    <row r="1001" ht="15.75" customHeight="1">
      <c r="A1001" s="5"/>
      <c r="C1001" s="4"/>
      <c r="D1001" s="5"/>
      <c r="G1001" s="5"/>
      <c r="L1001" s="45">
        <f>SUM(L990:L1000)</f>
        <v>12572.7688</v>
      </c>
      <c r="M1001" s="46">
        <f t="shared" si="695"/>
        <v>2640.281448</v>
      </c>
      <c r="N1001" s="46">
        <f t="shared" si="696"/>
        <v>15213.05025</v>
      </c>
    </row>
    <row r="1002" ht="15.75" customHeight="1">
      <c r="A1002" s="5"/>
      <c r="C1002" s="4"/>
      <c r="D1002" s="5">
        <f>SUM(D990:D1000)</f>
        <v>2.56</v>
      </c>
      <c r="G1002" s="5"/>
    </row>
    <row r="1003" ht="15.75" customHeight="1">
      <c r="A1003" s="5"/>
      <c r="C1003" s="4"/>
      <c r="D1003" s="5"/>
      <c r="G1003" s="5"/>
      <c r="I1003" s="15" t="s">
        <v>66</v>
      </c>
      <c r="L1003" s="15">
        <v>1700.0</v>
      </c>
    </row>
    <row r="1004" ht="15.75" customHeight="1">
      <c r="A1004" s="5" t="s">
        <v>68</v>
      </c>
      <c r="B1004" s="15">
        <v>100573.0</v>
      </c>
      <c r="C1004" s="4">
        <v>100573.0</v>
      </c>
      <c r="D1004" s="5">
        <f>(C1004-B1004)/1000</f>
        <v>0</v>
      </c>
      <c r="G1004" s="5"/>
      <c r="I1004" s="15" t="s">
        <v>67</v>
      </c>
      <c r="L1004" s="47">
        <f>L1001-L1003</f>
        <v>10872.7688</v>
      </c>
    </row>
    <row r="1005" ht="15.75" customHeight="1">
      <c r="A1005" s="5"/>
      <c r="C1005" s="4"/>
      <c r="D1005" s="5"/>
      <c r="G1005" s="5"/>
    </row>
    <row r="1006" ht="15.75" customHeight="1">
      <c r="A1006" s="5"/>
      <c r="C1006" s="4"/>
      <c r="D1006" s="5"/>
      <c r="G1006" s="5"/>
    </row>
    <row r="1007" ht="15.75" customHeight="1">
      <c r="A1007" s="5" t="s">
        <v>75</v>
      </c>
      <c r="C1007" s="4"/>
      <c r="D1007" s="5"/>
      <c r="G1007" s="5"/>
    </row>
    <row r="1008" ht="15.75" customHeight="1">
      <c r="A1008" s="1"/>
      <c r="C1008" s="4"/>
      <c r="D1008" s="5"/>
      <c r="G1008" s="5"/>
    </row>
    <row r="1009" ht="15.75" customHeight="1">
      <c r="A1009" s="5" t="s">
        <v>11</v>
      </c>
      <c r="B1009" s="41">
        <v>5150.0</v>
      </c>
      <c r="C1009" s="41">
        <v>5183.0</v>
      </c>
      <c r="D1009" s="5">
        <f t="shared" ref="D1009:D1019" si="698">(C1009-B1009)/1000</f>
        <v>0.033</v>
      </c>
      <c r="E1009" s="5">
        <f t="shared" ref="E1009:E1016" si="699">29.8+9.34</f>
        <v>39.14</v>
      </c>
      <c r="F1009" s="5">
        <v>55.0</v>
      </c>
      <c r="G1009" s="7">
        <f t="shared" ref="G1009:G1019" si="700">D1009*$G$2</f>
        <v>85.11756</v>
      </c>
      <c r="H1009" s="7">
        <f t="shared" ref="H1009:H1019" si="701">D1009*$H$2</f>
        <v>3.29043</v>
      </c>
      <c r="I1009" s="7">
        <f t="shared" ref="I1009:I1019" si="702">D1009*$I$2</f>
        <v>16.335</v>
      </c>
      <c r="J1009" s="7">
        <f t="shared" ref="J1009:J1019" si="703">D1009*$J$2</f>
        <v>41.0652</v>
      </c>
      <c r="K1009" s="7">
        <f t="shared" ref="K1009:K1019" si="704">D1009*$K$2</f>
        <v>0.9339</v>
      </c>
      <c r="L1009" s="43">
        <f t="shared" ref="L1009:L1019" si="705">SUM(E1009:K1009)</f>
        <v>240.88209</v>
      </c>
      <c r="M1009" s="43">
        <f t="shared" ref="M1009:M1020" si="706">L1009*0.21</f>
        <v>50.5852389</v>
      </c>
      <c r="N1009" s="43">
        <f t="shared" ref="N1009:N1020" si="707">L1009+M1009</f>
        <v>291.4673289</v>
      </c>
    </row>
    <row r="1010" ht="15.75" customHeight="1">
      <c r="A1010" s="5" t="s">
        <v>12</v>
      </c>
      <c r="B1010" s="41">
        <v>3897.0</v>
      </c>
      <c r="C1010" s="41">
        <v>3926.0</v>
      </c>
      <c r="D1010" s="5">
        <f t="shared" si="698"/>
        <v>0.029</v>
      </c>
      <c r="E1010" s="5">
        <f t="shared" si="699"/>
        <v>39.14</v>
      </c>
      <c r="F1010" s="5">
        <v>55.0</v>
      </c>
      <c r="G1010" s="7">
        <f t="shared" si="700"/>
        <v>74.80028</v>
      </c>
      <c r="H1010" s="7">
        <f t="shared" si="701"/>
        <v>2.89159</v>
      </c>
      <c r="I1010" s="7">
        <f t="shared" si="702"/>
        <v>14.355</v>
      </c>
      <c r="J1010" s="7">
        <f t="shared" si="703"/>
        <v>36.0876</v>
      </c>
      <c r="K1010" s="7">
        <f t="shared" si="704"/>
        <v>0.8207</v>
      </c>
      <c r="L1010" s="43">
        <f t="shared" si="705"/>
        <v>223.09517</v>
      </c>
      <c r="M1010" s="43">
        <f t="shared" si="706"/>
        <v>46.8499857</v>
      </c>
      <c r="N1010" s="43">
        <f t="shared" si="707"/>
        <v>269.9451557</v>
      </c>
    </row>
    <row r="1011" ht="15.75" customHeight="1">
      <c r="A1011" s="5" t="s">
        <v>13</v>
      </c>
      <c r="B1011" s="41">
        <v>5162.0</v>
      </c>
      <c r="C1011" s="41">
        <v>5204.0</v>
      </c>
      <c r="D1011" s="5">
        <f t="shared" si="698"/>
        <v>0.042</v>
      </c>
      <c r="E1011" s="5">
        <f t="shared" si="699"/>
        <v>39.14</v>
      </c>
      <c r="F1011" s="5">
        <v>55.0</v>
      </c>
      <c r="G1011" s="7">
        <f t="shared" si="700"/>
        <v>108.33144</v>
      </c>
      <c r="H1011" s="7">
        <f t="shared" si="701"/>
        <v>4.18782</v>
      </c>
      <c r="I1011" s="7">
        <f t="shared" si="702"/>
        <v>20.79</v>
      </c>
      <c r="J1011" s="7">
        <f t="shared" si="703"/>
        <v>52.2648</v>
      </c>
      <c r="K1011" s="7">
        <f t="shared" si="704"/>
        <v>1.1886</v>
      </c>
      <c r="L1011" s="43">
        <f t="shared" si="705"/>
        <v>280.90266</v>
      </c>
      <c r="M1011" s="43">
        <f t="shared" si="706"/>
        <v>58.9895586</v>
      </c>
      <c r="N1011" s="43">
        <f t="shared" si="707"/>
        <v>339.8922186</v>
      </c>
    </row>
    <row r="1012" ht="15.75" customHeight="1">
      <c r="A1012" s="5" t="s">
        <v>14</v>
      </c>
      <c r="B1012" s="41">
        <v>3910.0</v>
      </c>
      <c r="C1012" s="41">
        <v>3929.0</v>
      </c>
      <c r="D1012" s="5">
        <f t="shared" si="698"/>
        <v>0.019</v>
      </c>
      <c r="E1012" s="5">
        <f t="shared" si="699"/>
        <v>39.14</v>
      </c>
      <c r="F1012" s="5">
        <v>55.0</v>
      </c>
      <c r="G1012" s="7">
        <f t="shared" si="700"/>
        <v>49.00708</v>
      </c>
      <c r="H1012" s="7">
        <f t="shared" si="701"/>
        <v>1.89449</v>
      </c>
      <c r="I1012" s="7">
        <f t="shared" si="702"/>
        <v>9.405</v>
      </c>
      <c r="J1012" s="7">
        <f t="shared" si="703"/>
        <v>23.6436</v>
      </c>
      <c r="K1012" s="7">
        <f t="shared" si="704"/>
        <v>0.5377</v>
      </c>
      <c r="L1012" s="43">
        <f t="shared" si="705"/>
        <v>178.62787</v>
      </c>
      <c r="M1012" s="43">
        <f t="shared" si="706"/>
        <v>37.5118527</v>
      </c>
      <c r="N1012" s="43">
        <f t="shared" si="707"/>
        <v>216.1397227</v>
      </c>
    </row>
    <row r="1013" ht="15.75" customHeight="1">
      <c r="A1013" s="5" t="s">
        <v>15</v>
      </c>
      <c r="B1013" s="41">
        <v>4517.0</v>
      </c>
      <c r="C1013" s="41">
        <v>4562.0</v>
      </c>
      <c r="D1013" s="5">
        <f t="shared" si="698"/>
        <v>0.045</v>
      </c>
      <c r="E1013" s="5">
        <f t="shared" si="699"/>
        <v>39.14</v>
      </c>
      <c r="F1013" s="5">
        <v>55.0</v>
      </c>
      <c r="G1013" s="7">
        <f t="shared" si="700"/>
        <v>116.0694</v>
      </c>
      <c r="H1013" s="7">
        <f t="shared" si="701"/>
        <v>4.48695</v>
      </c>
      <c r="I1013" s="7">
        <f t="shared" si="702"/>
        <v>22.275</v>
      </c>
      <c r="J1013" s="7">
        <f t="shared" si="703"/>
        <v>55.998</v>
      </c>
      <c r="K1013" s="7">
        <f t="shared" si="704"/>
        <v>1.2735</v>
      </c>
      <c r="L1013" s="43">
        <f t="shared" si="705"/>
        <v>294.24285</v>
      </c>
      <c r="M1013" s="43">
        <f t="shared" si="706"/>
        <v>61.7909985</v>
      </c>
      <c r="N1013" s="43">
        <f t="shared" si="707"/>
        <v>356.0338485</v>
      </c>
    </row>
    <row r="1014" ht="15.75" customHeight="1">
      <c r="A1014" s="5" t="s">
        <v>16</v>
      </c>
      <c r="B1014" s="41">
        <v>3314.0</v>
      </c>
      <c r="C1014" s="41">
        <v>3343.0</v>
      </c>
      <c r="D1014" s="5">
        <f t="shared" si="698"/>
        <v>0.029</v>
      </c>
      <c r="E1014" s="5">
        <f t="shared" si="699"/>
        <v>39.14</v>
      </c>
      <c r="F1014" s="5">
        <v>55.0</v>
      </c>
      <c r="G1014" s="7">
        <f t="shared" si="700"/>
        <v>74.80028</v>
      </c>
      <c r="H1014" s="7">
        <f t="shared" si="701"/>
        <v>2.89159</v>
      </c>
      <c r="I1014" s="7">
        <f t="shared" si="702"/>
        <v>14.355</v>
      </c>
      <c r="J1014" s="7">
        <f t="shared" si="703"/>
        <v>36.0876</v>
      </c>
      <c r="K1014" s="7">
        <f t="shared" si="704"/>
        <v>0.8207</v>
      </c>
      <c r="L1014" s="43">
        <f t="shared" si="705"/>
        <v>223.09517</v>
      </c>
      <c r="M1014" s="43">
        <f t="shared" si="706"/>
        <v>46.8499857</v>
      </c>
      <c r="N1014" s="43">
        <f t="shared" si="707"/>
        <v>269.9451557</v>
      </c>
    </row>
    <row r="1015" ht="15.75" customHeight="1">
      <c r="A1015" s="5" t="s">
        <v>17</v>
      </c>
      <c r="B1015" s="41">
        <v>4321.0</v>
      </c>
      <c r="C1015" s="41">
        <v>4511.0</v>
      </c>
      <c r="D1015" s="5">
        <f t="shared" si="698"/>
        <v>0.19</v>
      </c>
      <c r="E1015" s="5">
        <f t="shared" si="699"/>
        <v>39.14</v>
      </c>
      <c r="F1015" s="5">
        <v>55.0</v>
      </c>
      <c r="G1015" s="7">
        <f t="shared" si="700"/>
        <v>490.0708</v>
      </c>
      <c r="H1015" s="7">
        <f t="shared" si="701"/>
        <v>18.9449</v>
      </c>
      <c r="I1015" s="7">
        <f t="shared" si="702"/>
        <v>94.05</v>
      </c>
      <c r="J1015" s="7">
        <f t="shared" si="703"/>
        <v>236.436</v>
      </c>
      <c r="K1015" s="7">
        <f t="shared" si="704"/>
        <v>5.377</v>
      </c>
      <c r="L1015" s="43">
        <f t="shared" si="705"/>
        <v>939.0187</v>
      </c>
      <c r="M1015" s="43">
        <f t="shared" si="706"/>
        <v>197.193927</v>
      </c>
      <c r="N1015" s="43">
        <f t="shared" si="707"/>
        <v>1136.212627</v>
      </c>
    </row>
    <row r="1016" ht="15.75" customHeight="1">
      <c r="A1016" s="5" t="s">
        <v>18</v>
      </c>
      <c r="B1016" s="41">
        <v>3942.0</v>
      </c>
      <c r="C1016" s="41">
        <v>4054.0</v>
      </c>
      <c r="D1016" s="5">
        <f t="shared" si="698"/>
        <v>0.112</v>
      </c>
      <c r="E1016" s="5">
        <f t="shared" si="699"/>
        <v>39.14</v>
      </c>
      <c r="F1016" s="5">
        <v>55.0</v>
      </c>
      <c r="G1016" s="7">
        <f t="shared" si="700"/>
        <v>288.88384</v>
      </c>
      <c r="H1016" s="7">
        <f t="shared" si="701"/>
        <v>11.16752</v>
      </c>
      <c r="I1016" s="7">
        <f t="shared" si="702"/>
        <v>55.44</v>
      </c>
      <c r="J1016" s="7">
        <f t="shared" si="703"/>
        <v>139.3728</v>
      </c>
      <c r="K1016" s="7">
        <f t="shared" si="704"/>
        <v>3.1696</v>
      </c>
      <c r="L1016" s="43">
        <f t="shared" si="705"/>
        <v>592.17376</v>
      </c>
      <c r="M1016" s="43">
        <f t="shared" si="706"/>
        <v>124.3564896</v>
      </c>
      <c r="N1016" s="43">
        <f t="shared" si="707"/>
        <v>716.5302496</v>
      </c>
    </row>
    <row r="1017" ht="15.75" customHeight="1">
      <c r="A1017" s="40" t="s">
        <v>19</v>
      </c>
      <c r="B1017" s="41">
        <v>110913.0</v>
      </c>
      <c r="C1017" s="41">
        <v>111922.0</v>
      </c>
      <c r="D1017" s="5">
        <f t="shared" si="698"/>
        <v>1.009</v>
      </c>
      <c r="E1017" s="5">
        <v>169.69</v>
      </c>
      <c r="F1017" s="5">
        <v>78.05</v>
      </c>
      <c r="G1017" s="7">
        <f t="shared" si="700"/>
        <v>2602.53388</v>
      </c>
      <c r="H1017" s="7">
        <f t="shared" si="701"/>
        <v>100.60739</v>
      </c>
      <c r="I1017" s="7">
        <f t="shared" si="702"/>
        <v>499.455</v>
      </c>
      <c r="J1017" s="7">
        <f t="shared" si="703"/>
        <v>1255.5996</v>
      </c>
      <c r="K1017" s="7">
        <f t="shared" si="704"/>
        <v>28.5547</v>
      </c>
      <c r="L1017" s="43">
        <f t="shared" si="705"/>
        <v>4734.49057</v>
      </c>
      <c r="M1017" s="43">
        <f t="shared" si="706"/>
        <v>994.2430197</v>
      </c>
      <c r="N1017" s="43">
        <f t="shared" si="707"/>
        <v>5728.73359</v>
      </c>
    </row>
    <row r="1018" ht="15.75" customHeight="1">
      <c r="A1018" s="5" t="s">
        <v>30</v>
      </c>
      <c r="B1018" s="41">
        <v>16587.0</v>
      </c>
      <c r="C1018" s="41">
        <v>16729.0</v>
      </c>
      <c r="D1018" s="5">
        <f t="shared" si="698"/>
        <v>0.142</v>
      </c>
      <c r="E1018" s="5">
        <f t="shared" ref="E1018:E1019" si="708">29.8+9.34</f>
        <v>39.14</v>
      </c>
      <c r="F1018" s="5">
        <v>55.0</v>
      </c>
      <c r="G1018" s="7">
        <f t="shared" si="700"/>
        <v>366.26344</v>
      </c>
      <c r="H1018" s="7">
        <f t="shared" si="701"/>
        <v>14.15882</v>
      </c>
      <c r="I1018" s="7">
        <f t="shared" si="702"/>
        <v>70.29</v>
      </c>
      <c r="J1018" s="7">
        <f t="shared" si="703"/>
        <v>176.7048</v>
      </c>
      <c r="K1018" s="7">
        <f t="shared" si="704"/>
        <v>4.0186</v>
      </c>
      <c r="L1018" s="43">
        <f t="shared" si="705"/>
        <v>725.57566</v>
      </c>
      <c r="M1018" s="43">
        <f t="shared" si="706"/>
        <v>152.3708886</v>
      </c>
      <c r="N1018" s="43">
        <f t="shared" si="707"/>
        <v>877.9465486</v>
      </c>
    </row>
    <row r="1019" ht="15.75" customHeight="1">
      <c r="A1019" s="5" t="s">
        <v>31</v>
      </c>
      <c r="B1019" s="41">
        <v>80723.0</v>
      </c>
      <c r="C1019" s="41">
        <v>81452.0</v>
      </c>
      <c r="D1019" s="5">
        <f t="shared" si="698"/>
        <v>0.729</v>
      </c>
      <c r="E1019" s="5">
        <f t="shared" si="708"/>
        <v>39.14</v>
      </c>
      <c r="F1019" s="5">
        <v>55.0</v>
      </c>
      <c r="G1019" s="7">
        <f t="shared" si="700"/>
        <v>1880.32428</v>
      </c>
      <c r="H1019" s="7">
        <f t="shared" si="701"/>
        <v>72.68859</v>
      </c>
      <c r="I1019" s="7">
        <f t="shared" si="702"/>
        <v>360.855</v>
      </c>
      <c r="J1019" s="7">
        <f t="shared" si="703"/>
        <v>907.1676</v>
      </c>
      <c r="K1019" s="7">
        <f t="shared" si="704"/>
        <v>20.6307</v>
      </c>
      <c r="L1019" s="44">
        <f t="shared" si="705"/>
        <v>3335.80617</v>
      </c>
      <c r="M1019" s="43">
        <f t="shared" si="706"/>
        <v>700.5192957</v>
      </c>
      <c r="N1019" s="43">
        <f t="shared" si="707"/>
        <v>4036.325466</v>
      </c>
    </row>
    <row r="1020" ht="15.75" customHeight="1">
      <c r="A1020" s="5"/>
      <c r="B1020" s="4"/>
      <c r="C1020" s="4"/>
      <c r="D1020" s="5"/>
      <c r="G1020" s="5"/>
      <c r="L1020" s="45">
        <f>SUM(L1009:L1019)</f>
        <v>11767.91067</v>
      </c>
      <c r="M1020" s="46">
        <f t="shared" si="706"/>
        <v>2471.261241</v>
      </c>
      <c r="N1020" s="46">
        <f t="shared" si="707"/>
        <v>14239.17191</v>
      </c>
    </row>
    <row r="1021" ht="15.75" customHeight="1">
      <c r="A1021" s="5"/>
      <c r="B1021" s="4"/>
      <c r="C1021" s="4"/>
      <c r="D1021" s="5">
        <f>SUM(D1009:D1019)</f>
        <v>2.379</v>
      </c>
      <c r="G1021" s="5"/>
    </row>
    <row r="1022" ht="15.75" customHeight="1">
      <c r="A1022" s="5"/>
      <c r="B1022" s="4"/>
      <c r="C1022" s="4"/>
      <c r="D1022" s="5"/>
      <c r="G1022" s="5"/>
      <c r="I1022" s="15" t="s">
        <v>66</v>
      </c>
      <c r="L1022" s="15">
        <v>1700.0</v>
      </c>
    </row>
    <row r="1023" ht="15.75" customHeight="1">
      <c r="A1023" s="5" t="s">
        <v>68</v>
      </c>
      <c r="B1023" s="4">
        <v>100573.0</v>
      </c>
      <c r="C1023" s="4"/>
      <c r="D1023" s="5">
        <f>(C1023-B1023)/1000</f>
        <v>-100.573</v>
      </c>
      <c r="G1023" s="5"/>
      <c r="I1023" s="15" t="s">
        <v>67</v>
      </c>
      <c r="L1023" s="47">
        <f>L1020-L1022</f>
        <v>10067.91067</v>
      </c>
    </row>
    <row r="1024" ht="15.75" customHeight="1">
      <c r="A1024" s="5"/>
      <c r="C1024" s="4"/>
      <c r="D1024" s="5"/>
      <c r="G1024" s="5"/>
    </row>
    <row r="1025" ht="15.75" customHeight="1">
      <c r="A1025" s="5"/>
      <c r="C1025" s="4"/>
      <c r="D1025" s="5"/>
      <c r="G1025" s="5"/>
    </row>
    <row r="1026" ht="15.75" customHeight="1">
      <c r="A1026" s="5" t="s">
        <v>10</v>
      </c>
      <c r="C1026" s="4"/>
      <c r="D1026" s="5"/>
      <c r="G1026" s="5"/>
    </row>
    <row r="1027" ht="15.75" customHeight="1">
      <c r="A1027" s="1"/>
      <c r="C1027" s="4"/>
      <c r="D1027" s="5"/>
      <c r="G1027" s="5"/>
    </row>
    <row r="1028" ht="15.75" customHeight="1">
      <c r="A1028" s="5" t="s">
        <v>11</v>
      </c>
      <c r="B1028" s="41">
        <v>5183.0</v>
      </c>
      <c r="C1028" s="41">
        <v>5256.0</v>
      </c>
      <c r="D1028" s="5">
        <f t="shared" ref="D1028:D1038" si="709">(C1028-B1028)/1000</f>
        <v>0.073</v>
      </c>
      <c r="E1028" s="5">
        <f t="shared" ref="E1028:E1035" si="710">29.8+9.34</f>
        <v>39.14</v>
      </c>
      <c r="F1028" s="5">
        <v>55.0</v>
      </c>
      <c r="G1028" s="7">
        <f t="shared" ref="G1028:G1038" si="711">D1028*$G$2</f>
        <v>188.29036</v>
      </c>
      <c r="H1028" s="7">
        <f t="shared" ref="H1028:H1038" si="712">D1028*$H$2</f>
        <v>7.27883</v>
      </c>
      <c r="I1028" s="7">
        <f t="shared" ref="I1028:I1038" si="713">D1028*$I$2</f>
        <v>36.135</v>
      </c>
      <c r="J1028" s="7">
        <f t="shared" ref="J1028:J1038" si="714">D1028*$J$2</f>
        <v>90.8412</v>
      </c>
      <c r="K1028" s="7">
        <f t="shared" ref="K1028:K1038" si="715">D1028*$K$2</f>
        <v>2.0659</v>
      </c>
      <c r="L1028" s="43">
        <f t="shared" ref="L1028:L1038" si="716">SUM(E1028:K1028)</f>
        <v>418.75129</v>
      </c>
      <c r="M1028" s="43">
        <f t="shared" ref="M1028:M1039" si="717">L1028*0.21</f>
        <v>87.9377709</v>
      </c>
      <c r="N1028" s="43">
        <f t="shared" ref="N1028:N1039" si="718">L1028+M1028</f>
        <v>506.6890609</v>
      </c>
    </row>
    <row r="1029" ht="15.75" customHeight="1">
      <c r="A1029" s="5" t="s">
        <v>12</v>
      </c>
      <c r="B1029" s="41">
        <v>3926.0</v>
      </c>
      <c r="C1029" s="41">
        <v>3975.0</v>
      </c>
      <c r="D1029" s="5">
        <f t="shared" si="709"/>
        <v>0.049</v>
      </c>
      <c r="E1029" s="5">
        <f t="shared" si="710"/>
        <v>39.14</v>
      </c>
      <c r="F1029" s="5">
        <v>55.0</v>
      </c>
      <c r="G1029" s="7">
        <f t="shared" si="711"/>
        <v>126.38668</v>
      </c>
      <c r="H1029" s="7">
        <f t="shared" si="712"/>
        <v>4.88579</v>
      </c>
      <c r="I1029" s="7">
        <f t="shared" si="713"/>
        <v>24.255</v>
      </c>
      <c r="J1029" s="7">
        <f t="shared" si="714"/>
        <v>60.9756</v>
      </c>
      <c r="K1029" s="7">
        <f t="shared" si="715"/>
        <v>1.3867</v>
      </c>
      <c r="L1029" s="43">
        <f t="shared" si="716"/>
        <v>312.02977</v>
      </c>
      <c r="M1029" s="43">
        <f t="shared" si="717"/>
        <v>65.5262517</v>
      </c>
      <c r="N1029" s="43">
        <f t="shared" si="718"/>
        <v>377.5560217</v>
      </c>
    </row>
    <row r="1030" ht="15.75" customHeight="1">
      <c r="A1030" s="5" t="s">
        <v>13</v>
      </c>
      <c r="B1030" s="41">
        <v>5204.0</v>
      </c>
      <c r="C1030" s="41">
        <v>5251.0</v>
      </c>
      <c r="D1030" s="5">
        <f t="shared" si="709"/>
        <v>0.047</v>
      </c>
      <c r="E1030" s="5">
        <f t="shared" si="710"/>
        <v>39.14</v>
      </c>
      <c r="F1030" s="5">
        <v>55.0</v>
      </c>
      <c r="G1030" s="7">
        <f t="shared" si="711"/>
        <v>121.22804</v>
      </c>
      <c r="H1030" s="7">
        <f t="shared" si="712"/>
        <v>4.68637</v>
      </c>
      <c r="I1030" s="7">
        <f t="shared" si="713"/>
        <v>23.265</v>
      </c>
      <c r="J1030" s="7">
        <f t="shared" si="714"/>
        <v>58.4868</v>
      </c>
      <c r="K1030" s="7">
        <f t="shared" si="715"/>
        <v>1.3301</v>
      </c>
      <c r="L1030" s="43">
        <f t="shared" si="716"/>
        <v>303.13631</v>
      </c>
      <c r="M1030" s="43">
        <f t="shared" si="717"/>
        <v>63.6586251</v>
      </c>
      <c r="N1030" s="43">
        <f t="shared" si="718"/>
        <v>366.7949351</v>
      </c>
    </row>
    <row r="1031" ht="15.75" customHeight="1">
      <c r="A1031" s="5" t="s">
        <v>14</v>
      </c>
      <c r="B1031" s="41">
        <v>3929.0</v>
      </c>
      <c r="C1031" s="41">
        <v>3947.0</v>
      </c>
      <c r="D1031" s="5">
        <f t="shared" si="709"/>
        <v>0.018</v>
      </c>
      <c r="E1031" s="5">
        <f t="shared" si="710"/>
        <v>39.14</v>
      </c>
      <c r="F1031" s="5">
        <v>55.0</v>
      </c>
      <c r="G1031" s="7">
        <f t="shared" si="711"/>
        <v>46.42776</v>
      </c>
      <c r="H1031" s="7">
        <f t="shared" si="712"/>
        <v>1.79478</v>
      </c>
      <c r="I1031" s="7">
        <f t="shared" si="713"/>
        <v>8.91</v>
      </c>
      <c r="J1031" s="7">
        <f t="shared" si="714"/>
        <v>22.3992</v>
      </c>
      <c r="K1031" s="7">
        <f t="shared" si="715"/>
        <v>0.5094</v>
      </c>
      <c r="L1031" s="43">
        <f t="shared" si="716"/>
        <v>174.18114</v>
      </c>
      <c r="M1031" s="43">
        <f t="shared" si="717"/>
        <v>36.5780394</v>
      </c>
      <c r="N1031" s="43">
        <f t="shared" si="718"/>
        <v>210.7591794</v>
      </c>
    </row>
    <row r="1032" ht="15.75" customHeight="1">
      <c r="A1032" s="5" t="s">
        <v>15</v>
      </c>
      <c r="B1032" s="41">
        <v>4562.0</v>
      </c>
      <c r="C1032" s="41">
        <v>4629.0</v>
      </c>
      <c r="D1032" s="5">
        <f t="shared" si="709"/>
        <v>0.067</v>
      </c>
      <c r="E1032" s="5">
        <f t="shared" si="710"/>
        <v>39.14</v>
      </c>
      <c r="F1032" s="5">
        <v>55.0</v>
      </c>
      <c r="G1032" s="7">
        <f t="shared" si="711"/>
        <v>172.81444</v>
      </c>
      <c r="H1032" s="7">
        <f t="shared" si="712"/>
        <v>6.68057</v>
      </c>
      <c r="I1032" s="7">
        <f t="shared" si="713"/>
        <v>33.165</v>
      </c>
      <c r="J1032" s="7">
        <f t="shared" si="714"/>
        <v>83.3748</v>
      </c>
      <c r="K1032" s="7">
        <f t="shared" si="715"/>
        <v>1.8961</v>
      </c>
      <c r="L1032" s="43">
        <f t="shared" si="716"/>
        <v>392.07091</v>
      </c>
      <c r="M1032" s="43">
        <f t="shared" si="717"/>
        <v>82.3348911</v>
      </c>
      <c r="N1032" s="43">
        <f t="shared" si="718"/>
        <v>474.4058011</v>
      </c>
    </row>
    <row r="1033" ht="15.75" customHeight="1">
      <c r="A1033" s="5" t="s">
        <v>16</v>
      </c>
      <c r="B1033" s="41">
        <v>3343.0</v>
      </c>
      <c r="C1033" s="41">
        <v>3397.0</v>
      </c>
      <c r="D1033" s="5">
        <f t="shared" si="709"/>
        <v>0.054</v>
      </c>
      <c r="E1033" s="5">
        <f t="shared" si="710"/>
        <v>39.14</v>
      </c>
      <c r="F1033" s="5">
        <v>55.0</v>
      </c>
      <c r="G1033" s="7">
        <f t="shared" si="711"/>
        <v>139.28328</v>
      </c>
      <c r="H1033" s="7">
        <f t="shared" si="712"/>
        <v>5.38434</v>
      </c>
      <c r="I1033" s="7">
        <f t="shared" si="713"/>
        <v>26.73</v>
      </c>
      <c r="J1033" s="7">
        <f t="shared" si="714"/>
        <v>67.1976</v>
      </c>
      <c r="K1033" s="7">
        <f t="shared" si="715"/>
        <v>1.5282</v>
      </c>
      <c r="L1033" s="43">
        <f t="shared" si="716"/>
        <v>334.26342</v>
      </c>
      <c r="M1033" s="43">
        <f t="shared" si="717"/>
        <v>70.1953182</v>
      </c>
      <c r="N1033" s="43">
        <f t="shared" si="718"/>
        <v>404.4587382</v>
      </c>
    </row>
    <row r="1034" ht="15.75" customHeight="1">
      <c r="A1034" s="5" t="s">
        <v>17</v>
      </c>
      <c r="B1034" s="41">
        <v>4511.0</v>
      </c>
      <c r="C1034" s="41">
        <v>4629.0</v>
      </c>
      <c r="D1034" s="5">
        <f t="shared" si="709"/>
        <v>0.118</v>
      </c>
      <c r="E1034" s="5">
        <f t="shared" si="710"/>
        <v>39.14</v>
      </c>
      <c r="F1034" s="5">
        <v>55.0</v>
      </c>
      <c r="G1034" s="7">
        <f t="shared" si="711"/>
        <v>304.35976</v>
      </c>
      <c r="H1034" s="7">
        <f t="shared" si="712"/>
        <v>11.76578</v>
      </c>
      <c r="I1034" s="7">
        <f t="shared" si="713"/>
        <v>58.41</v>
      </c>
      <c r="J1034" s="7">
        <f t="shared" si="714"/>
        <v>146.8392</v>
      </c>
      <c r="K1034" s="7">
        <f t="shared" si="715"/>
        <v>3.3394</v>
      </c>
      <c r="L1034" s="43">
        <f t="shared" si="716"/>
        <v>618.85414</v>
      </c>
      <c r="M1034" s="43">
        <f t="shared" si="717"/>
        <v>129.9593694</v>
      </c>
      <c r="N1034" s="43">
        <f t="shared" si="718"/>
        <v>748.8135094</v>
      </c>
    </row>
    <row r="1035" ht="15.75" customHeight="1">
      <c r="A1035" s="5" t="s">
        <v>18</v>
      </c>
      <c r="B1035" s="41">
        <v>4054.0</v>
      </c>
      <c r="C1035" s="41">
        <v>4188.0</v>
      </c>
      <c r="D1035" s="5">
        <f t="shared" si="709"/>
        <v>0.134</v>
      </c>
      <c r="E1035" s="5">
        <f t="shared" si="710"/>
        <v>39.14</v>
      </c>
      <c r="F1035" s="5">
        <v>55.0</v>
      </c>
      <c r="G1035" s="7">
        <f t="shared" si="711"/>
        <v>345.62888</v>
      </c>
      <c r="H1035" s="7">
        <f t="shared" si="712"/>
        <v>13.36114</v>
      </c>
      <c r="I1035" s="7">
        <f t="shared" si="713"/>
        <v>66.33</v>
      </c>
      <c r="J1035" s="7">
        <f t="shared" si="714"/>
        <v>166.7496</v>
      </c>
      <c r="K1035" s="7">
        <f t="shared" si="715"/>
        <v>3.7922</v>
      </c>
      <c r="L1035" s="43">
        <f t="shared" si="716"/>
        <v>690.00182</v>
      </c>
      <c r="M1035" s="43">
        <f t="shared" si="717"/>
        <v>144.9003822</v>
      </c>
      <c r="N1035" s="43">
        <f t="shared" si="718"/>
        <v>834.9022022</v>
      </c>
    </row>
    <row r="1036" ht="15.75" customHeight="1">
      <c r="A1036" s="40" t="s">
        <v>19</v>
      </c>
      <c r="B1036" s="41">
        <v>111922.0</v>
      </c>
      <c r="C1036" s="41">
        <v>113249.0</v>
      </c>
      <c r="D1036" s="5">
        <f t="shared" si="709"/>
        <v>1.327</v>
      </c>
      <c r="E1036" s="5">
        <v>169.69</v>
      </c>
      <c r="F1036" s="5">
        <v>78.05</v>
      </c>
      <c r="G1036" s="7">
        <f t="shared" si="711"/>
        <v>3422.75764</v>
      </c>
      <c r="H1036" s="7">
        <f t="shared" si="712"/>
        <v>132.31517</v>
      </c>
      <c r="I1036" s="7">
        <f t="shared" si="713"/>
        <v>656.865</v>
      </c>
      <c r="J1036" s="7">
        <f t="shared" si="714"/>
        <v>1651.3188</v>
      </c>
      <c r="K1036" s="7">
        <f t="shared" si="715"/>
        <v>37.5541</v>
      </c>
      <c r="L1036" s="43">
        <f t="shared" si="716"/>
        <v>6148.55071</v>
      </c>
      <c r="M1036" s="43">
        <f t="shared" si="717"/>
        <v>1291.195649</v>
      </c>
      <c r="N1036" s="43">
        <f t="shared" si="718"/>
        <v>7439.746359</v>
      </c>
    </row>
    <row r="1037" ht="15.75" customHeight="1">
      <c r="A1037" s="5" t="s">
        <v>30</v>
      </c>
      <c r="B1037" s="41">
        <v>16729.0</v>
      </c>
      <c r="C1037" s="41">
        <v>16899.0</v>
      </c>
      <c r="D1037" s="5">
        <f t="shared" si="709"/>
        <v>0.17</v>
      </c>
      <c r="E1037" s="5">
        <f t="shared" ref="E1037:E1038" si="719">29.8+9.34</f>
        <v>39.14</v>
      </c>
      <c r="F1037" s="5">
        <v>55.0</v>
      </c>
      <c r="G1037" s="7">
        <f t="shared" si="711"/>
        <v>438.4844</v>
      </c>
      <c r="H1037" s="7">
        <f t="shared" si="712"/>
        <v>16.9507</v>
      </c>
      <c r="I1037" s="7">
        <f t="shared" si="713"/>
        <v>84.15</v>
      </c>
      <c r="J1037" s="7">
        <f t="shared" si="714"/>
        <v>211.548</v>
      </c>
      <c r="K1037" s="7">
        <f t="shared" si="715"/>
        <v>4.811</v>
      </c>
      <c r="L1037" s="43">
        <f t="shared" si="716"/>
        <v>850.0841</v>
      </c>
      <c r="M1037" s="43">
        <f t="shared" si="717"/>
        <v>178.517661</v>
      </c>
      <c r="N1037" s="43">
        <f t="shared" si="718"/>
        <v>1028.601761</v>
      </c>
    </row>
    <row r="1038" ht="15.75" customHeight="1">
      <c r="A1038" s="5" t="s">
        <v>31</v>
      </c>
      <c r="B1038" s="41">
        <v>81452.0</v>
      </c>
      <c r="C1038" s="41">
        <v>82342.0</v>
      </c>
      <c r="D1038" s="5">
        <f t="shared" si="709"/>
        <v>0.89</v>
      </c>
      <c r="E1038" s="5">
        <f t="shared" si="719"/>
        <v>39.14</v>
      </c>
      <c r="F1038" s="5">
        <v>55.0</v>
      </c>
      <c r="G1038" s="7">
        <f t="shared" si="711"/>
        <v>2295.5948</v>
      </c>
      <c r="H1038" s="7">
        <f t="shared" si="712"/>
        <v>88.7419</v>
      </c>
      <c r="I1038" s="7">
        <f t="shared" si="713"/>
        <v>440.55</v>
      </c>
      <c r="J1038" s="7">
        <f t="shared" si="714"/>
        <v>1107.516</v>
      </c>
      <c r="K1038" s="7">
        <f t="shared" si="715"/>
        <v>25.187</v>
      </c>
      <c r="L1038" s="44">
        <f t="shared" si="716"/>
        <v>4051.7297</v>
      </c>
      <c r="M1038" s="43">
        <f t="shared" si="717"/>
        <v>850.863237</v>
      </c>
      <c r="N1038" s="43">
        <f t="shared" si="718"/>
        <v>4902.592937</v>
      </c>
    </row>
    <row r="1039" ht="15.75" customHeight="1">
      <c r="A1039" s="5"/>
      <c r="B1039" s="4"/>
      <c r="C1039" s="4"/>
      <c r="D1039" s="5"/>
      <c r="G1039" s="5"/>
      <c r="L1039" s="45">
        <f>SUM(L1028:L1038)</f>
        <v>14293.65331</v>
      </c>
      <c r="M1039" s="46">
        <f t="shared" si="717"/>
        <v>3001.667195</v>
      </c>
      <c r="N1039" s="46">
        <f t="shared" si="718"/>
        <v>17295.32051</v>
      </c>
    </row>
    <row r="1040" ht="15.75" customHeight="1">
      <c r="A1040" s="5"/>
      <c r="B1040" s="4"/>
      <c r="C1040" s="4"/>
      <c r="D1040" s="5">
        <f>SUM(D1028:D1038)</f>
        <v>2.947</v>
      </c>
      <c r="G1040" s="5"/>
    </row>
    <row r="1041" ht="15.75" customHeight="1">
      <c r="A1041" s="5"/>
      <c r="B1041" s="4"/>
      <c r="C1041" s="4"/>
      <c r="D1041" s="5"/>
      <c r="G1041" s="5"/>
      <c r="I1041" s="15" t="s">
        <v>66</v>
      </c>
      <c r="L1041" s="15">
        <v>1700.0</v>
      </c>
    </row>
    <row r="1042" ht="15.75" customHeight="1">
      <c r="A1042" s="5" t="s">
        <v>68</v>
      </c>
      <c r="B1042" s="4">
        <v>100573.0</v>
      </c>
      <c r="C1042" s="4"/>
      <c r="D1042" s="5">
        <f>(C1042-B1042)/1000</f>
        <v>-100.573</v>
      </c>
      <c r="G1042" s="5"/>
      <c r="I1042" s="15" t="s">
        <v>67</v>
      </c>
      <c r="L1042" s="47">
        <f>L1039-L1041</f>
        <v>12593.65331</v>
      </c>
    </row>
    <row r="1043" ht="15.75" customHeight="1">
      <c r="A1043" s="5"/>
      <c r="C1043" s="4"/>
      <c r="D1043" s="5"/>
      <c r="G1043" s="5"/>
    </row>
    <row r="1044" ht="15.75" customHeight="1">
      <c r="A1044" s="5"/>
      <c r="C1044" s="4"/>
      <c r="D1044" s="5"/>
      <c r="G1044" s="5"/>
    </row>
    <row r="1045" ht="15.75" customHeight="1">
      <c r="A1045" s="5" t="s">
        <v>21</v>
      </c>
      <c r="C1045" s="4"/>
      <c r="D1045" s="5"/>
      <c r="G1045" s="5"/>
    </row>
    <row r="1046" ht="15.75" customHeight="1">
      <c r="A1046" s="1"/>
      <c r="C1046" s="4"/>
      <c r="D1046" s="5"/>
      <c r="G1046" s="5"/>
    </row>
    <row r="1047" ht="15.75" customHeight="1">
      <c r="A1047" s="5" t="s">
        <v>11</v>
      </c>
      <c r="B1047" s="41">
        <v>5256.0</v>
      </c>
      <c r="C1047" s="41">
        <v>5325.0</v>
      </c>
      <c r="D1047" s="5">
        <f t="shared" ref="D1047:D1057" si="720">(C1047-B1047)/1000</f>
        <v>0.069</v>
      </c>
      <c r="E1047" s="5">
        <f t="shared" ref="E1047:E1054" si="721">29.8+9.34</f>
        <v>39.14</v>
      </c>
      <c r="F1047" s="5">
        <v>55.0</v>
      </c>
      <c r="G1047" s="7">
        <f t="shared" ref="G1047:G1057" si="722">D1047*$G$2</f>
        <v>177.97308</v>
      </c>
      <c r="H1047" s="7">
        <f t="shared" ref="H1047:H1057" si="723">D1047*$H$2</f>
        <v>6.87999</v>
      </c>
      <c r="I1047" s="7">
        <f t="shared" ref="I1047:I1057" si="724">D1047*$I$2</f>
        <v>34.155</v>
      </c>
      <c r="J1047" s="7">
        <f t="shared" ref="J1047:J1057" si="725">D1047*$J$2</f>
        <v>85.8636</v>
      </c>
      <c r="K1047" s="7">
        <f t="shared" ref="K1047:K1057" si="726">D1047*$K$2</f>
        <v>1.9527</v>
      </c>
      <c r="L1047" s="43">
        <f t="shared" ref="L1047:L1057" si="727">SUM(E1047:K1047)</f>
        <v>400.96437</v>
      </c>
      <c r="M1047" s="43">
        <f t="shared" ref="M1047:M1058" si="728">L1047*0.21</f>
        <v>84.2025177</v>
      </c>
      <c r="N1047" s="43">
        <f t="shared" ref="N1047:N1058" si="729">L1047+M1047</f>
        <v>485.1668877</v>
      </c>
    </row>
    <row r="1048" ht="15.75" customHeight="1">
      <c r="A1048" s="5" t="s">
        <v>12</v>
      </c>
      <c r="B1048" s="41">
        <v>3975.0</v>
      </c>
      <c r="C1048" s="41">
        <v>4015.0</v>
      </c>
      <c r="D1048" s="5">
        <f t="shared" si="720"/>
        <v>0.04</v>
      </c>
      <c r="E1048" s="5">
        <f t="shared" si="721"/>
        <v>39.14</v>
      </c>
      <c r="F1048" s="5">
        <v>55.0</v>
      </c>
      <c r="G1048" s="7">
        <f t="shared" si="722"/>
        <v>103.1728</v>
      </c>
      <c r="H1048" s="7">
        <f t="shared" si="723"/>
        <v>3.9884</v>
      </c>
      <c r="I1048" s="7">
        <f t="shared" si="724"/>
        <v>19.8</v>
      </c>
      <c r="J1048" s="7">
        <f t="shared" si="725"/>
        <v>49.776</v>
      </c>
      <c r="K1048" s="7">
        <f t="shared" si="726"/>
        <v>1.132</v>
      </c>
      <c r="L1048" s="43">
        <f t="shared" si="727"/>
        <v>272.0092</v>
      </c>
      <c r="M1048" s="43">
        <f t="shared" si="728"/>
        <v>57.121932</v>
      </c>
      <c r="N1048" s="43">
        <f t="shared" si="729"/>
        <v>329.131132</v>
      </c>
    </row>
    <row r="1049" ht="15.75" customHeight="1">
      <c r="A1049" s="5" t="s">
        <v>13</v>
      </c>
      <c r="B1049" s="41">
        <v>5251.0</v>
      </c>
      <c r="C1049" s="41">
        <v>5303.0</v>
      </c>
      <c r="D1049" s="5">
        <f t="shared" si="720"/>
        <v>0.052</v>
      </c>
      <c r="E1049" s="5">
        <f t="shared" si="721"/>
        <v>39.14</v>
      </c>
      <c r="F1049" s="5">
        <v>55.0</v>
      </c>
      <c r="G1049" s="7">
        <f t="shared" si="722"/>
        <v>134.12464</v>
      </c>
      <c r="H1049" s="7">
        <f t="shared" si="723"/>
        <v>5.18492</v>
      </c>
      <c r="I1049" s="7">
        <f t="shared" si="724"/>
        <v>25.74</v>
      </c>
      <c r="J1049" s="7">
        <f t="shared" si="725"/>
        <v>64.7088</v>
      </c>
      <c r="K1049" s="7">
        <f t="shared" si="726"/>
        <v>1.4716</v>
      </c>
      <c r="L1049" s="43">
        <f t="shared" si="727"/>
        <v>325.36996</v>
      </c>
      <c r="M1049" s="43">
        <f t="shared" si="728"/>
        <v>68.3276916</v>
      </c>
      <c r="N1049" s="43">
        <f t="shared" si="729"/>
        <v>393.6976516</v>
      </c>
    </row>
    <row r="1050" ht="15.75" customHeight="1">
      <c r="A1050" s="5" t="s">
        <v>14</v>
      </c>
      <c r="B1050" s="41">
        <v>3947.0</v>
      </c>
      <c r="C1050" s="41">
        <v>3973.0</v>
      </c>
      <c r="D1050" s="5">
        <f t="shared" si="720"/>
        <v>0.026</v>
      </c>
      <c r="E1050" s="5">
        <f t="shared" si="721"/>
        <v>39.14</v>
      </c>
      <c r="F1050" s="5">
        <v>55.0</v>
      </c>
      <c r="G1050" s="7">
        <f t="shared" si="722"/>
        <v>67.06232</v>
      </c>
      <c r="H1050" s="7">
        <f t="shared" si="723"/>
        <v>2.59246</v>
      </c>
      <c r="I1050" s="7">
        <f t="shared" si="724"/>
        <v>12.87</v>
      </c>
      <c r="J1050" s="7">
        <f t="shared" si="725"/>
        <v>32.3544</v>
      </c>
      <c r="K1050" s="7">
        <f t="shared" si="726"/>
        <v>0.7358</v>
      </c>
      <c r="L1050" s="43">
        <f t="shared" si="727"/>
        <v>209.75498</v>
      </c>
      <c r="M1050" s="43">
        <f t="shared" si="728"/>
        <v>44.0485458</v>
      </c>
      <c r="N1050" s="43">
        <f t="shared" si="729"/>
        <v>253.8035258</v>
      </c>
    </row>
    <row r="1051" ht="15.75" customHeight="1">
      <c r="A1051" s="5" t="s">
        <v>15</v>
      </c>
      <c r="B1051" s="41">
        <v>4629.0</v>
      </c>
      <c r="C1051" s="41">
        <v>4678.0</v>
      </c>
      <c r="D1051" s="5">
        <f t="shared" si="720"/>
        <v>0.049</v>
      </c>
      <c r="E1051" s="5">
        <f t="shared" si="721"/>
        <v>39.14</v>
      </c>
      <c r="F1051" s="5">
        <v>55.0</v>
      </c>
      <c r="G1051" s="7">
        <f t="shared" si="722"/>
        <v>126.38668</v>
      </c>
      <c r="H1051" s="7">
        <f t="shared" si="723"/>
        <v>4.88579</v>
      </c>
      <c r="I1051" s="7">
        <f t="shared" si="724"/>
        <v>24.255</v>
      </c>
      <c r="J1051" s="7">
        <f t="shared" si="725"/>
        <v>60.9756</v>
      </c>
      <c r="K1051" s="7">
        <f t="shared" si="726"/>
        <v>1.3867</v>
      </c>
      <c r="L1051" s="43">
        <f t="shared" si="727"/>
        <v>312.02977</v>
      </c>
      <c r="M1051" s="43">
        <f t="shared" si="728"/>
        <v>65.5262517</v>
      </c>
      <c r="N1051" s="43">
        <f t="shared" si="729"/>
        <v>377.5560217</v>
      </c>
    </row>
    <row r="1052" ht="15.75" customHeight="1">
      <c r="A1052" s="5" t="s">
        <v>16</v>
      </c>
      <c r="B1052" s="41">
        <v>3397.0</v>
      </c>
      <c r="C1052" s="41">
        <v>3441.0</v>
      </c>
      <c r="D1052" s="5">
        <f t="shared" si="720"/>
        <v>0.044</v>
      </c>
      <c r="E1052" s="5">
        <f t="shared" si="721"/>
        <v>39.14</v>
      </c>
      <c r="F1052" s="5">
        <v>55.0</v>
      </c>
      <c r="G1052" s="7">
        <f t="shared" si="722"/>
        <v>113.49008</v>
      </c>
      <c r="H1052" s="7">
        <f t="shared" si="723"/>
        <v>4.38724</v>
      </c>
      <c r="I1052" s="7">
        <f t="shared" si="724"/>
        <v>21.78</v>
      </c>
      <c r="J1052" s="7">
        <f t="shared" si="725"/>
        <v>54.7536</v>
      </c>
      <c r="K1052" s="7">
        <f t="shared" si="726"/>
        <v>1.2452</v>
      </c>
      <c r="L1052" s="43">
        <f t="shared" si="727"/>
        <v>289.79612</v>
      </c>
      <c r="M1052" s="43">
        <f t="shared" si="728"/>
        <v>60.8571852</v>
      </c>
      <c r="N1052" s="43">
        <f t="shared" si="729"/>
        <v>350.6533052</v>
      </c>
    </row>
    <row r="1053" ht="15.75" customHeight="1">
      <c r="A1053" s="5" t="s">
        <v>17</v>
      </c>
      <c r="B1053" s="41">
        <v>4629.0</v>
      </c>
      <c r="C1053" s="41">
        <v>4728.0</v>
      </c>
      <c r="D1053" s="5">
        <f t="shared" si="720"/>
        <v>0.099</v>
      </c>
      <c r="E1053" s="5">
        <f t="shared" si="721"/>
        <v>39.14</v>
      </c>
      <c r="F1053" s="5">
        <v>55.0</v>
      </c>
      <c r="G1053" s="7">
        <f t="shared" si="722"/>
        <v>255.35268</v>
      </c>
      <c r="H1053" s="7">
        <f t="shared" si="723"/>
        <v>9.87129</v>
      </c>
      <c r="I1053" s="7">
        <f t="shared" si="724"/>
        <v>49.005</v>
      </c>
      <c r="J1053" s="7">
        <f t="shared" si="725"/>
        <v>123.1956</v>
      </c>
      <c r="K1053" s="7">
        <f t="shared" si="726"/>
        <v>2.8017</v>
      </c>
      <c r="L1053" s="43">
        <f t="shared" si="727"/>
        <v>534.36627</v>
      </c>
      <c r="M1053" s="43">
        <f t="shared" si="728"/>
        <v>112.2169167</v>
      </c>
      <c r="N1053" s="43">
        <f t="shared" si="729"/>
        <v>646.5831867</v>
      </c>
    </row>
    <row r="1054" ht="15.75" customHeight="1">
      <c r="A1054" s="5" t="s">
        <v>18</v>
      </c>
      <c r="B1054" s="41">
        <v>4188.0</v>
      </c>
      <c r="C1054" s="41">
        <v>4307.0</v>
      </c>
      <c r="D1054" s="5">
        <f t="shared" si="720"/>
        <v>0.119</v>
      </c>
      <c r="E1054" s="5">
        <f t="shared" si="721"/>
        <v>39.14</v>
      </c>
      <c r="F1054" s="5">
        <v>55.0</v>
      </c>
      <c r="G1054" s="7">
        <f t="shared" si="722"/>
        <v>306.93908</v>
      </c>
      <c r="H1054" s="7">
        <f t="shared" si="723"/>
        <v>11.86549</v>
      </c>
      <c r="I1054" s="7">
        <f t="shared" si="724"/>
        <v>58.905</v>
      </c>
      <c r="J1054" s="7">
        <f t="shared" si="725"/>
        <v>148.0836</v>
      </c>
      <c r="K1054" s="7">
        <f t="shared" si="726"/>
        <v>3.3677</v>
      </c>
      <c r="L1054" s="43">
        <f t="shared" si="727"/>
        <v>623.30087</v>
      </c>
      <c r="M1054" s="43">
        <f t="shared" si="728"/>
        <v>130.8931827</v>
      </c>
      <c r="N1054" s="43">
        <f t="shared" si="729"/>
        <v>754.1940527</v>
      </c>
    </row>
    <row r="1055" ht="15.75" customHeight="1">
      <c r="A1055" s="40" t="s">
        <v>19</v>
      </c>
      <c r="B1055" s="41">
        <v>113249.0</v>
      </c>
      <c r="C1055" s="41">
        <v>114561.0</v>
      </c>
      <c r="D1055" s="5">
        <f t="shared" si="720"/>
        <v>1.312</v>
      </c>
      <c r="E1055" s="5">
        <v>169.69</v>
      </c>
      <c r="F1055" s="5">
        <v>78.05</v>
      </c>
      <c r="G1055" s="7">
        <f t="shared" si="722"/>
        <v>3384.06784</v>
      </c>
      <c r="H1055" s="7">
        <f t="shared" si="723"/>
        <v>130.81952</v>
      </c>
      <c r="I1055" s="7">
        <f t="shared" si="724"/>
        <v>649.44</v>
      </c>
      <c r="J1055" s="7">
        <f t="shared" si="725"/>
        <v>1632.6528</v>
      </c>
      <c r="K1055" s="7">
        <f t="shared" si="726"/>
        <v>37.1296</v>
      </c>
      <c r="L1055" s="43">
        <f t="shared" si="727"/>
        <v>6081.84976</v>
      </c>
      <c r="M1055" s="43">
        <f t="shared" si="728"/>
        <v>1277.18845</v>
      </c>
      <c r="N1055" s="43">
        <f t="shared" si="729"/>
        <v>7359.03821</v>
      </c>
    </row>
    <row r="1056" ht="15.75" customHeight="1">
      <c r="A1056" s="5" t="s">
        <v>30</v>
      </c>
      <c r="B1056" s="41">
        <v>16899.0</v>
      </c>
      <c r="C1056" s="41">
        <v>17097.0</v>
      </c>
      <c r="D1056" s="5">
        <f t="shared" si="720"/>
        <v>0.198</v>
      </c>
      <c r="E1056" s="5">
        <f t="shared" ref="E1056:E1057" si="730">29.8+9.34</f>
        <v>39.14</v>
      </c>
      <c r="F1056" s="5">
        <v>55.0</v>
      </c>
      <c r="G1056" s="7">
        <f t="shared" si="722"/>
        <v>510.70536</v>
      </c>
      <c r="H1056" s="7">
        <f t="shared" si="723"/>
        <v>19.74258</v>
      </c>
      <c r="I1056" s="7">
        <f t="shared" si="724"/>
        <v>98.01</v>
      </c>
      <c r="J1056" s="7">
        <f t="shared" si="725"/>
        <v>246.3912</v>
      </c>
      <c r="K1056" s="7">
        <f t="shared" si="726"/>
        <v>5.6034</v>
      </c>
      <c r="L1056" s="43">
        <f t="shared" si="727"/>
        <v>974.59254</v>
      </c>
      <c r="M1056" s="43">
        <f t="shared" si="728"/>
        <v>204.6644334</v>
      </c>
      <c r="N1056" s="43">
        <f t="shared" si="729"/>
        <v>1179.256973</v>
      </c>
    </row>
    <row r="1057" ht="15.75" customHeight="1">
      <c r="A1057" s="5" t="s">
        <v>31</v>
      </c>
      <c r="B1057" s="41">
        <v>82342.0</v>
      </c>
      <c r="C1057" s="41">
        <v>83368.0</v>
      </c>
      <c r="D1057" s="5">
        <f t="shared" si="720"/>
        <v>1.026</v>
      </c>
      <c r="E1057" s="5">
        <f t="shared" si="730"/>
        <v>39.14</v>
      </c>
      <c r="F1057" s="5">
        <v>55.0</v>
      </c>
      <c r="G1057" s="7">
        <f t="shared" si="722"/>
        <v>2646.38232</v>
      </c>
      <c r="H1057" s="7">
        <f t="shared" si="723"/>
        <v>102.30246</v>
      </c>
      <c r="I1057" s="7">
        <f t="shared" si="724"/>
        <v>507.87</v>
      </c>
      <c r="J1057" s="7">
        <f t="shared" si="725"/>
        <v>1276.7544</v>
      </c>
      <c r="K1057" s="7">
        <f t="shared" si="726"/>
        <v>29.0358</v>
      </c>
      <c r="L1057" s="44">
        <f t="shared" si="727"/>
        <v>4656.48498</v>
      </c>
      <c r="M1057" s="43">
        <f t="shared" si="728"/>
        <v>977.8618458</v>
      </c>
      <c r="N1057" s="43">
        <f t="shared" si="729"/>
        <v>5634.346826</v>
      </c>
    </row>
    <row r="1058" ht="15.75" customHeight="1">
      <c r="A1058" s="5"/>
      <c r="B1058" s="4"/>
      <c r="C1058" s="4"/>
      <c r="D1058" s="5"/>
      <c r="G1058" s="5"/>
      <c r="L1058" s="45">
        <f>SUM(L1047:L1057)</f>
        <v>14680.51882</v>
      </c>
      <c r="M1058" s="46">
        <f t="shared" si="728"/>
        <v>3082.908952</v>
      </c>
      <c r="N1058" s="46">
        <f t="shared" si="729"/>
        <v>17763.42777</v>
      </c>
    </row>
    <row r="1059" ht="15.75" customHeight="1">
      <c r="A1059" s="5"/>
      <c r="B1059" s="4"/>
      <c r="C1059" s="4"/>
      <c r="D1059" s="5">
        <f>SUM(D1047:D1057)</f>
        <v>3.034</v>
      </c>
      <c r="G1059" s="5"/>
    </row>
    <row r="1060" ht="15.75" customHeight="1">
      <c r="A1060" s="5"/>
      <c r="B1060" s="4"/>
      <c r="C1060" s="4"/>
      <c r="D1060" s="5"/>
      <c r="G1060" s="5"/>
      <c r="I1060" s="15" t="s">
        <v>66</v>
      </c>
      <c r="L1060" s="15">
        <v>1700.0</v>
      </c>
    </row>
    <row r="1061" ht="15.75" customHeight="1">
      <c r="A1061" s="5" t="s">
        <v>68</v>
      </c>
      <c r="B1061" s="4">
        <v>100573.0</v>
      </c>
      <c r="C1061" s="4"/>
      <c r="D1061" s="5">
        <f>(C1061-B1061)/1000</f>
        <v>-100.573</v>
      </c>
      <c r="G1061" s="5"/>
      <c r="I1061" s="15" t="s">
        <v>67</v>
      </c>
      <c r="L1061" s="47">
        <f>L1058-L1060</f>
        <v>12980.51882</v>
      </c>
    </row>
    <row r="1062" ht="15.75" customHeight="1">
      <c r="A1062" s="5"/>
      <c r="C1062" s="4"/>
      <c r="D1062" s="5"/>
      <c r="G1062" s="5"/>
    </row>
    <row r="1063" ht="15.75" customHeight="1">
      <c r="A1063" s="5"/>
      <c r="C1063" s="4"/>
      <c r="D1063" s="5"/>
      <c r="G1063" s="5"/>
    </row>
    <row r="1064" ht="15.75" customHeight="1">
      <c r="A1064" s="5"/>
      <c r="C1064" s="4"/>
      <c r="D1064" s="5"/>
      <c r="G1064" s="5"/>
    </row>
    <row r="1065" ht="15.75" customHeight="1">
      <c r="A1065" s="5"/>
      <c r="C1065" s="4"/>
      <c r="D1065" s="5"/>
      <c r="G1065" s="5"/>
    </row>
    <row r="1066" ht="15.75" customHeight="1">
      <c r="A1066" s="5"/>
      <c r="C1066" s="4"/>
      <c r="D1066" s="5"/>
      <c r="G1066" s="5"/>
    </row>
    <row r="1067" ht="15.75" customHeight="1">
      <c r="A1067" s="5" t="s">
        <v>76</v>
      </c>
      <c r="C1067" s="4"/>
      <c r="D1067" s="5"/>
      <c r="G1067" s="5"/>
    </row>
    <row r="1068" ht="15.75" customHeight="1">
      <c r="A1068" s="1"/>
      <c r="C1068" s="4"/>
      <c r="D1068" s="5"/>
      <c r="G1068" s="5"/>
    </row>
    <row r="1069" ht="15.75" customHeight="1">
      <c r="A1069" s="5" t="s">
        <v>11</v>
      </c>
      <c r="B1069" s="41">
        <v>5325.0</v>
      </c>
      <c r="C1069" s="41">
        <v>5383.0</v>
      </c>
      <c r="D1069" s="5">
        <f t="shared" ref="D1069:D1079" si="731">(C1069-B1069)/1000</f>
        <v>0.058</v>
      </c>
      <c r="E1069" s="5">
        <f t="shared" ref="E1069:E1076" si="732">29.8+9.34</f>
        <v>39.14</v>
      </c>
      <c r="F1069" s="5">
        <v>55.0</v>
      </c>
      <c r="G1069" s="7">
        <f t="shared" ref="G1069:G1079" si="733">D1069*$G$2</f>
        <v>149.60056</v>
      </c>
      <c r="H1069" s="7">
        <f t="shared" ref="H1069:H1079" si="734">D1069*$H$2</f>
        <v>5.78318</v>
      </c>
      <c r="I1069" s="7">
        <f t="shared" ref="I1069:I1079" si="735">D1069*$I$2</f>
        <v>28.71</v>
      </c>
      <c r="J1069" s="7">
        <f t="shared" ref="J1069:J1079" si="736">D1069*$J$2</f>
        <v>72.1752</v>
      </c>
      <c r="K1069" s="7">
        <f t="shared" ref="K1069:K1079" si="737">D1069*$K$2</f>
        <v>1.6414</v>
      </c>
      <c r="L1069" s="43">
        <f t="shared" ref="L1069:L1079" si="738">SUM(E1069:K1069)</f>
        <v>352.05034</v>
      </c>
      <c r="M1069" s="43">
        <f t="shared" ref="M1069:M1080" si="739">L1069*0.21</f>
        <v>73.9305714</v>
      </c>
      <c r="N1069" s="43">
        <f t="shared" ref="N1069:N1080" si="740">L1069+M1069</f>
        <v>425.9809114</v>
      </c>
    </row>
    <row r="1070" ht="15.75" customHeight="1">
      <c r="A1070" s="5" t="s">
        <v>12</v>
      </c>
      <c r="B1070" s="41">
        <v>4015.0</v>
      </c>
      <c r="C1070" s="41">
        <v>4076.0</v>
      </c>
      <c r="D1070" s="5">
        <f t="shared" si="731"/>
        <v>0.061</v>
      </c>
      <c r="E1070" s="5">
        <f t="shared" si="732"/>
        <v>39.14</v>
      </c>
      <c r="F1070" s="5">
        <v>55.0</v>
      </c>
      <c r="G1070" s="7">
        <f t="shared" si="733"/>
        <v>157.33852</v>
      </c>
      <c r="H1070" s="7">
        <f t="shared" si="734"/>
        <v>6.08231</v>
      </c>
      <c r="I1070" s="7">
        <f t="shared" si="735"/>
        <v>30.195</v>
      </c>
      <c r="J1070" s="7">
        <f t="shared" si="736"/>
        <v>75.9084</v>
      </c>
      <c r="K1070" s="7">
        <f t="shared" si="737"/>
        <v>1.7263</v>
      </c>
      <c r="L1070" s="43">
        <f t="shared" si="738"/>
        <v>365.39053</v>
      </c>
      <c r="M1070" s="43">
        <f t="shared" si="739"/>
        <v>76.7320113</v>
      </c>
      <c r="N1070" s="43">
        <f t="shared" si="740"/>
        <v>442.1225413</v>
      </c>
    </row>
    <row r="1071" ht="15.75" customHeight="1">
      <c r="A1071" s="5" t="s">
        <v>13</v>
      </c>
      <c r="B1071" s="41">
        <v>5303.0</v>
      </c>
      <c r="C1071" s="41">
        <v>5531.0</v>
      </c>
      <c r="D1071" s="5">
        <f t="shared" si="731"/>
        <v>0.228</v>
      </c>
      <c r="E1071" s="5">
        <f t="shared" si="732"/>
        <v>39.14</v>
      </c>
      <c r="F1071" s="5">
        <v>55.0</v>
      </c>
      <c r="G1071" s="7">
        <f t="shared" si="733"/>
        <v>588.08496</v>
      </c>
      <c r="H1071" s="7">
        <f t="shared" si="734"/>
        <v>22.73388</v>
      </c>
      <c r="I1071" s="7">
        <f t="shared" si="735"/>
        <v>112.86</v>
      </c>
      <c r="J1071" s="7">
        <f t="shared" si="736"/>
        <v>283.7232</v>
      </c>
      <c r="K1071" s="7">
        <f t="shared" si="737"/>
        <v>6.4524</v>
      </c>
      <c r="L1071" s="43">
        <f t="shared" si="738"/>
        <v>1107.99444</v>
      </c>
      <c r="M1071" s="43">
        <f t="shared" si="739"/>
        <v>232.6788324</v>
      </c>
      <c r="N1071" s="43">
        <f t="shared" si="740"/>
        <v>1340.673272</v>
      </c>
    </row>
    <row r="1072" ht="15.75" customHeight="1">
      <c r="A1072" s="5" t="s">
        <v>14</v>
      </c>
      <c r="B1072" s="41">
        <v>3973.0</v>
      </c>
      <c r="C1072" s="41">
        <v>3993.0</v>
      </c>
      <c r="D1072" s="5">
        <f t="shared" si="731"/>
        <v>0.02</v>
      </c>
      <c r="E1072" s="5">
        <f t="shared" si="732"/>
        <v>39.14</v>
      </c>
      <c r="F1072" s="5">
        <v>55.0</v>
      </c>
      <c r="G1072" s="7">
        <f t="shared" si="733"/>
        <v>51.5864</v>
      </c>
      <c r="H1072" s="7">
        <f t="shared" si="734"/>
        <v>1.9942</v>
      </c>
      <c r="I1072" s="7">
        <f t="shared" si="735"/>
        <v>9.9</v>
      </c>
      <c r="J1072" s="7">
        <f t="shared" si="736"/>
        <v>24.888</v>
      </c>
      <c r="K1072" s="7">
        <f t="shared" si="737"/>
        <v>0.566</v>
      </c>
      <c r="L1072" s="43">
        <f t="shared" si="738"/>
        <v>183.0746</v>
      </c>
      <c r="M1072" s="43">
        <f t="shared" si="739"/>
        <v>38.445666</v>
      </c>
      <c r="N1072" s="43">
        <f t="shared" si="740"/>
        <v>221.520266</v>
      </c>
    </row>
    <row r="1073" ht="15.75" customHeight="1">
      <c r="A1073" s="5" t="s">
        <v>15</v>
      </c>
      <c r="B1073" s="41">
        <v>4678.0</v>
      </c>
      <c r="C1073" s="41">
        <v>4798.0</v>
      </c>
      <c r="D1073" s="5">
        <f t="shared" si="731"/>
        <v>0.12</v>
      </c>
      <c r="E1073" s="5">
        <f t="shared" si="732"/>
        <v>39.14</v>
      </c>
      <c r="F1073" s="5">
        <v>55.0</v>
      </c>
      <c r="G1073" s="7">
        <f t="shared" si="733"/>
        <v>309.5184</v>
      </c>
      <c r="H1073" s="7">
        <f t="shared" si="734"/>
        <v>11.9652</v>
      </c>
      <c r="I1073" s="7">
        <f t="shared" si="735"/>
        <v>59.4</v>
      </c>
      <c r="J1073" s="7">
        <f t="shared" si="736"/>
        <v>149.328</v>
      </c>
      <c r="K1073" s="7">
        <f t="shared" si="737"/>
        <v>3.396</v>
      </c>
      <c r="L1073" s="43">
        <f t="shared" si="738"/>
        <v>627.7476</v>
      </c>
      <c r="M1073" s="43">
        <f t="shared" si="739"/>
        <v>131.826996</v>
      </c>
      <c r="N1073" s="43">
        <f t="shared" si="740"/>
        <v>759.574596</v>
      </c>
    </row>
    <row r="1074" ht="15.75" customHeight="1">
      <c r="A1074" s="5" t="s">
        <v>16</v>
      </c>
      <c r="B1074" s="41">
        <v>3441.0</v>
      </c>
      <c r="C1074" s="41">
        <v>3479.0</v>
      </c>
      <c r="D1074" s="5">
        <f t="shared" si="731"/>
        <v>0.038</v>
      </c>
      <c r="E1074" s="5">
        <f t="shared" si="732"/>
        <v>39.14</v>
      </c>
      <c r="F1074" s="5">
        <v>55.0</v>
      </c>
      <c r="G1074" s="7">
        <f t="shared" si="733"/>
        <v>98.01416</v>
      </c>
      <c r="H1074" s="7">
        <f t="shared" si="734"/>
        <v>3.78898</v>
      </c>
      <c r="I1074" s="7">
        <f t="shared" si="735"/>
        <v>18.81</v>
      </c>
      <c r="J1074" s="7">
        <f t="shared" si="736"/>
        <v>47.2872</v>
      </c>
      <c r="K1074" s="7">
        <f t="shared" si="737"/>
        <v>1.0754</v>
      </c>
      <c r="L1074" s="43">
        <f t="shared" si="738"/>
        <v>263.11574</v>
      </c>
      <c r="M1074" s="43">
        <f t="shared" si="739"/>
        <v>55.2543054</v>
      </c>
      <c r="N1074" s="43">
        <f t="shared" si="740"/>
        <v>318.3700454</v>
      </c>
    </row>
    <row r="1075" ht="15.75" customHeight="1">
      <c r="A1075" s="5" t="s">
        <v>17</v>
      </c>
      <c r="B1075" s="41">
        <v>4728.0</v>
      </c>
      <c r="C1075" s="41">
        <v>4819.0</v>
      </c>
      <c r="D1075" s="5">
        <f t="shared" si="731"/>
        <v>0.091</v>
      </c>
      <c r="E1075" s="5">
        <f t="shared" si="732"/>
        <v>39.14</v>
      </c>
      <c r="F1075" s="5">
        <v>55.0</v>
      </c>
      <c r="G1075" s="7">
        <f t="shared" si="733"/>
        <v>234.71812</v>
      </c>
      <c r="H1075" s="7">
        <f t="shared" si="734"/>
        <v>9.07361</v>
      </c>
      <c r="I1075" s="7">
        <f t="shared" si="735"/>
        <v>45.045</v>
      </c>
      <c r="J1075" s="7">
        <f t="shared" si="736"/>
        <v>113.2404</v>
      </c>
      <c r="K1075" s="7">
        <f t="shared" si="737"/>
        <v>2.5753</v>
      </c>
      <c r="L1075" s="43">
        <f t="shared" si="738"/>
        <v>498.79243</v>
      </c>
      <c r="M1075" s="43">
        <f t="shared" si="739"/>
        <v>104.7464103</v>
      </c>
      <c r="N1075" s="43">
        <f t="shared" si="740"/>
        <v>603.5388403</v>
      </c>
    </row>
    <row r="1076" ht="15.75" customHeight="1">
      <c r="A1076" s="5" t="s">
        <v>18</v>
      </c>
      <c r="B1076" s="41">
        <v>4307.0</v>
      </c>
      <c r="C1076" s="41">
        <v>4403.0</v>
      </c>
      <c r="D1076" s="5">
        <f t="shared" si="731"/>
        <v>0.096</v>
      </c>
      <c r="E1076" s="5">
        <f t="shared" si="732"/>
        <v>39.14</v>
      </c>
      <c r="F1076" s="5">
        <v>55.0</v>
      </c>
      <c r="G1076" s="7">
        <f t="shared" si="733"/>
        <v>247.61472</v>
      </c>
      <c r="H1076" s="7">
        <f t="shared" si="734"/>
        <v>9.57216</v>
      </c>
      <c r="I1076" s="7">
        <f t="shared" si="735"/>
        <v>47.52</v>
      </c>
      <c r="J1076" s="7">
        <f t="shared" si="736"/>
        <v>119.4624</v>
      </c>
      <c r="K1076" s="7">
        <f t="shared" si="737"/>
        <v>2.7168</v>
      </c>
      <c r="L1076" s="43">
        <f t="shared" si="738"/>
        <v>521.02608</v>
      </c>
      <c r="M1076" s="43">
        <f t="shared" si="739"/>
        <v>109.4154768</v>
      </c>
      <c r="N1076" s="43">
        <f t="shared" si="740"/>
        <v>630.4415568</v>
      </c>
    </row>
    <row r="1077" ht="15.75" customHeight="1">
      <c r="A1077" s="40" t="s">
        <v>19</v>
      </c>
      <c r="B1077" s="41">
        <v>114561.0</v>
      </c>
      <c r="C1077" s="41">
        <v>115847.0</v>
      </c>
      <c r="D1077" s="5">
        <f t="shared" si="731"/>
        <v>1.286</v>
      </c>
      <c r="E1077" s="5">
        <v>169.69</v>
      </c>
      <c r="F1077" s="5">
        <v>78.05</v>
      </c>
      <c r="G1077" s="7">
        <f t="shared" si="733"/>
        <v>3317.00552</v>
      </c>
      <c r="H1077" s="7">
        <f t="shared" si="734"/>
        <v>128.22706</v>
      </c>
      <c r="I1077" s="7">
        <f t="shared" si="735"/>
        <v>636.57</v>
      </c>
      <c r="J1077" s="7">
        <f t="shared" si="736"/>
        <v>1600.2984</v>
      </c>
      <c r="K1077" s="7">
        <f t="shared" si="737"/>
        <v>36.3938</v>
      </c>
      <c r="L1077" s="43">
        <f t="shared" si="738"/>
        <v>5966.23478</v>
      </c>
      <c r="M1077" s="43">
        <f t="shared" si="739"/>
        <v>1252.909304</v>
      </c>
      <c r="N1077" s="43">
        <f t="shared" si="740"/>
        <v>7219.144084</v>
      </c>
    </row>
    <row r="1078" ht="15.75" customHeight="1">
      <c r="A1078" s="5" t="s">
        <v>30</v>
      </c>
      <c r="B1078" s="41">
        <v>17097.0</v>
      </c>
      <c r="C1078" s="41">
        <v>17270.0</v>
      </c>
      <c r="D1078" s="5">
        <f t="shared" si="731"/>
        <v>0.173</v>
      </c>
      <c r="E1078" s="5">
        <f t="shared" ref="E1078:E1079" si="741">29.8+9.34</f>
        <v>39.14</v>
      </c>
      <c r="F1078" s="5">
        <v>55.0</v>
      </c>
      <c r="G1078" s="7">
        <f t="shared" si="733"/>
        <v>446.22236</v>
      </c>
      <c r="H1078" s="7">
        <f t="shared" si="734"/>
        <v>17.24983</v>
      </c>
      <c r="I1078" s="7">
        <f t="shared" si="735"/>
        <v>85.635</v>
      </c>
      <c r="J1078" s="7">
        <f t="shared" si="736"/>
        <v>215.2812</v>
      </c>
      <c r="K1078" s="7">
        <f t="shared" si="737"/>
        <v>4.8959</v>
      </c>
      <c r="L1078" s="43">
        <f t="shared" si="738"/>
        <v>863.42429</v>
      </c>
      <c r="M1078" s="43">
        <f t="shared" si="739"/>
        <v>181.3191009</v>
      </c>
      <c r="N1078" s="43">
        <f t="shared" si="740"/>
        <v>1044.743391</v>
      </c>
    </row>
    <row r="1079" ht="15.75" customHeight="1">
      <c r="A1079" s="5" t="s">
        <v>31</v>
      </c>
      <c r="B1079" s="41">
        <v>83368.0</v>
      </c>
      <c r="C1079" s="41">
        <v>84251.0</v>
      </c>
      <c r="D1079" s="5">
        <f t="shared" si="731"/>
        <v>0.883</v>
      </c>
      <c r="E1079" s="5">
        <f t="shared" si="741"/>
        <v>39.14</v>
      </c>
      <c r="F1079" s="5">
        <v>55.0</v>
      </c>
      <c r="G1079" s="7">
        <f t="shared" si="733"/>
        <v>2277.53956</v>
      </c>
      <c r="H1079" s="7">
        <f t="shared" si="734"/>
        <v>88.04393</v>
      </c>
      <c r="I1079" s="7">
        <f t="shared" si="735"/>
        <v>437.085</v>
      </c>
      <c r="J1079" s="7">
        <f t="shared" si="736"/>
        <v>1098.8052</v>
      </c>
      <c r="K1079" s="7">
        <f t="shared" si="737"/>
        <v>24.9889</v>
      </c>
      <c r="L1079" s="44">
        <f t="shared" si="738"/>
        <v>4020.60259</v>
      </c>
      <c r="M1079" s="43">
        <f t="shared" si="739"/>
        <v>844.3265439</v>
      </c>
      <c r="N1079" s="43">
        <f t="shared" si="740"/>
        <v>4864.929134</v>
      </c>
    </row>
    <row r="1080" ht="15.75" customHeight="1">
      <c r="A1080" s="5"/>
      <c r="B1080" s="4"/>
      <c r="C1080" s="4"/>
      <c r="D1080" s="5"/>
      <c r="G1080" s="5"/>
      <c r="L1080" s="45">
        <f>SUM(L1069:L1079)</f>
        <v>14769.45342</v>
      </c>
      <c r="M1080" s="46">
        <f t="shared" si="739"/>
        <v>3101.585218</v>
      </c>
      <c r="N1080" s="46">
        <f t="shared" si="740"/>
        <v>17871.03864</v>
      </c>
    </row>
    <row r="1081" ht="15.75" customHeight="1">
      <c r="A1081" s="5"/>
      <c r="B1081" s="4"/>
      <c r="C1081" s="4"/>
      <c r="D1081" s="5">
        <f>SUM(D1069:D1079)</f>
        <v>3.054</v>
      </c>
      <c r="G1081" s="5"/>
    </row>
    <row r="1082" ht="15.75" customHeight="1">
      <c r="A1082" s="5"/>
      <c r="B1082" s="4"/>
      <c r="C1082" s="4"/>
      <c r="D1082" s="5"/>
      <c r="G1082" s="5"/>
      <c r="I1082" s="15" t="s">
        <v>66</v>
      </c>
      <c r="L1082" s="15">
        <v>1700.0</v>
      </c>
    </row>
    <row r="1083" ht="15.75" customHeight="1">
      <c r="A1083" s="5" t="s">
        <v>68</v>
      </c>
      <c r="B1083" s="4">
        <v>100573.0</v>
      </c>
      <c r="C1083" s="4"/>
      <c r="D1083" s="5">
        <f>(C1083-B1083)/1000</f>
        <v>-100.573</v>
      </c>
      <c r="G1083" s="5"/>
      <c r="I1083" s="15" t="s">
        <v>67</v>
      </c>
      <c r="L1083" s="47">
        <f>L1080-L1082</f>
        <v>13069.45342</v>
      </c>
    </row>
    <row r="1084" ht="15.75" customHeight="1">
      <c r="A1084" s="5"/>
      <c r="C1084" s="4"/>
      <c r="D1084" s="5"/>
      <c r="G1084" s="5"/>
    </row>
    <row r="1085" ht="15.75" customHeight="1">
      <c r="A1085" s="5"/>
      <c r="C1085" s="4"/>
      <c r="D1085" s="5"/>
      <c r="G1085" s="5"/>
    </row>
    <row r="1086" ht="15.75" customHeight="1">
      <c r="A1086" s="5"/>
      <c r="C1086" s="4"/>
      <c r="D1086" s="5"/>
      <c r="G1086" s="5"/>
    </row>
    <row r="1087" ht="15.75" customHeight="1">
      <c r="A1087" s="5"/>
      <c r="C1087" s="4"/>
      <c r="D1087" s="5"/>
      <c r="G1087" s="5"/>
    </row>
    <row r="1088" ht="15.75" customHeight="1">
      <c r="A1088" s="5"/>
      <c r="C1088" s="4"/>
      <c r="D1088" s="5"/>
      <c r="G1088" s="5"/>
    </row>
    <row r="1089" ht="15.75" customHeight="1">
      <c r="A1089" s="5"/>
      <c r="C1089" s="4"/>
      <c r="D1089" s="5"/>
      <c r="G1089" s="5"/>
    </row>
    <row r="1090" ht="15.75" customHeight="1">
      <c r="A1090" s="5"/>
      <c r="C1090" s="4"/>
      <c r="D1090" s="5"/>
      <c r="G1090" s="5"/>
    </row>
    <row r="1091" ht="15.75" customHeight="1">
      <c r="A1091" s="5" t="s">
        <v>60</v>
      </c>
      <c r="C1091" s="4"/>
      <c r="D1091" s="5"/>
      <c r="G1091" s="5"/>
    </row>
    <row r="1092" ht="15.75" customHeight="1">
      <c r="A1092" s="1"/>
      <c r="C1092" s="4"/>
      <c r="D1092" s="5"/>
      <c r="G1092" s="5"/>
    </row>
    <row r="1093" ht="15.75" customHeight="1">
      <c r="A1093" s="5" t="s">
        <v>11</v>
      </c>
      <c r="B1093" s="41">
        <v>5383.0</v>
      </c>
      <c r="C1093" s="41">
        <v>5471.0</v>
      </c>
      <c r="D1093" s="5">
        <f t="shared" ref="D1093:D1103" si="742">(C1093-B1093)/1000</f>
        <v>0.088</v>
      </c>
      <c r="E1093" s="5">
        <f t="shared" ref="E1093:E1100" si="743">29.8+9.34</f>
        <v>39.14</v>
      </c>
      <c r="F1093" s="5">
        <v>55.0</v>
      </c>
      <c r="G1093" s="7">
        <f t="shared" ref="G1093:G1103" si="744">D1093*$G$2</f>
        <v>226.98016</v>
      </c>
      <c r="H1093" s="7">
        <f t="shared" ref="H1093:H1103" si="745">D1093*$H$2</f>
        <v>8.77448</v>
      </c>
      <c r="I1093" s="7">
        <f t="shared" ref="I1093:I1103" si="746">D1093*$I$2</f>
        <v>43.56</v>
      </c>
      <c r="J1093" s="7">
        <f t="shared" ref="J1093:J1103" si="747">D1093*$J$2</f>
        <v>109.5072</v>
      </c>
      <c r="K1093" s="7">
        <f t="shared" ref="K1093:K1103" si="748">D1093*$K$2</f>
        <v>2.4904</v>
      </c>
      <c r="L1093" s="43">
        <f t="shared" ref="L1093:L1103" si="749">SUM(E1093:K1093)</f>
        <v>485.45224</v>
      </c>
      <c r="M1093" s="43">
        <f t="shared" ref="M1093:M1104" si="750">L1093*0.21</f>
        <v>101.9449704</v>
      </c>
      <c r="N1093" s="43">
        <f t="shared" ref="N1093:N1104" si="751">L1093+M1093</f>
        <v>587.3972104</v>
      </c>
    </row>
    <row r="1094" ht="15.75" customHeight="1">
      <c r="A1094" s="5" t="s">
        <v>12</v>
      </c>
      <c r="B1094" s="41">
        <v>4076.0</v>
      </c>
      <c r="C1094" s="41">
        <v>4129.0</v>
      </c>
      <c r="D1094" s="5">
        <f t="shared" si="742"/>
        <v>0.053</v>
      </c>
      <c r="E1094" s="5">
        <f t="shared" si="743"/>
        <v>39.14</v>
      </c>
      <c r="F1094" s="5">
        <v>55.0</v>
      </c>
      <c r="G1094" s="7">
        <f t="shared" si="744"/>
        <v>136.70396</v>
      </c>
      <c r="H1094" s="7">
        <f t="shared" si="745"/>
        <v>5.28463</v>
      </c>
      <c r="I1094" s="7">
        <f t="shared" si="746"/>
        <v>26.235</v>
      </c>
      <c r="J1094" s="7">
        <f t="shared" si="747"/>
        <v>65.9532</v>
      </c>
      <c r="K1094" s="7">
        <f t="shared" si="748"/>
        <v>1.4999</v>
      </c>
      <c r="L1094" s="43">
        <f t="shared" si="749"/>
        <v>329.81669</v>
      </c>
      <c r="M1094" s="43">
        <f t="shared" si="750"/>
        <v>69.2615049</v>
      </c>
      <c r="N1094" s="43">
        <f t="shared" si="751"/>
        <v>399.0781949</v>
      </c>
    </row>
    <row r="1095" ht="15.75" customHeight="1">
      <c r="A1095" s="5" t="s">
        <v>13</v>
      </c>
      <c r="B1095" s="41">
        <v>5531.0</v>
      </c>
      <c r="C1095" s="41">
        <v>5580.0</v>
      </c>
      <c r="D1095" s="5">
        <f t="shared" si="742"/>
        <v>0.049</v>
      </c>
      <c r="E1095" s="5">
        <f t="shared" si="743"/>
        <v>39.14</v>
      </c>
      <c r="F1095" s="5">
        <v>55.0</v>
      </c>
      <c r="G1095" s="7">
        <f t="shared" si="744"/>
        <v>126.38668</v>
      </c>
      <c r="H1095" s="7">
        <f t="shared" si="745"/>
        <v>4.88579</v>
      </c>
      <c r="I1095" s="7">
        <f t="shared" si="746"/>
        <v>24.255</v>
      </c>
      <c r="J1095" s="7">
        <f t="shared" si="747"/>
        <v>60.9756</v>
      </c>
      <c r="K1095" s="7">
        <f t="shared" si="748"/>
        <v>1.3867</v>
      </c>
      <c r="L1095" s="43">
        <f t="shared" si="749"/>
        <v>312.02977</v>
      </c>
      <c r="M1095" s="43">
        <f t="shared" si="750"/>
        <v>65.5262517</v>
      </c>
      <c r="N1095" s="43">
        <f t="shared" si="751"/>
        <v>377.5560217</v>
      </c>
    </row>
    <row r="1096" ht="15.75" customHeight="1">
      <c r="A1096" s="5" t="s">
        <v>14</v>
      </c>
      <c r="B1096" s="41">
        <v>3993.0</v>
      </c>
      <c r="C1096" s="41">
        <v>4008.0</v>
      </c>
      <c r="D1096" s="5">
        <f t="shared" si="742"/>
        <v>0.015</v>
      </c>
      <c r="E1096" s="5">
        <f t="shared" si="743"/>
        <v>39.14</v>
      </c>
      <c r="F1096" s="5">
        <v>55.0</v>
      </c>
      <c r="G1096" s="7">
        <f t="shared" si="744"/>
        <v>38.6898</v>
      </c>
      <c r="H1096" s="7">
        <f t="shared" si="745"/>
        <v>1.49565</v>
      </c>
      <c r="I1096" s="7">
        <f t="shared" si="746"/>
        <v>7.425</v>
      </c>
      <c r="J1096" s="7">
        <f t="shared" si="747"/>
        <v>18.666</v>
      </c>
      <c r="K1096" s="7">
        <f t="shared" si="748"/>
        <v>0.4245</v>
      </c>
      <c r="L1096" s="43">
        <f t="shared" si="749"/>
        <v>160.84095</v>
      </c>
      <c r="M1096" s="43">
        <f t="shared" si="750"/>
        <v>33.7765995</v>
      </c>
      <c r="N1096" s="43">
        <f t="shared" si="751"/>
        <v>194.6175495</v>
      </c>
    </row>
    <row r="1097" ht="15.75" customHeight="1">
      <c r="A1097" s="5" t="s">
        <v>15</v>
      </c>
      <c r="B1097" s="41">
        <v>4798.0</v>
      </c>
      <c r="C1097" s="41">
        <v>4867.0</v>
      </c>
      <c r="D1097" s="5">
        <f t="shared" si="742"/>
        <v>0.069</v>
      </c>
      <c r="E1097" s="5">
        <f t="shared" si="743"/>
        <v>39.14</v>
      </c>
      <c r="F1097" s="5">
        <v>55.0</v>
      </c>
      <c r="G1097" s="7">
        <f t="shared" si="744"/>
        <v>177.97308</v>
      </c>
      <c r="H1097" s="7">
        <f t="shared" si="745"/>
        <v>6.87999</v>
      </c>
      <c r="I1097" s="7">
        <f t="shared" si="746"/>
        <v>34.155</v>
      </c>
      <c r="J1097" s="7">
        <f t="shared" si="747"/>
        <v>85.8636</v>
      </c>
      <c r="K1097" s="7">
        <f t="shared" si="748"/>
        <v>1.9527</v>
      </c>
      <c r="L1097" s="43">
        <f t="shared" si="749"/>
        <v>400.96437</v>
      </c>
      <c r="M1097" s="43">
        <f t="shared" si="750"/>
        <v>84.2025177</v>
      </c>
      <c r="N1097" s="43">
        <f t="shared" si="751"/>
        <v>485.1668877</v>
      </c>
    </row>
    <row r="1098" ht="15.75" customHeight="1">
      <c r="A1098" s="5" t="s">
        <v>16</v>
      </c>
      <c r="B1098" s="41">
        <v>3479.0</v>
      </c>
      <c r="C1098" s="41">
        <v>3518.0</v>
      </c>
      <c r="D1098" s="5">
        <f t="shared" si="742"/>
        <v>0.039</v>
      </c>
      <c r="E1098" s="5">
        <f t="shared" si="743"/>
        <v>39.14</v>
      </c>
      <c r="F1098" s="5">
        <v>55.0</v>
      </c>
      <c r="G1098" s="7">
        <f t="shared" si="744"/>
        <v>100.59348</v>
      </c>
      <c r="H1098" s="7">
        <f t="shared" si="745"/>
        <v>3.88869</v>
      </c>
      <c r="I1098" s="7">
        <f t="shared" si="746"/>
        <v>19.305</v>
      </c>
      <c r="J1098" s="7">
        <f t="shared" si="747"/>
        <v>48.5316</v>
      </c>
      <c r="K1098" s="7">
        <f t="shared" si="748"/>
        <v>1.1037</v>
      </c>
      <c r="L1098" s="43">
        <f t="shared" si="749"/>
        <v>267.56247</v>
      </c>
      <c r="M1098" s="43">
        <f t="shared" si="750"/>
        <v>56.1881187</v>
      </c>
      <c r="N1098" s="43">
        <f t="shared" si="751"/>
        <v>323.7505887</v>
      </c>
    </row>
    <row r="1099" ht="15.75" customHeight="1">
      <c r="A1099" s="5" t="s">
        <v>17</v>
      </c>
      <c r="B1099" s="41">
        <v>4819.0</v>
      </c>
      <c r="C1099" s="41">
        <v>4903.0</v>
      </c>
      <c r="D1099" s="5">
        <f t="shared" si="742"/>
        <v>0.084</v>
      </c>
      <c r="E1099" s="5">
        <f t="shared" si="743"/>
        <v>39.14</v>
      </c>
      <c r="F1099" s="5">
        <v>55.0</v>
      </c>
      <c r="G1099" s="7">
        <f t="shared" si="744"/>
        <v>216.66288</v>
      </c>
      <c r="H1099" s="7">
        <f t="shared" si="745"/>
        <v>8.37564</v>
      </c>
      <c r="I1099" s="7">
        <f t="shared" si="746"/>
        <v>41.58</v>
      </c>
      <c r="J1099" s="7">
        <f t="shared" si="747"/>
        <v>104.5296</v>
      </c>
      <c r="K1099" s="7">
        <f t="shared" si="748"/>
        <v>2.3772</v>
      </c>
      <c r="L1099" s="43">
        <f t="shared" si="749"/>
        <v>467.66532</v>
      </c>
      <c r="M1099" s="43">
        <f t="shared" si="750"/>
        <v>98.2097172</v>
      </c>
      <c r="N1099" s="43">
        <f t="shared" si="751"/>
        <v>565.8750372</v>
      </c>
    </row>
    <row r="1100" ht="15.75" customHeight="1">
      <c r="A1100" s="5" t="s">
        <v>18</v>
      </c>
      <c r="B1100" s="41">
        <v>4403.0</v>
      </c>
      <c r="C1100" s="41">
        <v>4547.0</v>
      </c>
      <c r="D1100" s="5">
        <f t="shared" si="742"/>
        <v>0.144</v>
      </c>
      <c r="E1100" s="5">
        <f t="shared" si="743"/>
        <v>39.14</v>
      </c>
      <c r="F1100" s="5">
        <v>55.0</v>
      </c>
      <c r="G1100" s="7">
        <f t="shared" si="744"/>
        <v>371.42208</v>
      </c>
      <c r="H1100" s="7">
        <f t="shared" si="745"/>
        <v>14.35824</v>
      </c>
      <c r="I1100" s="7">
        <f t="shared" si="746"/>
        <v>71.28</v>
      </c>
      <c r="J1100" s="7">
        <f t="shared" si="747"/>
        <v>179.1936</v>
      </c>
      <c r="K1100" s="7">
        <f t="shared" si="748"/>
        <v>4.0752</v>
      </c>
      <c r="L1100" s="43">
        <f t="shared" si="749"/>
        <v>734.46912</v>
      </c>
      <c r="M1100" s="43">
        <f t="shared" si="750"/>
        <v>154.2385152</v>
      </c>
      <c r="N1100" s="43">
        <f t="shared" si="751"/>
        <v>888.7076352</v>
      </c>
    </row>
    <row r="1101" ht="15.75" customHeight="1">
      <c r="A1101" s="40" t="s">
        <v>19</v>
      </c>
      <c r="B1101" s="41">
        <v>115847.0</v>
      </c>
      <c r="C1101" s="41">
        <v>115847.0</v>
      </c>
      <c r="D1101" s="5">
        <f t="shared" si="742"/>
        <v>0</v>
      </c>
      <c r="E1101" s="5">
        <v>169.69</v>
      </c>
      <c r="F1101" s="5">
        <v>78.05</v>
      </c>
      <c r="G1101" s="7">
        <f t="shared" si="744"/>
        <v>0</v>
      </c>
      <c r="H1101" s="7">
        <f t="shared" si="745"/>
        <v>0</v>
      </c>
      <c r="I1101" s="7">
        <f t="shared" si="746"/>
        <v>0</v>
      </c>
      <c r="J1101" s="7">
        <f t="shared" si="747"/>
        <v>0</v>
      </c>
      <c r="K1101" s="7">
        <f t="shared" si="748"/>
        <v>0</v>
      </c>
      <c r="L1101" s="43">
        <f t="shared" si="749"/>
        <v>247.74</v>
      </c>
      <c r="M1101" s="43">
        <f t="shared" si="750"/>
        <v>52.0254</v>
      </c>
      <c r="N1101" s="43">
        <f t="shared" si="751"/>
        <v>299.7654</v>
      </c>
    </row>
    <row r="1102" ht="15.75" customHeight="1">
      <c r="A1102" s="5" t="s">
        <v>30</v>
      </c>
      <c r="B1102" s="41">
        <v>17270.0</v>
      </c>
      <c r="C1102" s="41">
        <v>17416.0</v>
      </c>
      <c r="D1102" s="5">
        <f t="shared" si="742"/>
        <v>0.146</v>
      </c>
      <c r="E1102" s="5">
        <f t="shared" ref="E1102:E1103" si="752">29.8+9.34</f>
        <v>39.14</v>
      </c>
      <c r="F1102" s="5">
        <v>55.0</v>
      </c>
      <c r="G1102" s="7">
        <f t="shared" si="744"/>
        <v>376.58072</v>
      </c>
      <c r="H1102" s="7">
        <f t="shared" si="745"/>
        <v>14.55766</v>
      </c>
      <c r="I1102" s="7">
        <f t="shared" si="746"/>
        <v>72.27</v>
      </c>
      <c r="J1102" s="7">
        <f t="shared" si="747"/>
        <v>181.6824</v>
      </c>
      <c r="K1102" s="7">
        <f t="shared" si="748"/>
        <v>4.1318</v>
      </c>
      <c r="L1102" s="43">
        <f t="shared" si="749"/>
        <v>743.36258</v>
      </c>
      <c r="M1102" s="43">
        <f t="shared" si="750"/>
        <v>156.1061418</v>
      </c>
      <c r="N1102" s="43">
        <f t="shared" si="751"/>
        <v>899.4687218</v>
      </c>
    </row>
    <row r="1103" ht="15.75" customHeight="1">
      <c r="A1103" s="5" t="s">
        <v>31</v>
      </c>
      <c r="B1103" s="41">
        <v>84251.0</v>
      </c>
      <c r="C1103" s="41">
        <v>84979.0</v>
      </c>
      <c r="D1103" s="5">
        <f t="shared" si="742"/>
        <v>0.728</v>
      </c>
      <c r="E1103" s="5">
        <f t="shared" si="752"/>
        <v>39.14</v>
      </c>
      <c r="F1103" s="5">
        <v>55.0</v>
      </c>
      <c r="G1103" s="7">
        <f t="shared" si="744"/>
        <v>1877.74496</v>
      </c>
      <c r="H1103" s="7">
        <f t="shared" si="745"/>
        <v>72.58888</v>
      </c>
      <c r="I1103" s="7">
        <f t="shared" si="746"/>
        <v>360.36</v>
      </c>
      <c r="J1103" s="7">
        <f t="shared" si="747"/>
        <v>905.9232</v>
      </c>
      <c r="K1103" s="7">
        <f t="shared" si="748"/>
        <v>20.6024</v>
      </c>
      <c r="L1103" s="44">
        <f t="shared" si="749"/>
        <v>3331.35944</v>
      </c>
      <c r="M1103" s="43">
        <f t="shared" si="750"/>
        <v>699.5854824</v>
      </c>
      <c r="N1103" s="43">
        <f t="shared" si="751"/>
        <v>4030.944922</v>
      </c>
    </row>
    <row r="1104" ht="15.75" customHeight="1">
      <c r="A1104" s="5"/>
      <c r="B1104" s="4"/>
      <c r="C1104" s="4"/>
      <c r="D1104" s="5"/>
      <c r="G1104" s="5"/>
      <c r="L1104" s="45">
        <f>SUM(L1093:L1103)</f>
        <v>7481.26295</v>
      </c>
      <c r="M1104" s="46">
        <f t="shared" si="750"/>
        <v>1571.06522</v>
      </c>
      <c r="N1104" s="46">
        <f t="shared" si="751"/>
        <v>9052.32817</v>
      </c>
    </row>
    <row r="1105" ht="15.75" customHeight="1">
      <c r="A1105" s="5"/>
      <c r="B1105" s="4"/>
      <c r="C1105" s="4"/>
      <c r="D1105" s="5">
        <f>SUM(D1093:D1103)</f>
        <v>1.415</v>
      </c>
      <c r="G1105" s="5"/>
    </row>
    <row r="1106" ht="15.75" customHeight="1">
      <c r="A1106" s="5"/>
      <c r="B1106" s="4"/>
      <c r="C1106" s="4"/>
      <c r="D1106" s="5"/>
      <c r="G1106" s="5"/>
      <c r="I1106" s="15" t="s">
        <v>66</v>
      </c>
      <c r="L1106" s="15">
        <v>1700.0</v>
      </c>
    </row>
    <row r="1107" ht="15.75" customHeight="1">
      <c r="A1107" s="5" t="s">
        <v>68</v>
      </c>
      <c r="B1107" s="4">
        <v>100573.0</v>
      </c>
      <c r="C1107" s="4"/>
      <c r="D1107" s="5">
        <f>(C1107-B1107)/1000</f>
        <v>-100.573</v>
      </c>
      <c r="G1107" s="5"/>
      <c r="I1107" s="15" t="s">
        <v>67</v>
      </c>
      <c r="L1107" s="47">
        <f>L1104-L1106</f>
        <v>5781.26295</v>
      </c>
    </row>
    <row r="1108" ht="15.75" customHeight="1">
      <c r="A1108" s="5"/>
      <c r="C1108" s="4"/>
      <c r="D1108" s="5"/>
      <c r="G1108" s="5"/>
    </row>
    <row r="1109" ht="15.75" customHeight="1">
      <c r="A1109" s="5"/>
      <c r="C1109" s="4"/>
      <c r="D1109" s="5"/>
      <c r="G1109" s="5"/>
    </row>
    <row r="1110" ht="15.75" customHeight="1">
      <c r="A1110" s="5"/>
      <c r="C1110" s="4"/>
      <c r="D1110" s="5"/>
      <c r="G1110" s="5"/>
    </row>
    <row r="1111" ht="15.75" customHeight="1">
      <c r="A1111" s="5" t="s">
        <v>61</v>
      </c>
      <c r="C1111" s="4"/>
      <c r="D1111" s="5"/>
      <c r="G1111" s="5"/>
    </row>
    <row r="1112" ht="15.75" customHeight="1">
      <c r="A1112" s="1"/>
      <c r="C1112" s="4"/>
      <c r="D1112" s="5"/>
      <c r="G1112" s="5"/>
    </row>
    <row r="1113" ht="15.75" customHeight="1">
      <c r="A1113" s="5" t="s">
        <v>11</v>
      </c>
      <c r="B1113" s="41">
        <v>5471.0</v>
      </c>
      <c r="C1113" s="41">
        <v>5521.0</v>
      </c>
      <c r="D1113" s="5">
        <f t="shared" ref="D1113:D1123" si="753">(C1113-B1113)/1000</f>
        <v>0.05</v>
      </c>
      <c r="E1113" s="5">
        <f t="shared" ref="E1113:E1120" si="754">29.8+9.34</f>
        <v>39.14</v>
      </c>
      <c r="F1113" s="5">
        <v>55.0</v>
      </c>
      <c r="G1113" s="7">
        <f t="shared" ref="G1113:G1123" si="755">D1113*$G$2</f>
        <v>128.966</v>
      </c>
      <c r="H1113" s="7">
        <f t="shared" ref="H1113:H1123" si="756">D1113*$H$2</f>
        <v>4.9855</v>
      </c>
      <c r="I1113" s="7">
        <f t="shared" ref="I1113:I1123" si="757">D1113*$I$2</f>
        <v>24.75</v>
      </c>
      <c r="J1113" s="7">
        <f t="shared" ref="J1113:J1123" si="758">D1113*$J$2</f>
        <v>62.22</v>
      </c>
      <c r="K1113" s="7">
        <f t="shared" ref="K1113:K1123" si="759">D1113*$K$2</f>
        <v>1.415</v>
      </c>
      <c r="L1113" s="43">
        <f t="shared" ref="L1113:L1123" si="760">SUM(E1113:K1113)</f>
        <v>316.4765</v>
      </c>
      <c r="M1113" s="43">
        <f t="shared" ref="M1113:M1124" si="761">L1113*0.21</f>
        <v>66.460065</v>
      </c>
      <c r="N1113" s="43">
        <f t="shared" ref="N1113:N1124" si="762">L1113+M1113</f>
        <v>382.936565</v>
      </c>
    </row>
    <row r="1114" ht="15.75" customHeight="1">
      <c r="A1114" s="5" t="s">
        <v>12</v>
      </c>
      <c r="B1114" s="41">
        <v>4129.0</v>
      </c>
      <c r="C1114" s="41">
        <v>4183.0</v>
      </c>
      <c r="D1114" s="5">
        <f t="shared" si="753"/>
        <v>0.054</v>
      </c>
      <c r="E1114" s="5">
        <f t="shared" si="754"/>
        <v>39.14</v>
      </c>
      <c r="F1114" s="5">
        <v>55.0</v>
      </c>
      <c r="G1114" s="7">
        <f t="shared" si="755"/>
        <v>139.28328</v>
      </c>
      <c r="H1114" s="7">
        <f t="shared" si="756"/>
        <v>5.38434</v>
      </c>
      <c r="I1114" s="7">
        <f t="shared" si="757"/>
        <v>26.73</v>
      </c>
      <c r="J1114" s="7">
        <f t="shared" si="758"/>
        <v>67.1976</v>
      </c>
      <c r="K1114" s="7">
        <f t="shared" si="759"/>
        <v>1.5282</v>
      </c>
      <c r="L1114" s="43">
        <f t="shared" si="760"/>
        <v>334.26342</v>
      </c>
      <c r="M1114" s="43">
        <f t="shared" si="761"/>
        <v>70.1953182</v>
      </c>
      <c r="N1114" s="43">
        <f t="shared" si="762"/>
        <v>404.4587382</v>
      </c>
    </row>
    <row r="1115" ht="15.75" customHeight="1">
      <c r="A1115" s="5" t="s">
        <v>13</v>
      </c>
      <c r="B1115" s="41">
        <v>5580.0</v>
      </c>
      <c r="C1115" s="41">
        <v>5642.0</v>
      </c>
      <c r="D1115" s="5">
        <f t="shared" si="753"/>
        <v>0.062</v>
      </c>
      <c r="E1115" s="5">
        <f t="shared" si="754"/>
        <v>39.14</v>
      </c>
      <c r="F1115" s="5">
        <v>55.0</v>
      </c>
      <c r="G1115" s="7">
        <f t="shared" si="755"/>
        <v>159.91784</v>
      </c>
      <c r="H1115" s="7">
        <f t="shared" si="756"/>
        <v>6.18202</v>
      </c>
      <c r="I1115" s="7">
        <f t="shared" si="757"/>
        <v>30.69</v>
      </c>
      <c r="J1115" s="7">
        <f t="shared" si="758"/>
        <v>77.1528</v>
      </c>
      <c r="K1115" s="7">
        <f t="shared" si="759"/>
        <v>1.7546</v>
      </c>
      <c r="L1115" s="43">
        <f t="shared" si="760"/>
        <v>369.83726</v>
      </c>
      <c r="M1115" s="43">
        <f t="shared" si="761"/>
        <v>77.6658246</v>
      </c>
      <c r="N1115" s="43">
        <f t="shared" si="762"/>
        <v>447.5030846</v>
      </c>
    </row>
    <row r="1116" ht="15.75" customHeight="1">
      <c r="A1116" s="5" t="s">
        <v>14</v>
      </c>
      <c r="B1116" s="41">
        <v>4008.0</v>
      </c>
      <c r="C1116" s="41">
        <v>4057.0</v>
      </c>
      <c r="D1116" s="5">
        <f t="shared" si="753"/>
        <v>0.049</v>
      </c>
      <c r="E1116" s="5">
        <f t="shared" si="754"/>
        <v>39.14</v>
      </c>
      <c r="F1116" s="5">
        <v>55.0</v>
      </c>
      <c r="G1116" s="7">
        <f t="shared" si="755"/>
        <v>126.38668</v>
      </c>
      <c r="H1116" s="7">
        <f t="shared" si="756"/>
        <v>4.88579</v>
      </c>
      <c r="I1116" s="7">
        <f t="shared" si="757"/>
        <v>24.255</v>
      </c>
      <c r="J1116" s="7">
        <f t="shared" si="758"/>
        <v>60.9756</v>
      </c>
      <c r="K1116" s="7">
        <f t="shared" si="759"/>
        <v>1.3867</v>
      </c>
      <c r="L1116" s="43">
        <f t="shared" si="760"/>
        <v>312.02977</v>
      </c>
      <c r="M1116" s="43">
        <f t="shared" si="761"/>
        <v>65.5262517</v>
      </c>
      <c r="N1116" s="43">
        <f t="shared" si="762"/>
        <v>377.5560217</v>
      </c>
    </row>
    <row r="1117" ht="15.75" customHeight="1">
      <c r="A1117" s="5" t="s">
        <v>15</v>
      </c>
      <c r="B1117" s="41">
        <v>4867.0</v>
      </c>
      <c r="C1117" s="41">
        <v>4940.0</v>
      </c>
      <c r="D1117" s="5">
        <f t="shared" si="753"/>
        <v>0.073</v>
      </c>
      <c r="E1117" s="5">
        <f t="shared" si="754"/>
        <v>39.14</v>
      </c>
      <c r="F1117" s="5">
        <v>55.0</v>
      </c>
      <c r="G1117" s="7">
        <f t="shared" si="755"/>
        <v>188.29036</v>
      </c>
      <c r="H1117" s="7">
        <f t="shared" si="756"/>
        <v>7.27883</v>
      </c>
      <c r="I1117" s="7">
        <f t="shared" si="757"/>
        <v>36.135</v>
      </c>
      <c r="J1117" s="7">
        <f t="shared" si="758"/>
        <v>90.8412</v>
      </c>
      <c r="K1117" s="7">
        <f t="shared" si="759"/>
        <v>2.0659</v>
      </c>
      <c r="L1117" s="43">
        <f t="shared" si="760"/>
        <v>418.75129</v>
      </c>
      <c r="M1117" s="43">
        <f t="shared" si="761"/>
        <v>87.9377709</v>
      </c>
      <c r="N1117" s="43">
        <f t="shared" si="762"/>
        <v>506.6890609</v>
      </c>
    </row>
    <row r="1118" ht="15.75" customHeight="1">
      <c r="A1118" s="5" t="s">
        <v>16</v>
      </c>
      <c r="B1118" s="41">
        <v>3518.0</v>
      </c>
      <c r="C1118" s="41">
        <v>3552.0</v>
      </c>
      <c r="D1118" s="5">
        <f t="shared" si="753"/>
        <v>0.034</v>
      </c>
      <c r="E1118" s="5">
        <f t="shared" si="754"/>
        <v>39.14</v>
      </c>
      <c r="F1118" s="5">
        <v>55.0</v>
      </c>
      <c r="G1118" s="7">
        <f t="shared" si="755"/>
        <v>87.69688</v>
      </c>
      <c r="H1118" s="7">
        <f t="shared" si="756"/>
        <v>3.39014</v>
      </c>
      <c r="I1118" s="7">
        <f t="shared" si="757"/>
        <v>16.83</v>
      </c>
      <c r="J1118" s="7">
        <f t="shared" si="758"/>
        <v>42.3096</v>
      </c>
      <c r="K1118" s="7">
        <f t="shared" si="759"/>
        <v>0.9622</v>
      </c>
      <c r="L1118" s="43">
        <f t="shared" si="760"/>
        <v>245.32882</v>
      </c>
      <c r="M1118" s="43">
        <f t="shared" si="761"/>
        <v>51.5190522</v>
      </c>
      <c r="N1118" s="43">
        <f t="shared" si="762"/>
        <v>296.8478722</v>
      </c>
    </row>
    <row r="1119" ht="15.75" customHeight="1">
      <c r="A1119" s="5" t="s">
        <v>17</v>
      </c>
      <c r="B1119" s="41">
        <v>4903.0</v>
      </c>
      <c r="C1119" s="41">
        <v>4996.0</v>
      </c>
      <c r="D1119" s="5">
        <f t="shared" si="753"/>
        <v>0.093</v>
      </c>
      <c r="E1119" s="5">
        <f t="shared" si="754"/>
        <v>39.14</v>
      </c>
      <c r="F1119" s="5">
        <v>55.0</v>
      </c>
      <c r="G1119" s="7">
        <f t="shared" si="755"/>
        <v>239.87676</v>
      </c>
      <c r="H1119" s="7">
        <f t="shared" si="756"/>
        <v>9.27303</v>
      </c>
      <c r="I1119" s="7">
        <f t="shared" si="757"/>
        <v>46.035</v>
      </c>
      <c r="J1119" s="7">
        <f t="shared" si="758"/>
        <v>115.7292</v>
      </c>
      <c r="K1119" s="7">
        <f t="shared" si="759"/>
        <v>2.6319</v>
      </c>
      <c r="L1119" s="43">
        <f t="shared" si="760"/>
        <v>507.68589</v>
      </c>
      <c r="M1119" s="43">
        <f t="shared" si="761"/>
        <v>106.6140369</v>
      </c>
      <c r="N1119" s="43">
        <f t="shared" si="762"/>
        <v>614.2999269</v>
      </c>
    </row>
    <row r="1120" ht="15.75" customHeight="1">
      <c r="A1120" s="5" t="s">
        <v>18</v>
      </c>
      <c r="B1120" s="41">
        <v>4547.0</v>
      </c>
      <c r="C1120" s="41">
        <v>4704.0</v>
      </c>
      <c r="D1120" s="5">
        <f t="shared" si="753"/>
        <v>0.157</v>
      </c>
      <c r="E1120" s="5">
        <f t="shared" si="754"/>
        <v>39.14</v>
      </c>
      <c r="F1120" s="5">
        <v>55.0</v>
      </c>
      <c r="G1120" s="7">
        <f t="shared" si="755"/>
        <v>404.95324</v>
      </c>
      <c r="H1120" s="7">
        <f t="shared" si="756"/>
        <v>15.65447</v>
      </c>
      <c r="I1120" s="7">
        <f t="shared" si="757"/>
        <v>77.715</v>
      </c>
      <c r="J1120" s="7">
        <f t="shared" si="758"/>
        <v>195.3708</v>
      </c>
      <c r="K1120" s="7">
        <f t="shared" si="759"/>
        <v>4.4431</v>
      </c>
      <c r="L1120" s="43">
        <f t="shared" si="760"/>
        <v>792.27661</v>
      </c>
      <c r="M1120" s="43">
        <f t="shared" si="761"/>
        <v>166.3780881</v>
      </c>
      <c r="N1120" s="43">
        <f t="shared" si="762"/>
        <v>958.6546981</v>
      </c>
    </row>
    <row r="1121" ht="15.75" customHeight="1">
      <c r="A1121" s="40" t="s">
        <v>19</v>
      </c>
      <c r="B1121" s="41">
        <v>115847.0</v>
      </c>
      <c r="C1121" s="41">
        <v>118538.0</v>
      </c>
      <c r="D1121" s="5">
        <f t="shared" si="753"/>
        <v>2.691</v>
      </c>
      <c r="E1121" s="5">
        <v>169.69</v>
      </c>
      <c r="F1121" s="5">
        <v>78.05</v>
      </c>
      <c r="G1121" s="7">
        <f t="shared" si="755"/>
        <v>6940.95012</v>
      </c>
      <c r="H1121" s="7">
        <f t="shared" si="756"/>
        <v>268.31961</v>
      </c>
      <c r="I1121" s="7">
        <f t="shared" si="757"/>
        <v>1332.045</v>
      </c>
      <c r="J1121" s="7">
        <f t="shared" si="758"/>
        <v>3348.6804</v>
      </c>
      <c r="K1121" s="7">
        <f t="shared" si="759"/>
        <v>76.1553</v>
      </c>
      <c r="L1121" s="43">
        <f t="shared" si="760"/>
        <v>12213.89043</v>
      </c>
      <c r="M1121" s="43">
        <f t="shared" si="761"/>
        <v>2564.91699</v>
      </c>
      <c r="N1121" s="43">
        <f t="shared" si="762"/>
        <v>14778.80742</v>
      </c>
    </row>
    <row r="1122" ht="15.75" customHeight="1">
      <c r="A1122" s="5" t="s">
        <v>30</v>
      </c>
      <c r="B1122" s="41">
        <v>17416.0</v>
      </c>
      <c r="C1122" s="41">
        <v>17439.0</v>
      </c>
      <c r="D1122" s="5">
        <f t="shared" si="753"/>
        <v>0.023</v>
      </c>
      <c r="E1122" s="5">
        <f t="shared" ref="E1122:E1123" si="763">29.8+9.34</f>
        <v>39.14</v>
      </c>
      <c r="F1122" s="5">
        <v>55.0</v>
      </c>
      <c r="G1122" s="7">
        <f t="shared" si="755"/>
        <v>59.32436</v>
      </c>
      <c r="H1122" s="7">
        <f t="shared" si="756"/>
        <v>2.29333</v>
      </c>
      <c r="I1122" s="7">
        <f t="shared" si="757"/>
        <v>11.385</v>
      </c>
      <c r="J1122" s="7">
        <f t="shared" si="758"/>
        <v>28.6212</v>
      </c>
      <c r="K1122" s="7">
        <f t="shared" si="759"/>
        <v>0.6509</v>
      </c>
      <c r="L1122" s="43">
        <f t="shared" si="760"/>
        <v>196.41479</v>
      </c>
      <c r="M1122" s="43">
        <f t="shared" si="761"/>
        <v>41.2471059</v>
      </c>
      <c r="N1122" s="43">
        <f t="shared" si="762"/>
        <v>237.6618959</v>
      </c>
    </row>
    <row r="1123" ht="15.75" customHeight="1">
      <c r="A1123" s="5" t="s">
        <v>31</v>
      </c>
      <c r="B1123" s="41">
        <v>84979.0</v>
      </c>
      <c r="C1123" s="41">
        <v>85106.0</v>
      </c>
      <c r="D1123" s="5">
        <f t="shared" si="753"/>
        <v>0.127</v>
      </c>
      <c r="E1123" s="5">
        <f t="shared" si="763"/>
        <v>39.14</v>
      </c>
      <c r="F1123" s="5">
        <v>55.0</v>
      </c>
      <c r="G1123" s="7">
        <f t="shared" si="755"/>
        <v>327.57364</v>
      </c>
      <c r="H1123" s="7">
        <f t="shared" si="756"/>
        <v>12.66317</v>
      </c>
      <c r="I1123" s="7">
        <f t="shared" si="757"/>
        <v>62.865</v>
      </c>
      <c r="J1123" s="7">
        <f t="shared" si="758"/>
        <v>158.0388</v>
      </c>
      <c r="K1123" s="7">
        <f t="shared" si="759"/>
        <v>3.5941</v>
      </c>
      <c r="L1123" s="44">
        <f t="shared" si="760"/>
        <v>658.87471</v>
      </c>
      <c r="M1123" s="43">
        <f t="shared" si="761"/>
        <v>138.3636891</v>
      </c>
      <c r="N1123" s="43">
        <f t="shared" si="762"/>
        <v>797.2383991</v>
      </c>
    </row>
    <row r="1124" ht="15.75" customHeight="1">
      <c r="A1124" s="5"/>
      <c r="B1124" s="4"/>
      <c r="C1124" s="4"/>
      <c r="D1124" s="5"/>
      <c r="G1124" s="5"/>
      <c r="L1124" s="45">
        <f>SUM(L1113:L1123)</f>
        <v>16365.82949</v>
      </c>
      <c r="M1124" s="46">
        <f t="shared" si="761"/>
        <v>3436.824193</v>
      </c>
      <c r="N1124" s="46">
        <f t="shared" si="762"/>
        <v>19802.65368</v>
      </c>
    </row>
    <row r="1125" ht="15.75" customHeight="1">
      <c r="A1125" s="5"/>
      <c r="B1125" s="4"/>
      <c r="C1125" s="4"/>
      <c r="D1125" s="5">
        <f>SUM(D1113:D1123)</f>
        <v>3.413</v>
      </c>
      <c r="G1125" s="5"/>
    </row>
    <row r="1126" ht="15.75" customHeight="1">
      <c r="A1126" s="5"/>
      <c r="B1126" s="4"/>
      <c r="C1126" s="4"/>
      <c r="D1126" s="5"/>
      <c r="G1126" s="5"/>
      <c r="I1126" s="15" t="s">
        <v>66</v>
      </c>
      <c r="L1126" s="15">
        <v>1700.0</v>
      </c>
    </row>
    <row r="1127" ht="15.75" customHeight="1">
      <c r="A1127" s="5" t="s">
        <v>68</v>
      </c>
      <c r="B1127" s="4">
        <v>100573.0</v>
      </c>
      <c r="C1127" s="4"/>
      <c r="D1127" s="5">
        <f>(C1127-B1127)/1000</f>
        <v>-100.573</v>
      </c>
      <c r="G1127" s="5"/>
      <c r="I1127" s="15" t="s">
        <v>67</v>
      </c>
      <c r="L1127" s="47">
        <f>L1124-L1126</f>
        <v>14665.82949</v>
      </c>
    </row>
    <row r="1128" ht="15.75" customHeight="1">
      <c r="A1128" s="5"/>
      <c r="C1128" s="4"/>
      <c r="D1128" s="5"/>
      <c r="G1128" s="5"/>
    </row>
    <row r="1129" ht="15.75" customHeight="1">
      <c r="A1129" s="5"/>
      <c r="C1129" s="4"/>
      <c r="D1129" s="5"/>
      <c r="G1129" s="5"/>
    </row>
    <row r="1130" ht="15.75" customHeight="1">
      <c r="A1130" s="5"/>
      <c r="C1130" s="4"/>
      <c r="D1130" s="5"/>
      <c r="G1130" s="5"/>
    </row>
    <row r="1131" ht="15.75" customHeight="1">
      <c r="A1131" s="5" t="s">
        <v>51</v>
      </c>
      <c r="C1131" s="4"/>
      <c r="D1131" s="5"/>
      <c r="G1131" s="5"/>
    </row>
    <row r="1132" ht="15.75" customHeight="1">
      <c r="A1132" s="1"/>
      <c r="C1132" s="4"/>
      <c r="D1132" s="5"/>
      <c r="G1132" s="5"/>
    </row>
    <row r="1133" ht="15.75" customHeight="1">
      <c r="A1133" s="5" t="s">
        <v>11</v>
      </c>
      <c r="B1133" s="41">
        <v>5521.0</v>
      </c>
      <c r="C1133" s="41">
        <v>5606.0</v>
      </c>
      <c r="D1133" s="5">
        <f t="shared" ref="D1133:D1143" si="764">(C1133-B1133)/1000</f>
        <v>0.085</v>
      </c>
      <c r="E1133" s="5">
        <f t="shared" ref="E1133:E1140" si="765">29.8+9.34</f>
        <v>39.14</v>
      </c>
      <c r="F1133" s="5">
        <v>55.0</v>
      </c>
      <c r="G1133" s="7">
        <f t="shared" ref="G1133:G1143" si="766">D1133*$G$2</f>
        <v>219.2422</v>
      </c>
      <c r="H1133" s="7">
        <f t="shared" ref="H1133:H1143" si="767">D1133*$H$2</f>
        <v>8.47535</v>
      </c>
      <c r="I1133" s="7">
        <f t="shared" ref="I1133:I1143" si="768">D1133*$I$2</f>
        <v>42.075</v>
      </c>
      <c r="J1133" s="7">
        <f t="shared" ref="J1133:J1143" si="769">D1133*$J$2</f>
        <v>105.774</v>
      </c>
      <c r="K1133" s="7">
        <f t="shared" ref="K1133:K1143" si="770">D1133*$K$2</f>
        <v>2.4055</v>
      </c>
      <c r="L1133" s="43">
        <f t="shared" ref="L1133:L1143" si="771">SUM(E1133:K1133)</f>
        <v>472.11205</v>
      </c>
      <c r="M1133" s="43">
        <f t="shared" ref="M1133:M1144" si="772">L1133*0.21</f>
        <v>99.1435305</v>
      </c>
      <c r="N1133" s="43">
        <f t="shared" ref="N1133:N1144" si="773">L1133+M1133</f>
        <v>571.2555805</v>
      </c>
    </row>
    <row r="1134" ht="15.75" customHeight="1">
      <c r="A1134" s="5" t="s">
        <v>12</v>
      </c>
      <c r="B1134" s="41">
        <v>4183.0</v>
      </c>
      <c r="C1134" s="41">
        <v>4236.0</v>
      </c>
      <c r="D1134" s="5">
        <f t="shared" si="764"/>
        <v>0.053</v>
      </c>
      <c r="E1134" s="5">
        <f t="shared" si="765"/>
        <v>39.14</v>
      </c>
      <c r="F1134" s="5">
        <v>55.0</v>
      </c>
      <c r="G1134" s="7">
        <f t="shared" si="766"/>
        <v>136.70396</v>
      </c>
      <c r="H1134" s="7">
        <f t="shared" si="767"/>
        <v>5.28463</v>
      </c>
      <c r="I1134" s="7">
        <f t="shared" si="768"/>
        <v>26.235</v>
      </c>
      <c r="J1134" s="7">
        <f t="shared" si="769"/>
        <v>65.9532</v>
      </c>
      <c r="K1134" s="7">
        <f t="shared" si="770"/>
        <v>1.4999</v>
      </c>
      <c r="L1134" s="43">
        <f t="shared" si="771"/>
        <v>329.81669</v>
      </c>
      <c r="M1134" s="43">
        <f t="shared" si="772"/>
        <v>69.2615049</v>
      </c>
      <c r="N1134" s="43">
        <f t="shared" si="773"/>
        <v>399.0781949</v>
      </c>
    </row>
    <row r="1135" ht="15.75" customHeight="1">
      <c r="A1135" s="5" t="s">
        <v>13</v>
      </c>
      <c r="B1135" s="41">
        <v>5642.0</v>
      </c>
      <c r="C1135" s="41">
        <v>5709.0</v>
      </c>
      <c r="D1135" s="5">
        <f t="shared" si="764"/>
        <v>0.067</v>
      </c>
      <c r="E1135" s="5">
        <f t="shared" si="765"/>
        <v>39.14</v>
      </c>
      <c r="F1135" s="5">
        <v>55.0</v>
      </c>
      <c r="G1135" s="7">
        <f t="shared" si="766"/>
        <v>172.81444</v>
      </c>
      <c r="H1135" s="7">
        <f t="shared" si="767"/>
        <v>6.68057</v>
      </c>
      <c r="I1135" s="7">
        <f t="shared" si="768"/>
        <v>33.165</v>
      </c>
      <c r="J1135" s="7">
        <f t="shared" si="769"/>
        <v>83.3748</v>
      </c>
      <c r="K1135" s="7">
        <f t="shared" si="770"/>
        <v>1.8961</v>
      </c>
      <c r="L1135" s="43">
        <f t="shared" si="771"/>
        <v>392.07091</v>
      </c>
      <c r="M1135" s="43">
        <f t="shared" si="772"/>
        <v>82.3348911</v>
      </c>
      <c r="N1135" s="43">
        <f t="shared" si="773"/>
        <v>474.4058011</v>
      </c>
    </row>
    <row r="1136" ht="15.75" customHeight="1">
      <c r="A1136" s="5" t="s">
        <v>14</v>
      </c>
      <c r="B1136" s="41">
        <v>4057.0</v>
      </c>
      <c r="C1136" s="41">
        <v>4101.0</v>
      </c>
      <c r="D1136" s="5">
        <f t="shared" si="764"/>
        <v>0.044</v>
      </c>
      <c r="E1136" s="5">
        <f t="shared" si="765"/>
        <v>39.14</v>
      </c>
      <c r="F1136" s="5">
        <v>55.0</v>
      </c>
      <c r="G1136" s="7">
        <f t="shared" si="766"/>
        <v>113.49008</v>
      </c>
      <c r="H1136" s="7">
        <f t="shared" si="767"/>
        <v>4.38724</v>
      </c>
      <c r="I1136" s="7">
        <f t="shared" si="768"/>
        <v>21.78</v>
      </c>
      <c r="J1136" s="7">
        <f t="shared" si="769"/>
        <v>54.7536</v>
      </c>
      <c r="K1136" s="7">
        <f t="shared" si="770"/>
        <v>1.2452</v>
      </c>
      <c r="L1136" s="43">
        <f t="shared" si="771"/>
        <v>289.79612</v>
      </c>
      <c r="M1136" s="43">
        <f t="shared" si="772"/>
        <v>60.8571852</v>
      </c>
      <c r="N1136" s="43">
        <f t="shared" si="773"/>
        <v>350.6533052</v>
      </c>
    </row>
    <row r="1137" ht="15.75" customHeight="1">
      <c r="A1137" s="5" t="s">
        <v>15</v>
      </c>
      <c r="B1137" s="41">
        <v>4940.0</v>
      </c>
      <c r="C1137" s="41">
        <v>5016.0</v>
      </c>
      <c r="D1137" s="5">
        <f t="shared" si="764"/>
        <v>0.076</v>
      </c>
      <c r="E1137" s="5">
        <f t="shared" si="765"/>
        <v>39.14</v>
      </c>
      <c r="F1137" s="5">
        <v>55.0</v>
      </c>
      <c r="G1137" s="7">
        <f t="shared" si="766"/>
        <v>196.02832</v>
      </c>
      <c r="H1137" s="7">
        <f t="shared" si="767"/>
        <v>7.57796</v>
      </c>
      <c r="I1137" s="7">
        <f t="shared" si="768"/>
        <v>37.62</v>
      </c>
      <c r="J1137" s="7">
        <f t="shared" si="769"/>
        <v>94.5744</v>
      </c>
      <c r="K1137" s="7">
        <f t="shared" si="770"/>
        <v>2.1508</v>
      </c>
      <c r="L1137" s="43">
        <f t="shared" si="771"/>
        <v>432.09148</v>
      </c>
      <c r="M1137" s="43">
        <f t="shared" si="772"/>
        <v>90.7392108</v>
      </c>
      <c r="N1137" s="43">
        <f t="shared" si="773"/>
        <v>522.8306908</v>
      </c>
    </row>
    <row r="1138" ht="15.75" customHeight="1">
      <c r="A1138" s="5" t="s">
        <v>16</v>
      </c>
      <c r="B1138" s="41">
        <v>3552.0</v>
      </c>
      <c r="C1138" s="41">
        <v>3595.0</v>
      </c>
      <c r="D1138" s="5">
        <f t="shared" si="764"/>
        <v>0.043</v>
      </c>
      <c r="E1138" s="5">
        <f t="shared" si="765"/>
        <v>39.14</v>
      </c>
      <c r="F1138" s="5">
        <v>55.0</v>
      </c>
      <c r="G1138" s="7">
        <f t="shared" si="766"/>
        <v>110.91076</v>
      </c>
      <c r="H1138" s="7">
        <f t="shared" si="767"/>
        <v>4.28753</v>
      </c>
      <c r="I1138" s="7">
        <f t="shared" si="768"/>
        <v>21.285</v>
      </c>
      <c r="J1138" s="7">
        <f t="shared" si="769"/>
        <v>53.5092</v>
      </c>
      <c r="K1138" s="7">
        <f t="shared" si="770"/>
        <v>1.2169</v>
      </c>
      <c r="L1138" s="43">
        <f t="shared" si="771"/>
        <v>285.34939</v>
      </c>
      <c r="M1138" s="43">
        <f t="shared" si="772"/>
        <v>59.9233719</v>
      </c>
      <c r="N1138" s="43">
        <f t="shared" si="773"/>
        <v>345.2727619</v>
      </c>
    </row>
    <row r="1139" ht="15.75" customHeight="1">
      <c r="A1139" s="5" t="s">
        <v>17</v>
      </c>
      <c r="B1139" s="41">
        <v>4996.0</v>
      </c>
      <c r="C1139" s="41">
        <v>5100.0</v>
      </c>
      <c r="D1139" s="5">
        <f t="shared" si="764"/>
        <v>0.104</v>
      </c>
      <c r="E1139" s="5">
        <f t="shared" si="765"/>
        <v>39.14</v>
      </c>
      <c r="F1139" s="5">
        <v>55.0</v>
      </c>
      <c r="G1139" s="7">
        <f t="shared" si="766"/>
        <v>268.24928</v>
      </c>
      <c r="H1139" s="7">
        <f t="shared" si="767"/>
        <v>10.36984</v>
      </c>
      <c r="I1139" s="7">
        <f t="shared" si="768"/>
        <v>51.48</v>
      </c>
      <c r="J1139" s="7">
        <f t="shared" si="769"/>
        <v>129.4176</v>
      </c>
      <c r="K1139" s="7">
        <f t="shared" si="770"/>
        <v>2.9432</v>
      </c>
      <c r="L1139" s="43">
        <f t="shared" si="771"/>
        <v>556.59992</v>
      </c>
      <c r="M1139" s="43">
        <f t="shared" si="772"/>
        <v>116.8859832</v>
      </c>
      <c r="N1139" s="43">
        <f t="shared" si="773"/>
        <v>673.4859032</v>
      </c>
    </row>
    <row r="1140" ht="15.75" customHeight="1">
      <c r="A1140" s="5" t="s">
        <v>18</v>
      </c>
      <c r="B1140" s="41">
        <v>4704.0</v>
      </c>
      <c r="C1140" s="41">
        <v>4890.0</v>
      </c>
      <c r="D1140" s="5">
        <f t="shared" si="764"/>
        <v>0.186</v>
      </c>
      <c r="E1140" s="5">
        <f t="shared" si="765"/>
        <v>39.14</v>
      </c>
      <c r="F1140" s="5">
        <v>55.0</v>
      </c>
      <c r="G1140" s="7">
        <f t="shared" si="766"/>
        <v>479.75352</v>
      </c>
      <c r="H1140" s="7">
        <f t="shared" si="767"/>
        <v>18.54606</v>
      </c>
      <c r="I1140" s="7">
        <f t="shared" si="768"/>
        <v>92.07</v>
      </c>
      <c r="J1140" s="7">
        <f t="shared" si="769"/>
        <v>231.4584</v>
      </c>
      <c r="K1140" s="7">
        <f t="shared" si="770"/>
        <v>5.2638</v>
      </c>
      <c r="L1140" s="43">
        <f t="shared" si="771"/>
        <v>921.23178</v>
      </c>
      <c r="M1140" s="43">
        <f t="shared" si="772"/>
        <v>193.4586738</v>
      </c>
      <c r="N1140" s="43">
        <f t="shared" si="773"/>
        <v>1114.690454</v>
      </c>
    </row>
    <row r="1141" ht="15.75" customHeight="1">
      <c r="A1141" s="40" t="s">
        <v>19</v>
      </c>
      <c r="B1141" s="41">
        <v>118538.0</v>
      </c>
      <c r="C1141" s="41">
        <v>120081.0</v>
      </c>
      <c r="D1141" s="5">
        <f t="shared" si="764"/>
        <v>1.543</v>
      </c>
      <c r="E1141" s="5">
        <v>169.69</v>
      </c>
      <c r="F1141" s="5">
        <v>78.05</v>
      </c>
      <c r="G1141" s="7">
        <f t="shared" si="766"/>
        <v>3979.89076</v>
      </c>
      <c r="H1141" s="7">
        <f t="shared" si="767"/>
        <v>153.85253</v>
      </c>
      <c r="I1141" s="7">
        <f t="shared" si="768"/>
        <v>763.785</v>
      </c>
      <c r="J1141" s="7">
        <f t="shared" si="769"/>
        <v>1920.1092</v>
      </c>
      <c r="K1141" s="7">
        <f t="shared" si="770"/>
        <v>43.6669</v>
      </c>
      <c r="L1141" s="43">
        <f t="shared" si="771"/>
        <v>7109.04439</v>
      </c>
      <c r="M1141" s="43">
        <f t="shared" si="772"/>
        <v>1492.899322</v>
      </c>
      <c r="N1141" s="43">
        <f t="shared" si="773"/>
        <v>8601.943712</v>
      </c>
    </row>
    <row r="1142" ht="15.75" customHeight="1">
      <c r="A1142" s="5" t="s">
        <v>30</v>
      </c>
      <c r="B1142" s="41">
        <v>128.0</v>
      </c>
      <c r="C1142" s="41">
        <v>258.0</v>
      </c>
      <c r="D1142" s="5">
        <f t="shared" si="764"/>
        <v>0.13</v>
      </c>
      <c r="E1142" s="5">
        <f t="shared" ref="E1142:E1143" si="774">29.8+9.34</f>
        <v>39.14</v>
      </c>
      <c r="F1142" s="5">
        <v>55.0</v>
      </c>
      <c r="G1142" s="7">
        <f t="shared" si="766"/>
        <v>335.3116</v>
      </c>
      <c r="H1142" s="7">
        <f t="shared" si="767"/>
        <v>12.9623</v>
      </c>
      <c r="I1142" s="7">
        <f t="shared" si="768"/>
        <v>64.35</v>
      </c>
      <c r="J1142" s="7">
        <f t="shared" si="769"/>
        <v>161.772</v>
      </c>
      <c r="K1142" s="7">
        <f t="shared" si="770"/>
        <v>3.679</v>
      </c>
      <c r="L1142" s="43">
        <f t="shared" si="771"/>
        <v>672.2149</v>
      </c>
      <c r="M1142" s="43">
        <f t="shared" si="772"/>
        <v>141.165129</v>
      </c>
      <c r="N1142" s="43">
        <f t="shared" si="773"/>
        <v>813.380029</v>
      </c>
    </row>
    <row r="1143" ht="15.75" customHeight="1">
      <c r="A1143" s="5" t="s">
        <v>31</v>
      </c>
      <c r="B1143" s="41">
        <v>614.0</v>
      </c>
      <c r="C1143" s="41">
        <v>1294.0</v>
      </c>
      <c r="D1143" s="5">
        <f t="shared" si="764"/>
        <v>0.68</v>
      </c>
      <c r="E1143" s="5">
        <f t="shared" si="774"/>
        <v>39.14</v>
      </c>
      <c r="F1143" s="5">
        <v>55.0</v>
      </c>
      <c r="G1143" s="7">
        <f t="shared" si="766"/>
        <v>1753.9376</v>
      </c>
      <c r="H1143" s="7">
        <f t="shared" si="767"/>
        <v>67.8028</v>
      </c>
      <c r="I1143" s="7">
        <f t="shared" si="768"/>
        <v>336.6</v>
      </c>
      <c r="J1143" s="7">
        <f t="shared" si="769"/>
        <v>846.192</v>
      </c>
      <c r="K1143" s="7">
        <f t="shared" si="770"/>
        <v>19.244</v>
      </c>
      <c r="L1143" s="44">
        <f t="shared" si="771"/>
        <v>3117.9164</v>
      </c>
      <c r="M1143" s="43">
        <f t="shared" si="772"/>
        <v>654.762444</v>
      </c>
      <c r="N1143" s="43">
        <f t="shared" si="773"/>
        <v>3772.678844</v>
      </c>
    </row>
    <row r="1144" ht="15.75" customHeight="1">
      <c r="A1144" s="5"/>
      <c r="B1144" s="4"/>
      <c r="C1144" s="4"/>
      <c r="D1144" s="5"/>
      <c r="G1144" s="5"/>
      <c r="L1144" s="45">
        <f>SUM(L1133:L1143)</f>
        <v>14578.24403</v>
      </c>
      <c r="M1144" s="46">
        <f t="shared" si="772"/>
        <v>3061.431246</v>
      </c>
      <c r="N1144" s="46">
        <f t="shared" si="773"/>
        <v>17639.67528</v>
      </c>
    </row>
    <row r="1145" ht="15.75" customHeight="1">
      <c r="A1145" s="5"/>
      <c r="B1145" s="4"/>
      <c r="C1145" s="4"/>
      <c r="D1145" s="5">
        <f>SUM(D1133:D1143)</f>
        <v>3.011</v>
      </c>
      <c r="G1145" s="5"/>
    </row>
    <row r="1146" ht="15.75" customHeight="1">
      <c r="A1146" s="5"/>
      <c r="B1146" s="4"/>
      <c r="C1146" s="4"/>
      <c r="D1146" s="5"/>
      <c r="G1146" s="5"/>
      <c r="I1146" s="15" t="s">
        <v>66</v>
      </c>
      <c r="L1146" s="15">
        <v>1700.0</v>
      </c>
    </row>
    <row r="1147" ht="15.75" customHeight="1">
      <c r="A1147" s="5" t="s">
        <v>68</v>
      </c>
      <c r="B1147" s="4">
        <v>100573.0</v>
      </c>
      <c r="C1147" s="4"/>
      <c r="D1147" s="5">
        <f>(C1147-B1147)/1000</f>
        <v>-100.573</v>
      </c>
      <c r="G1147" s="5"/>
      <c r="I1147" s="15" t="s">
        <v>67</v>
      </c>
      <c r="L1147" s="47">
        <f>L1144-L1146</f>
        <v>12878.24403</v>
      </c>
    </row>
    <row r="1148" ht="15.75" customHeight="1">
      <c r="A1148" s="5"/>
      <c r="C1148" s="4"/>
      <c r="D1148" s="5"/>
      <c r="G1148" s="5"/>
    </row>
    <row r="1149" ht="15.75" customHeight="1">
      <c r="A1149" s="5"/>
      <c r="C1149" s="4"/>
      <c r="D1149" s="5"/>
      <c r="G1149" s="5"/>
    </row>
    <row r="1150" ht="15.75" customHeight="1">
      <c r="A1150" s="5"/>
      <c r="C1150" s="4"/>
      <c r="D1150" s="5"/>
      <c r="G1150" s="5"/>
    </row>
    <row r="1151" ht="15.75" customHeight="1">
      <c r="A1151" s="5"/>
      <c r="C1151" s="4"/>
      <c r="D1151" s="5"/>
      <c r="G1151" s="5"/>
    </row>
    <row r="1152" ht="15.75" customHeight="1">
      <c r="A1152" s="5"/>
      <c r="C1152" s="4"/>
      <c r="D1152" s="5"/>
      <c r="G1152" s="5"/>
    </row>
    <row r="1153" ht="15.75" customHeight="1">
      <c r="A1153" s="5" t="s">
        <v>77</v>
      </c>
      <c r="C1153" s="4"/>
      <c r="D1153" s="5"/>
      <c r="G1153" s="5"/>
    </row>
    <row r="1154" ht="15.75" customHeight="1">
      <c r="A1154" s="1"/>
      <c r="C1154" s="4"/>
      <c r="D1154" s="5"/>
      <c r="G1154" s="5"/>
    </row>
    <row r="1155" ht="15.75" customHeight="1">
      <c r="A1155" s="5" t="s">
        <v>11</v>
      </c>
      <c r="B1155" s="41">
        <v>5606.0</v>
      </c>
      <c r="C1155" s="41">
        <v>5651.0</v>
      </c>
      <c r="D1155" s="5">
        <f t="shared" ref="D1155:D1165" si="775">(C1155-B1155)/1000</f>
        <v>0.045</v>
      </c>
      <c r="E1155" s="5">
        <f t="shared" ref="E1155:E1162" si="776">29.8+9.34</f>
        <v>39.14</v>
      </c>
      <c r="F1155" s="5">
        <v>55.0</v>
      </c>
      <c r="G1155" s="7">
        <f t="shared" ref="G1155:G1165" si="777">D1155*$G$2</f>
        <v>116.0694</v>
      </c>
      <c r="H1155" s="7">
        <f t="shared" ref="H1155:H1165" si="778">D1155*$H$2</f>
        <v>4.48695</v>
      </c>
      <c r="I1155" s="7">
        <f t="shared" ref="I1155:I1165" si="779">D1155*$I$2</f>
        <v>22.275</v>
      </c>
      <c r="J1155" s="7">
        <f t="shared" ref="J1155:J1165" si="780">D1155*$J$2</f>
        <v>55.998</v>
      </c>
      <c r="K1155" s="7">
        <f t="shared" ref="K1155:K1165" si="781">D1155*$K$2</f>
        <v>1.2735</v>
      </c>
      <c r="L1155" s="43">
        <f t="shared" ref="L1155:L1165" si="782">SUM(E1155:K1155)</f>
        <v>294.24285</v>
      </c>
      <c r="M1155" s="43">
        <f t="shared" ref="M1155:M1166" si="783">L1155*0.21</f>
        <v>61.7909985</v>
      </c>
      <c r="N1155" s="43">
        <f t="shared" ref="N1155:N1166" si="784">L1155+M1155</f>
        <v>356.0338485</v>
      </c>
    </row>
    <row r="1156" ht="15.75" customHeight="1">
      <c r="A1156" s="5" t="s">
        <v>12</v>
      </c>
      <c r="B1156" s="41">
        <v>4236.0</v>
      </c>
      <c r="C1156" s="41">
        <v>4273.0</v>
      </c>
      <c r="D1156" s="5">
        <f t="shared" si="775"/>
        <v>0.037</v>
      </c>
      <c r="E1156" s="5">
        <f t="shared" si="776"/>
        <v>39.14</v>
      </c>
      <c r="F1156" s="5">
        <v>55.0</v>
      </c>
      <c r="G1156" s="7">
        <f t="shared" si="777"/>
        <v>95.43484</v>
      </c>
      <c r="H1156" s="7">
        <f t="shared" si="778"/>
        <v>3.68927</v>
      </c>
      <c r="I1156" s="7">
        <f t="shared" si="779"/>
        <v>18.315</v>
      </c>
      <c r="J1156" s="7">
        <f t="shared" si="780"/>
        <v>46.0428</v>
      </c>
      <c r="K1156" s="7">
        <f t="shared" si="781"/>
        <v>1.0471</v>
      </c>
      <c r="L1156" s="43">
        <f t="shared" si="782"/>
        <v>258.66901</v>
      </c>
      <c r="M1156" s="43">
        <f t="shared" si="783"/>
        <v>54.3204921</v>
      </c>
      <c r="N1156" s="43">
        <f t="shared" si="784"/>
        <v>312.9895021</v>
      </c>
    </row>
    <row r="1157" ht="15.75" customHeight="1">
      <c r="A1157" s="5" t="s">
        <v>13</v>
      </c>
      <c r="B1157" s="41">
        <v>5709.0</v>
      </c>
      <c r="C1157" s="41">
        <v>5771.0</v>
      </c>
      <c r="D1157" s="5">
        <f t="shared" si="775"/>
        <v>0.062</v>
      </c>
      <c r="E1157" s="5">
        <f t="shared" si="776"/>
        <v>39.14</v>
      </c>
      <c r="F1157" s="5">
        <v>55.0</v>
      </c>
      <c r="G1157" s="7">
        <f t="shared" si="777"/>
        <v>159.91784</v>
      </c>
      <c r="H1157" s="7">
        <f t="shared" si="778"/>
        <v>6.18202</v>
      </c>
      <c r="I1157" s="7">
        <f t="shared" si="779"/>
        <v>30.69</v>
      </c>
      <c r="J1157" s="7">
        <f t="shared" si="780"/>
        <v>77.1528</v>
      </c>
      <c r="K1157" s="7">
        <f t="shared" si="781"/>
        <v>1.7546</v>
      </c>
      <c r="L1157" s="43">
        <f t="shared" si="782"/>
        <v>369.83726</v>
      </c>
      <c r="M1157" s="43">
        <f t="shared" si="783"/>
        <v>77.6658246</v>
      </c>
      <c r="N1157" s="43">
        <f t="shared" si="784"/>
        <v>447.5030846</v>
      </c>
    </row>
    <row r="1158" ht="15.75" customHeight="1">
      <c r="A1158" s="5" t="s">
        <v>14</v>
      </c>
      <c r="B1158" s="41">
        <v>4101.0</v>
      </c>
      <c r="C1158" s="41">
        <v>4132.0</v>
      </c>
      <c r="D1158" s="5">
        <f t="shared" si="775"/>
        <v>0.031</v>
      </c>
      <c r="E1158" s="5">
        <f t="shared" si="776"/>
        <v>39.14</v>
      </c>
      <c r="F1158" s="5">
        <v>55.0</v>
      </c>
      <c r="G1158" s="7">
        <f t="shared" si="777"/>
        <v>79.95892</v>
      </c>
      <c r="H1158" s="7">
        <f t="shared" si="778"/>
        <v>3.09101</v>
      </c>
      <c r="I1158" s="7">
        <f t="shared" si="779"/>
        <v>15.345</v>
      </c>
      <c r="J1158" s="7">
        <f t="shared" si="780"/>
        <v>38.5764</v>
      </c>
      <c r="K1158" s="7">
        <f t="shared" si="781"/>
        <v>0.8773</v>
      </c>
      <c r="L1158" s="43">
        <f t="shared" si="782"/>
        <v>231.98863</v>
      </c>
      <c r="M1158" s="43">
        <f t="shared" si="783"/>
        <v>48.7176123</v>
      </c>
      <c r="N1158" s="43">
        <f t="shared" si="784"/>
        <v>280.7062423</v>
      </c>
    </row>
    <row r="1159" ht="15.75" customHeight="1">
      <c r="A1159" s="5" t="s">
        <v>15</v>
      </c>
      <c r="B1159" s="41">
        <v>5016.0</v>
      </c>
      <c r="C1159" s="41">
        <v>5058.0</v>
      </c>
      <c r="D1159" s="5">
        <f t="shared" si="775"/>
        <v>0.042</v>
      </c>
      <c r="E1159" s="5">
        <f t="shared" si="776"/>
        <v>39.14</v>
      </c>
      <c r="F1159" s="5">
        <v>55.0</v>
      </c>
      <c r="G1159" s="7">
        <f t="shared" si="777"/>
        <v>108.33144</v>
      </c>
      <c r="H1159" s="7">
        <f t="shared" si="778"/>
        <v>4.18782</v>
      </c>
      <c r="I1159" s="7">
        <f t="shared" si="779"/>
        <v>20.79</v>
      </c>
      <c r="J1159" s="7">
        <f t="shared" si="780"/>
        <v>52.2648</v>
      </c>
      <c r="K1159" s="7">
        <f t="shared" si="781"/>
        <v>1.1886</v>
      </c>
      <c r="L1159" s="43">
        <f t="shared" si="782"/>
        <v>280.90266</v>
      </c>
      <c r="M1159" s="43">
        <f t="shared" si="783"/>
        <v>58.9895586</v>
      </c>
      <c r="N1159" s="43">
        <f t="shared" si="784"/>
        <v>339.8922186</v>
      </c>
    </row>
    <row r="1160" ht="15.75" customHeight="1">
      <c r="A1160" s="5" t="s">
        <v>16</v>
      </c>
      <c r="B1160" s="41">
        <v>3595.0</v>
      </c>
      <c r="C1160" s="41">
        <v>3614.0</v>
      </c>
      <c r="D1160" s="5">
        <f t="shared" si="775"/>
        <v>0.019</v>
      </c>
      <c r="E1160" s="5">
        <f t="shared" si="776"/>
        <v>39.14</v>
      </c>
      <c r="F1160" s="5">
        <v>55.0</v>
      </c>
      <c r="G1160" s="7">
        <f t="shared" si="777"/>
        <v>49.00708</v>
      </c>
      <c r="H1160" s="7">
        <f t="shared" si="778"/>
        <v>1.89449</v>
      </c>
      <c r="I1160" s="7">
        <f t="shared" si="779"/>
        <v>9.405</v>
      </c>
      <c r="J1160" s="7">
        <f t="shared" si="780"/>
        <v>23.6436</v>
      </c>
      <c r="K1160" s="7">
        <f t="shared" si="781"/>
        <v>0.5377</v>
      </c>
      <c r="L1160" s="43">
        <f t="shared" si="782"/>
        <v>178.62787</v>
      </c>
      <c r="M1160" s="43">
        <f t="shared" si="783"/>
        <v>37.5118527</v>
      </c>
      <c r="N1160" s="43">
        <f t="shared" si="784"/>
        <v>216.1397227</v>
      </c>
    </row>
    <row r="1161" ht="15.75" customHeight="1">
      <c r="A1161" s="5" t="s">
        <v>17</v>
      </c>
      <c r="B1161" s="41">
        <v>5100.0</v>
      </c>
      <c r="C1161" s="41">
        <v>5175.0</v>
      </c>
      <c r="D1161" s="5">
        <f t="shared" si="775"/>
        <v>0.075</v>
      </c>
      <c r="E1161" s="5">
        <f t="shared" si="776"/>
        <v>39.14</v>
      </c>
      <c r="F1161" s="5">
        <v>55.0</v>
      </c>
      <c r="G1161" s="7">
        <f t="shared" si="777"/>
        <v>193.449</v>
      </c>
      <c r="H1161" s="7">
        <f t="shared" si="778"/>
        <v>7.47825</v>
      </c>
      <c r="I1161" s="7">
        <f t="shared" si="779"/>
        <v>37.125</v>
      </c>
      <c r="J1161" s="7">
        <f t="shared" si="780"/>
        <v>93.33</v>
      </c>
      <c r="K1161" s="7">
        <f t="shared" si="781"/>
        <v>2.1225</v>
      </c>
      <c r="L1161" s="43">
        <f t="shared" si="782"/>
        <v>427.64475</v>
      </c>
      <c r="M1161" s="43">
        <f t="shared" si="783"/>
        <v>89.8053975</v>
      </c>
      <c r="N1161" s="43">
        <f t="shared" si="784"/>
        <v>517.4501475</v>
      </c>
    </row>
    <row r="1162" ht="15.75" customHeight="1">
      <c r="A1162" s="5" t="s">
        <v>18</v>
      </c>
      <c r="B1162" s="41">
        <v>4890.0</v>
      </c>
      <c r="C1162" s="41">
        <v>5083.0</v>
      </c>
      <c r="D1162" s="5">
        <f t="shared" si="775"/>
        <v>0.193</v>
      </c>
      <c r="E1162" s="5">
        <f t="shared" si="776"/>
        <v>39.14</v>
      </c>
      <c r="F1162" s="5">
        <v>55.0</v>
      </c>
      <c r="G1162" s="7">
        <f t="shared" si="777"/>
        <v>497.80876</v>
      </c>
      <c r="H1162" s="7">
        <f t="shared" si="778"/>
        <v>19.24403</v>
      </c>
      <c r="I1162" s="7">
        <f t="shared" si="779"/>
        <v>95.535</v>
      </c>
      <c r="J1162" s="7">
        <f t="shared" si="780"/>
        <v>240.1692</v>
      </c>
      <c r="K1162" s="7">
        <f t="shared" si="781"/>
        <v>5.4619</v>
      </c>
      <c r="L1162" s="43">
        <f t="shared" si="782"/>
        <v>952.35889</v>
      </c>
      <c r="M1162" s="43">
        <f t="shared" si="783"/>
        <v>199.9953669</v>
      </c>
      <c r="N1162" s="43">
        <f t="shared" si="784"/>
        <v>1152.354257</v>
      </c>
    </row>
    <row r="1163" ht="15.75" customHeight="1">
      <c r="A1163" s="40" t="s">
        <v>19</v>
      </c>
      <c r="B1163" s="41">
        <v>120081.0</v>
      </c>
      <c r="C1163" s="41">
        <v>121254.0</v>
      </c>
      <c r="D1163" s="5">
        <f t="shared" si="775"/>
        <v>1.173</v>
      </c>
      <c r="E1163" s="5">
        <v>169.69</v>
      </c>
      <c r="F1163" s="5">
        <v>78.05</v>
      </c>
      <c r="G1163" s="7">
        <f t="shared" si="777"/>
        <v>3025.54236</v>
      </c>
      <c r="H1163" s="7">
        <f t="shared" si="778"/>
        <v>116.95983</v>
      </c>
      <c r="I1163" s="7">
        <f t="shared" si="779"/>
        <v>580.635</v>
      </c>
      <c r="J1163" s="7">
        <f t="shared" si="780"/>
        <v>1459.6812</v>
      </c>
      <c r="K1163" s="7">
        <f t="shared" si="781"/>
        <v>33.1959</v>
      </c>
      <c r="L1163" s="43">
        <f t="shared" si="782"/>
        <v>5463.75429</v>
      </c>
      <c r="M1163" s="43">
        <f t="shared" si="783"/>
        <v>1147.388401</v>
      </c>
      <c r="N1163" s="43">
        <f t="shared" si="784"/>
        <v>6611.142691</v>
      </c>
    </row>
    <row r="1164" ht="15.75" customHeight="1">
      <c r="A1164" s="5" t="s">
        <v>30</v>
      </c>
      <c r="B1164" s="41">
        <v>258.0</v>
      </c>
      <c r="C1164" s="41">
        <v>343.0</v>
      </c>
      <c r="D1164" s="5">
        <f t="shared" si="775"/>
        <v>0.085</v>
      </c>
      <c r="E1164" s="5">
        <f t="shared" ref="E1164:E1165" si="785">29.8+9.34</f>
        <v>39.14</v>
      </c>
      <c r="F1164" s="5">
        <v>55.0</v>
      </c>
      <c r="G1164" s="7">
        <f t="shared" si="777"/>
        <v>219.2422</v>
      </c>
      <c r="H1164" s="7">
        <f t="shared" si="778"/>
        <v>8.47535</v>
      </c>
      <c r="I1164" s="7">
        <f t="shared" si="779"/>
        <v>42.075</v>
      </c>
      <c r="J1164" s="7">
        <f t="shared" si="780"/>
        <v>105.774</v>
      </c>
      <c r="K1164" s="7">
        <f t="shared" si="781"/>
        <v>2.4055</v>
      </c>
      <c r="L1164" s="43">
        <f t="shared" si="782"/>
        <v>472.11205</v>
      </c>
      <c r="M1164" s="43">
        <f t="shared" si="783"/>
        <v>99.1435305</v>
      </c>
      <c r="N1164" s="43">
        <f t="shared" si="784"/>
        <v>571.2555805</v>
      </c>
    </row>
    <row r="1165" ht="15.75" customHeight="1">
      <c r="A1165" s="5" t="s">
        <v>31</v>
      </c>
      <c r="B1165" s="41">
        <v>1294.0</v>
      </c>
      <c r="C1165" s="41">
        <v>1740.0</v>
      </c>
      <c r="D1165" s="5">
        <f t="shared" si="775"/>
        <v>0.446</v>
      </c>
      <c r="E1165" s="5">
        <f t="shared" si="785"/>
        <v>39.14</v>
      </c>
      <c r="F1165" s="5">
        <v>55.0</v>
      </c>
      <c r="G1165" s="7">
        <f t="shared" si="777"/>
        <v>1150.37672</v>
      </c>
      <c r="H1165" s="7">
        <f t="shared" si="778"/>
        <v>44.47066</v>
      </c>
      <c r="I1165" s="7">
        <f t="shared" si="779"/>
        <v>220.77</v>
      </c>
      <c r="J1165" s="7">
        <f t="shared" si="780"/>
        <v>555.0024</v>
      </c>
      <c r="K1165" s="7">
        <f t="shared" si="781"/>
        <v>12.6218</v>
      </c>
      <c r="L1165" s="44">
        <f t="shared" si="782"/>
        <v>2077.38158</v>
      </c>
      <c r="M1165" s="43">
        <f t="shared" si="783"/>
        <v>436.2501318</v>
      </c>
      <c r="N1165" s="43">
        <f t="shared" si="784"/>
        <v>2513.631712</v>
      </c>
    </row>
    <row r="1166" ht="15.75" customHeight="1">
      <c r="A1166" s="5"/>
      <c r="B1166" s="4"/>
      <c r="C1166" s="4"/>
      <c r="D1166" s="5"/>
      <c r="G1166" s="5"/>
      <c r="L1166" s="45">
        <f>SUM(L1155:L1165)</f>
        <v>11007.51984</v>
      </c>
      <c r="M1166" s="46">
        <f t="shared" si="783"/>
        <v>2311.579166</v>
      </c>
      <c r="N1166" s="46">
        <f t="shared" si="784"/>
        <v>13319.09901</v>
      </c>
    </row>
    <row r="1167" ht="15.75" customHeight="1">
      <c r="A1167" s="5"/>
      <c r="B1167" s="4"/>
      <c r="C1167" s="4"/>
      <c r="D1167" s="5">
        <f>SUM(D1155:D1165)</f>
        <v>2.208</v>
      </c>
      <c r="G1167" s="5"/>
    </row>
    <row r="1168" ht="15.75" customHeight="1">
      <c r="A1168" s="5"/>
      <c r="B1168" s="4"/>
      <c r="C1168" s="4"/>
      <c r="D1168" s="5"/>
      <c r="G1168" s="5"/>
      <c r="I1168" s="15" t="s">
        <v>66</v>
      </c>
      <c r="L1168" s="15">
        <v>1700.0</v>
      </c>
    </row>
    <row r="1169" ht="15.75" customHeight="1">
      <c r="A1169" s="5" t="s">
        <v>68</v>
      </c>
      <c r="B1169" s="4">
        <v>100573.0</v>
      </c>
      <c r="C1169" s="4"/>
      <c r="D1169" s="5">
        <f>(C1169-B1169)/1000</f>
        <v>-100.573</v>
      </c>
      <c r="G1169" s="5"/>
      <c r="I1169" s="15" t="s">
        <v>67</v>
      </c>
      <c r="L1169" s="47">
        <f>L1166-L1168</f>
        <v>9307.51984</v>
      </c>
    </row>
    <row r="1170" ht="15.75" customHeight="1">
      <c r="A1170" s="5"/>
      <c r="C1170" s="4"/>
      <c r="D1170" s="5"/>
      <c r="G1170" s="5"/>
    </row>
    <row r="1171" ht="15.75" customHeight="1">
      <c r="A1171" s="5"/>
      <c r="C1171" s="4"/>
      <c r="D1171" s="5"/>
      <c r="G1171" s="5"/>
    </row>
    <row r="1172" ht="15.75" customHeight="1">
      <c r="A1172" s="5"/>
      <c r="C1172" s="4"/>
      <c r="D1172" s="5"/>
      <c r="G1172" s="5"/>
    </row>
    <row r="1173" ht="15.75" customHeight="1">
      <c r="A1173" s="5" t="s">
        <v>78</v>
      </c>
      <c r="C1173" s="4"/>
      <c r="D1173" s="5"/>
      <c r="G1173" s="5"/>
    </row>
    <row r="1174" ht="15.75" customHeight="1">
      <c r="A1174" s="1"/>
      <c r="C1174" s="4"/>
      <c r="D1174" s="5"/>
      <c r="G1174" s="5"/>
    </row>
    <row r="1175" ht="15.75" customHeight="1">
      <c r="A1175" s="5" t="s">
        <v>11</v>
      </c>
      <c r="B1175" s="41">
        <v>5651.0</v>
      </c>
      <c r="C1175" s="41">
        <v>5697.0</v>
      </c>
      <c r="D1175" s="5">
        <f t="shared" ref="D1175:D1185" si="786">(C1175-B1175)/1000</f>
        <v>0.046</v>
      </c>
      <c r="E1175" s="5">
        <f t="shared" ref="E1175:E1182" si="787">29.8+9.34</f>
        <v>39.14</v>
      </c>
      <c r="F1175" s="5">
        <v>55.0</v>
      </c>
      <c r="G1175" s="7">
        <f t="shared" ref="G1175:G1185" si="788">D1175*$G$2</f>
        <v>118.64872</v>
      </c>
      <c r="H1175" s="7">
        <f t="shared" ref="H1175:H1185" si="789">D1175*$H$2</f>
        <v>4.58666</v>
      </c>
      <c r="I1175" s="7">
        <f t="shared" ref="I1175:I1185" si="790">D1175*$I$2</f>
        <v>22.77</v>
      </c>
      <c r="J1175" s="7">
        <f t="shared" ref="J1175:J1185" si="791">D1175*$J$2</f>
        <v>57.2424</v>
      </c>
      <c r="K1175" s="7">
        <f t="shared" ref="K1175:K1185" si="792">D1175*$K$2</f>
        <v>1.3018</v>
      </c>
      <c r="L1175" s="43">
        <f t="shared" ref="L1175:L1185" si="793">SUM(E1175:K1175)</f>
        <v>298.68958</v>
      </c>
      <c r="M1175" s="43">
        <f t="shared" ref="M1175:M1186" si="794">L1175*0.21</f>
        <v>62.7248118</v>
      </c>
      <c r="N1175" s="43">
        <f t="shared" ref="N1175:N1186" si="795">L1175+M1175</f>
        <v>361.4143918</v>
      </c>
    </row>
    <row r="1176" ht="15.75" customHeight="1">
      <c r="A1176" s="5" t="s">
        <v>12</v>
      </c>
      <c r="B1176" s="41">
        <v>4273.0</v>
      </c>
      <c r="C1176" s="41">
        <v>4305.0</v>
      </c>
      <c r="D1176" s="5">
        <f t="shared" si="786"/>
        <v>0.032</v>
      </c>
      <c r="E1176" s="5">
        <f t="shared" si="787"/>
        <v>39.14</v>
      </c>
      <c r="F1176" s="5">
        <v>55.0</v>
      </c>
      <c r="G1176" s="7">
        <f t="shared" si="788"/>
        <v>82.53824</v>
      </c>
      <c r="H1176" s="7">
        <f t="shared" si="789"/>
        <v>3.19072</v>
      </c>
      <c r="I1176" s="7">
        <f t="shared" si="790"/>
        <v>15.84</v>
      </c>
      <c r="J1176" s="7">
        <f t="shared" si="791"/>
        <v>39.8208</v>
      </c>
      <c r="K1176" s="7">
        <f t="shared" si="792"/>
        <v>0.9056</v>
      </c>
      <c r="L1176" s="43">
        <f t="shared" si="793"/>
        <v>236.43536</v>
      </c>
      <c r="M1176" s="43">
        <f t="shared" si="794"/>
        <v>49.6514256</v>
      </c>
      <c r="N1176" s="43">
        <f t="shared" si="795"/>
        <v>286.0867856</v>
      </c>
    </row>
    <row r="1177" ht="15.75" customHeight="1">
      <c r="A1177" s="5" t="s">
        <v>13</v>
      </c>
      <c r="B1177" s="41">
        <v>5771.0</v>
      </c>
      <c r="C1177" s="41">
        <v>5833.0</v>
      </c>
      <c r="D1177" s="5">
        <f t="shared" si="786"/>
        <v>0.062</v>
      </c>
      <c r="E1177" s="5">
        <f t="shared" si="787"/>
        <v>39.14</v>
      </c>
      <c r="F1177" s="5">
        <v>55.0</v>
      </c>
      <c r="G1177" s="7">
        <f t="shared" si="788"/>
        <v>159.91784</v>
      </c>
      <c r="H1177" s="7">
        <f t="shared" si="789"/>
        <v>6.18202</v>
      </c>
      <c r="I1177" s="7">
        <f t="shared" si="790"/>
        <v>30.69</v>
      </c>
      <c r="J1177" s="7">
        <f t="shared" si="791"/>
        <v>77.1528</v>
      </c>
      <c r="K1177" s="7">
        <f t="shared" si="792"/>
        <v>1.7546</v>
      </c>
      <c r="L1177" s="43">
        <f t="shared" si="793"/>
        <v>369.83726</v>
      </c>
      <c r="M1177" s="43">
        <f t="shared" si="794"/>
        <v>77.6658246</v>
      </c>
      <c r="N1177" s="43">
        <f t="shared" si="795"/>
        <v>447.5030846</v>
      </c>
    </row>
    <row r="1178" ht="15.75" customHeight="1">
      <c r="A1178" s="5" t="s">
        <v>14</v>
      </c>
      <c r="B1178" s="41">
        <v>4132.0</v>
      </c>
      <c r="C1178" s="41">
        <v>4168.0</v>
      </c>
      <c r="D1178" s="5">
        <f t="shared" si="786"/>
        <v>0.036</v>
      </c>
      <c r="E1178" s="5">
        <f t="shared" si="787"/>
        <v>39.14</v>
      </c>
      <c r="F1178" s="5">
        <v>55.0</v>
      </c>
      <c r="G1178" s="7">
        <f t="shared" si="788"/>
        <v>92.85552</v>
      </c>
      <c r="H1178" s="7">
        <f t="shared" si="789"/>
        <v>3.58956</v>
      </c>
      <c r="I1178" s="7">
        <f t="shared" si="790"/>
        <v>17.82</v>
      </c>
      <c r="J1178" s="7">
        <f t="shared" si="791"/>
        <v>44.7984</v>
      </c>
      <c r="K1178" s="7">
        <f t="shared" si="792"/>
        <v>1.0188</v>
      </c>
      <c r="L1178" s="43">
        <f t="shared" si="793"/>
        <v>254.22228</v>
      </c>
      <c r="M1178" s="43">
        <f t="shared" si="794"/>
        <v>53.3866788</v>
      </c>
      <c r="N1178" s="43">
        <f t="shared" si="795"/>
        <v>307.6089588</v>
      </c>
    </row>
    <row r="1179" ht="15.75" customHeight="1">
      <c r="A1179" s="5" t="s">
        <v>15</v>
      </c>
      <c r="B1179" s="41">
        <v>5058.0</v>
      </c>
      <c r="C1179" s="41">
        <v>5122.0</v>
      </c>
      <c r="D1179" s="5">
        <f t="shared" si="786"/>
        <v>0.064</v>
      </c>
      <c r="E1179" s="5">
        <f t="shared" si="787"/>
        <v>39.14</v>
      </c>
      <c r="F1179" s="5">
        <v>55.0</v>
      </c>
      <c r="G1179" s="7">
        <f t="shared" si="788"/>
        <v>165.07648</v>
      </c>
      <c r="H1179" s="7">
        <f t="shared" si="789"/>
        <v>6.38144</v>
      </c>
      <c r="I1179" s="7">
        <f t="shared" si="790"/>
        <v>31.68</v>
      </c>
      <c r="J1179" s="7">
        <f t="shared" si="791"/>
        <v>79.6416</v>
      </c>
      <c r="K1179" s="7">
        <f t="shared" si="792"/>
        <v>1.8112</v>
      </c>
      <c r="L1179" s="43">
        <f t="shared" si="793"/>
        <v>378.73072</v>
      </c>
      <c r="M1179" s="43">
        <f t="shared" si="794"/>
        <v>79.5334512</v>
      </c>
      <c r="N1179" s="43">
        <f t="shared" si="795"/>
        <v>458.2641712</v>
      </c>
    </row>
    <row r="1180" ht="15.75" customHeight="1">
      <c r="A1180" s="5" t="s">
        <v>16</v>
      </c>
      <c r="B1180" s="41">
        <v>3614.0</v>
      </c>
      <c r="C1180" s="41">
        <v>3670.0</v>
      </c>
      <c r="D1180" s="5">
        <f t="shared" si="786"/>
        <v>0.056</v>
      </c>
      <c r="E1180" s="5">
        <f t="shared" si="787"/>
        <v>39.14</v>
      </c>
      <c r="F1180" s="5">
        <v>55.0</v>
      </c>
      <c r="G1180" s="7">
        <f t="shared" si="788"/>
        <v>144.44192</v>
      </c>
      <c r="H1180" s="7">
        <f t="shared" si="789"/>
        <v>5.58376</v>
      </c>
      <c r="I1180" s="7">
        <f t="shared" si="790"/>
        <v>27.72</v>
      </c>
      <c r="J1180" s="7">
        <f t="shared" si="791"/>
        <v>69.6864</v>
      </c>
      <c r="K1180" s="7">
        <f t="shared" si="792"/>
        <v>1.5848</v>
      </c>
      <c r="L1180" s="43">
        <f t="shared" si="793"/>
        <v>343.15688</v>
      </c>
      <c r="M1180" s="43">
        <f t="shared" si="794"/>
        <v>72.0629448</v>
      </c>
      <c r="N1180" s="43">
        <f t="shared" si="795"/>
        <v>415.2198248</v>
      </c>
    </row>
    <row r="1181" ht="15.75" customHeight="1">
      <c r="A1181" s="5" t="s">
        <v>17</v>
      </c>
      <c r="B1181" s="41">
        <v>5175.0</v>
      </c>
      <c r="C1181" s="41">
        <v>5223.0</v>
      </c>
      <c r="D1181" s="5">
        <f t="shared" si="786"/>
        <v>0.048</v>
      </c>
      <c r="E1181" s="5">
        <f t="shared" si="787"/>
        <v>39.14</v>
      </c>
      <c r="F1181" s="5">
        <v>55.0</v>
      </c>
      <c r="G1181" s="7">
        <f t="shared" si="788"/>
        <v>123.80736</v>
      </c>
      <c r="H1181" s="7">
        <f t="shared" si="789"/>
        <v>4.78608</v>
      </c>
      <c r="I1181" s="7">
        <f t="shared" si="790"/>
        <v>23.76</v>
      </c>
      <c r="J1181" s="7">
        <f t="shared" si="791"/>
        <v>59.7312</v>
      </c>
      <c r="K1181" s="7">
        <f t="shared" si="792"/>
        <v>1.3584</v>
      </c>
      <c r="L1181" s="43">
        <f t="shared" si="793"/>
        <v>307.58304</v>
      </c>
      <c r="M1181" s="43">
        <f t="shared" si="794"/>
        <v>64.5924384</v>
      </c>
      <c r="N1181" s="43">
        <f t="shared" si="795"/>
        <v>372.1754784</v>
      </c>
    </row>
    <row r="1182" ht="15.75" customHeight="1">
      <c r="A1182" s="5" t="s">
        <v>18</v>
      </c>
      <c r="B1182" s="41">
        <v>5083.0</v>
      </c>
      <c r="C1182" s="41">
        <v>5218.0</v>
      </c>
      <c r="D1182" s="5">
        <f t="shared" si="786"/>
        <v>0.135</v>
      </c>
      <c r="E1182" s="5">
        <f t="shared" si="787"/>
        <v>39.14</v>
      </c>
      <c r="F1182" s="5">
        <v>55.0</v>
      </c>
      <c r="G1182" s="7">
        <f t="shared" si="788"/>
        <v>348.2082</v>
      </c>
      <c r="H1182" s="7">
        <f t="shared" si="789"/>
        <v>13.46085</v>
      </c>
      <c r="I1182" s="7">
        <f t="shared" si="790"/>
        <v>66.825</v>
      </c>
      <c r="J1182" s="7">
        <f t="shared" si="791"/>
        <v>167.994</v>
      </c>
      <c r="K1182" s="7">
        <f t="shared" si="792"/>
        <v>3.8205</v>
      </c>
      <c r="L1182" s="43">
        <f t="shared" si="793"/>
        <v>694.44855</v>
      </c>
      <c r="M1182" s="43">
        <f t="shared" si="794"/>
        <v>145.8341955</v>
      </c>
      <c r="N1182" s="43">
        <f t="shared" si="795"/>
        <v>840.2827455</v>
      </c>
    </row>
    <row r="1183" ht="15.75" customHeight="1">
      <c r="A1183" s="40" t="s">
        <v>19</v>
      </c>
      <c r="B1183" s="41">
        <v>121254.0</v>
      </c>
      <c r="C1183" s="41">
        <v>122404.0</v>
      </c>
      <c r="D1183" s="5">
        <f t="shared" si="786"/>
        <v>1.15</v>
      </c>
      <c r="E1183" s="5">
        <v>169.69</v>
      </c>
      <c r="F1183" s="5">
        <v>78.05</v>
      </c>
      <c r="G1183" s="7">
        <f t="shared" si="788"/>
        <v>2966.218</v>
      </c>
      <c r="H1183" s="7">
        <f t="shared" si="789"/>
        <v>114.6665</v>
      </c>
      <c r="I1183" s="7">
        <f t="shared" si="790"/>
        <v>569.25</v>
      </c>
      <c r="J1183" s="7">
        <f t="shared" si="791"/>
        <v>1431.06</v>
      </c>
      <c r="K1183" s="7">
        <f t="shared" si="792"/>
        <v>32.545</v>
      </c>
      <c r="L1183" s="43">
        <f t="shared" si="793"/>
        <v>5361.4795</v>
      </c>
      <c r="M1183" s="43">
        <f t="shared" si="794"/>
        <v>1125.910695</v>
      </c>
      <c r="N1183" s="43">
        <f t="shared" si="795"/>
        <v>6487.390195</v>
      </c>
    </row>
    <row r="1184" ht="15.75" customHeight="1">
      <c r="A1184" s="5" t="s">
        <v>30</v>
      </c>
      <c r="B1184" s="41">
        <v>343.0</v>
      </c>
      <c r="C1184" s="41">
        <v>403.0</v>
      </c>
      <c r="D1184" s="5">
        <f t="shared" si="786"/>
        <v>0.06</v>
      </c>
      <c r="E1184" s="5">
        <f t="shared" ref="E1184:E1185" si="796">29.8+9.34</f>
        <v>39.14</v>
      </c>
      <c r="F1184" s="5">
        <v>55.0</v>
      </c>
      <c r="G1184" s="7">
        <f t="shared" si="788"/>
        <v>154.7592</v>
      </c>
      <c r="H1184" s="7">
        <f t="shared" si="789"/>
        <v>5.9826</v>
      </c>
      <c r="I1184" s="7">
        <f t="shared" si="790"/>
        <v>29.7</v>
      </c>
      <c r="J1184" s="7">
        <f t="shared" si="791"/>
        <v>74.664</v>
      </c>
      <c r="K1184" s="7">
        <f t="shared" si="792"/>
        <v>1.698</v>
      </c>
      <c r="L1184" s="43">
        <f t="shared" si="793"/>
        <v>360.9438</v>
      </c>
      <c r="M1184" s="43">
        <f t="shared" si="794"/>
        <v>75.798198</v>
      </c>
      <c r="N1184" s="43">
        <f t="shared" si="795"/>
        <v>436.741998</v>
      </c>
    </row>
    <row r="1185" ht="15.75" customHeight="1">
      <c r="A1185" s="5" t="s">
        <v>31</v>
      </c>
      <c r="B1185" s="41">
        <v>1740.0</v>
      </c>
      <c r="C1185" s="41">
        <v>2008.0</v>
      </c>
      <c r="D1185" s="5">
        <f t="shared" si="786"/>
        <v>0.268</v>
      </c>
      <c r="E1185" s="5">
        <f t="shared" si="796"/>
        <v>39.14</v>
      </c>
      <c r="F1185" s="5">
        <v>55.0</v>
      </c>
      <c r="G1185" s="7">
        <f t="shared" si="788"/>
        <v>691.25776</v>
      </c>
      <c r="H1185" s="7">
        <f t="shared" si="789"/>
        <v>26.72228</v>
      </c>
      <c r="I1185" s="7">
        <f t="shared" si="790"/>
        <v>132.66</v>
      </c>
      <c r="J1185" s="7">
        <f t="shared" si="791"/>
        <v>333.4992</v>
      </c>
      <c r="K1185" s="7">
        <f t="shared" si="792"/>
        <v>7.5844</v>
      </c>
      <c r="L1185" s="44">
        <f t="shared" si="793"/>
        <v>1285.86364</v>
      </c>
      <c r="M1185" s="43">
        <f t="shared" si="794"/>
        <v>270.0313644</v>
      </c>
      <c r="N1185" s="43">
        <f t="shared" si="795"/>
        <v>1555.895004</v>
      </c>
    </row>
    <row r="1186" ht="15.75" customHeight="1">
      <c r="A1186" s="5"/>
      <c r="B1186" s="4"/>
      <c r="C1186" s="4"/>
      <c r="D1186" s="5"/>
      <c r="G1186" s="5"/>
      <c r="L1186" s="45">
        <f>SUM(L1175:L1185)</f>
        <v>9891.39061</v>
      </c>
      <c r="M1186" s="46">
        <f t="shared" si="794"/>
        <v>2077.192028</v>
      </c>
      <c r="N1186" s="46">
        <f t="shared" si="795"/>
        <v>11968.58264</v>
      </c>
    </row>
    <row r="1187" ht="15.75" customHeight="1">
      <c r="A1187" s="5"/>
      <c r="B1187" s="4"/>
      <c r="C1187" s="4"/>
      <c r="D1187" s="5">
        <f>SUM(D1175:D1185)</f>
        <v>1.957</v>
      </c>
      <c r="G1187" s="5"/>
    </row>
    <row r="1188" ht="15.75" customHeight="1">
      <c r="A1188" s="5"/>
      <c r="B1188" s="4"/>
      <c r="C1188" s="4"/>
      <c r="D1188" s="5"/>
      <c r="G1188" s="5"/>
      <c r="I1188" s="15" t="s">
        <v>66</v>
      </c>
      <c r="L1188" s="15">
        <v>1700.0</v>
      </c>
    </row>
    <row r="1189" ht="15.75" customHeight="1">
      <c r="A1189" s="5" t="s">
        <v>68</v>
      </c>
      <c r="B1189" s="4">
        <v>100573.0</v>
      </c>
      <c r="C1189" s="4"/>
      <c r="D1189" s="5">
        <f>(C1189-B1189)/1000</f>
        <v>-100.573</v>
      </c>
      <c r="G1189" s="5"/>
      <c r="I1189" s="15" t="s">
        <v>67</v>
      </c>
      <c r="L1189" s="47">
        <f>L1186-L1188</f>
        <v>8191.39061</v>
      </c>
    </row>
    <row r="1190" ht="15.75" customHeight="1">
      <c r="A1190" s="5"/>
      <c r="C1190" s="4"/>
      <c r="D1190" s="5"/>
      <c r="G1190" s="5"/>
    </row>
    <row r="1191" ht="15.75" customHeight="1">
      <c r="A1191" s="5"/>
      <c r="C1191" s="4"/>
      <c r="D1191" s="5"/>
      <c r="G1191" s="5"/>
    </row>
    <row r="1192" ht="15.75" customHeight="1">
      <c r="A1192" s="5"/>
      <c r="C1192" s="4"/>
      <c r="D1192" s="5"/>
      <c r="G1192" s="5"/>
    </row>
    <row r="1193" ht="15.75" customHeight="1">
      <c r="A1193" s="5"/>
      <c r="C1193" s="4"/>
      <c r="D1193" s="5"/>
      <c r="G1193" s="5"/>
    </row>
    <row r="1194" ht="15.75" customHeight="1">
      <c r="A1194" s="5" t="s">
        <v>79</v>
      </c>
      <c r="C1194" s="4"/>
      <c r="D1194" s="5"/>
      <c r="G1194" s="5"/>
    </row>
    <row r="1195" ht="15.75" customHeight="1">
      <c r="A1195" s="1"/>
      <c r="C1195" s="4"/>
      <c r="D1195" s="5"/>
      <c r="G1195" s="5"/>
    </row>
    <row r="1196" ht="15.75" customHeight="1">
      <c r="A1196" s="5" t="s">
        <v>11</v>
      </c>
      <c r="B1196" s="41">
        <v>5697.0</v>
      </c>
      <c r="C1196" s="41">
        <v>5770.0</v>
      </c>
      <c r="D1196" s="5">
        <f t="shared" ref="D1196:D1206" si="797">(C1196-B1196)/1000</f>
        <v>0.073</v>
      </c>
      <c r="E1196" s="5">
        <f t="shared" ref="E1196:E1203" si="798">29.8+9.34</f>
        <v>39.14</v>
      </c>
      <c r="F1196" s="5">
        <v>55.0</v>
      </c>
      <c r="G1196" s="7">
        <f t="shared" ref="G1196:G1206" si="799">D1196*$G$2</f>
        <v>188.29036</v>
      </c>
      <c r="H1196" s="7">
        <f t="shared" ref="H1196:H1206" si="800">D1196*$H$2</f>
        <v>7.27883</v>
      </c>
      <c r="I1196" s="7">
        <f t="shared" ref="I1196:I1206" si="801">D1196*$I$2</f>
        <v>36.135</v>
      </c>
      <c r="J1196" s="7">
        <f t="shared" ref="J1196:J1206" si="802">D1196*$J$2</f>
        <v>90.8412</v>
      </c>
      <c r="K1196" s="7">
        <f t="shared" ref="K1196:K1206" si="803">D1196*$K$2</f>
        <v>2.0659</v>
      </c>
      <c r="L1196" s="43">
        <f t="shared" ref="L1196:L1206" si="804">SUM(E1196:K1196)</f>
        <v>418.75129</v>
      </c>
      <c r="M1196" s="43">
        <f t="shared" ref="M1196:M1207" si="805">L1196*0.21</f>
        <v>87.9377709</v>
      </c>
      <c r="N1196" s="43">
        <f t="shared" ref="N1196:N1207" si="806">L1196+M1196</f>
        <v>506.6890609</v>
      </c>
    </row>
    <row r="1197" ht="15.75" customHeight="1">
      <c r="A1197" s="5" t="s">
        <v>12</v>
      </c>
      <c r="B1197" s="41">
        <v>4305.0</v>
      </c>
      <c r="C1197" s="41">
        <v>4355.0</v>
      </c>
      <c r="D1197" s="5">
        <f t="shared" si="797"/>
        <v>0.05</v>
      </c>
      <c r="E1197" s="5">
        <f t="shared" si="798"/>
        <v>39.14</v>
      </c>
      <c r="F1197" s="5">
        <v>55.0</v>
      </c>
      <c r="G1197" s="7">
        <f t="shared" si="799"/>
        <v>128.966</v>
      </c>
      <c r="H1197" s="7">
        <f t="shared" si="800"/>
        <v>4.9855</v>
      </c>
      <c r="I1197" s="7">
        <f t="shared" si="801"/>
        <v>24.75</v>
      </c>
      <c r="J1197" s="7">
        <f t="shared" si="802"/>
        <v>62.22</v>
      </c>
      <c r="K1197" s="7">
        <f t="shared" si="803"/>
        <v>1.415</v>
      </c>
      <c r="L1197" s="43">
        <f t="shared" si="804"/>
        <v>316.4765</v>
      </c>
      <c r="M1197" s="43">
        <f t="shared" si="805"/>
        <v>66.460065</v>
      </c>
      <c r="N1197" s="43">
        <f t="shared" si="806"/>
        <v>382.936565</v>
      </c>
    </row>
    <row r="1198" ht="15.75" customHeight="1">
      <c r="A1198" s="5" t="s">
        <v>13</v>
      </c>
      <c r="B1198" s="41">
        <v>5833.0</v>
      </c>
      <c r="C1198" s="41">
        <v>5929.0</v>
      </c>
      <c r="D1198" s="5">
        <f t="shared" si="797"/>
        <v>0.096</v>
      </c>
      <c r="E1198" s="5">
        <f t="shared" si="798"/>
        <v>39.14</v>
      </c>
      <c r="F1198" s="5">
        <v>55.0</v>
      </c>
      <c r="G1198" s="7">
        <f t="shared" si="799"/>
        <v>247.61472</v>
      </c>
      <c r="H1198" s="7">
        <f t="shared" si="800"/>
        <v>9.57216</v>
      </c>
      <c r="I1198" s="7">
        <f t="shared" si="801"/>
        <v>47.52</v>
      </c>
      <c r="J1198" s="7">
        <f t="shared" si="802"/>
        <v>119.4624</v>
      </c>
      <c r="K1198" s="7">
        <f t="shared" si="803"/>
        <v>2.7168</v>
      </c>
      <c r="L1198" s="43">
        <f t="shared" si="804"/>
        <v>521.02608</v>
      </c>
      <c r="M1198" s="43">
        <f t="shared" si="805"/>
        <v>109.4154768</v>
      </c>
      <c r="N1198" s="43">
        <f t="shared" si="806"/>
        <v>630.4415568</v>
      </c>
    </row>
    <row r="1199" ht="15.75" customHeight="1">
      <c r="A1199" s="5" t="s">
        <v>14</v>
      </c>
      <c r="B1199" s="41">
        <v>4168.0</v>
      </c>
      <c r="C1199" s="41">
        <v>4216.0</v>
      </c>
      <c r="D1199" s="5">
        <f t="shared" si="797"/>
        <v>0.048</v>
      </c>
      <c r="E1199" s="5">
        <f t="shared" si="798"/>
        <v>39.14</v>
      </c>
      <c r="F1199" s="5">
        <v>55.0</v>
      </c>
      <c r="G1199" s="7">
        <f t="shared" si="799"/>
        <v>123.80736</v>
      </c>
      <c r="H1199" s="7">
        <f t="shared" si="800"/>
        <v>4.78608</v>
      </c>
      <c r="I1199" s="7">
        <f t="shared" si="801"/>
        <v>23.76</v>
      </c>
      <c r="J1199" s="7">
        <f t="shared" si="802"/>
        <v>59.7312</v>
      </c>
      <c r="K1199" s="7">
        <f t="shared" si="803"/>
        <v>1.3584</v>
      </c>
      <c r="L1199" s="43">
        <f t="shared" si="804"/>
        <v>307.58304</v>
      </c>
      <c r="M1199" s="43">
        <f t="shared" si="805"/>
        <v>64.5924384</v>
      </c>
      <c r="N1199" s="43">
        <f t="shared" si="806"/>
        <v>372.1754784</v>
      </c>
    </row>
    <row r="1200" ht="15.75" customHeight="1">
      <c r="A1200" s="5" t="s">
        <v>15</v>
      </c>
      <c r="B1200" s="41">
        <v>5122.0</v>
      </c>
      <c r="C1200" s="41">
        <v>5168.0</v>
      </c>
      <c r="D1200" s="5">
        <f t="shared" si="797"/>
        <v>0.046</v>
      </c>
      <c r="E1200" s="5">
        <f t="shared" si="798"/>
        <v>39.14</v>
      </c>
      <c r="F1200" s="5">
        <v>55.0</v>
      </c>
      <c r="G1200" s="7">
        <f t="shared" si="799"/>
        <v>118.64872</v>
      </c>
      <c r="H1200" s="7">
        <f t="shared" si="800"/>
        <v>4.58666</v>
      </c>
      <c r="I1200" s="7">
        <f t="shared" si="801"/>
        <v>22.77</v>
      </c>
      <c r="J1200" s="7">
        <f t="shared" si="802"/>
        <v>57.2424</v>
      </c>
      <c r="K1200" s="7">
        <f t="shared" si="803"/>
        <v>1.3018</v>
      </c>
      <c r="L1200" s="43">
        <f t="shared" si="804"/>
        <v>298.68958</v>
      </c>
      <c r="M1200" s="43">
        <f t="shared" si="805"/>
        <v>62.7248118</v>
      </c>
      <c r="N1200" s="43">
        <f t="shared" si="806"/>
        <v>361.4143918</v>
      </c>
    </row>
    <row r="1201" ht="15.75" customHeight="1">
      <c r="A1201" s="5" t="s">
        <v>16</v>
      </c>
      <c r="B1201" s="41">
        <v>3670.0</v>
      </c>
      <c r="C1201" s="41">
        <v>3731.0</v>
      </c>
      <c r="D1201" s="5">
        <f t="shared" si="797"/>
        <v>0.061</v>
      </c>
      <c r="E1201" s="5">
        <f t="shared" si="798"/>
        <v>39.14</v>
      </c>
      <c r="F1201" s="5">
        <v>55.0</v>
      </c>
      <c r="G1201" s="7">
        <f t="shared" si="799"/>
        <v>157.33852</v>
      </c>
      <c r="H1201" s="7">
        <f t="shared" si="800"/>
        <v>6.08231</v>
      </c>
      <c r="I1201" s="7">
        <f t="shared" si="801"/>
        <v>30.195</v>
      </c>
      <c r="J1201" s="7">
        <f t="shared" si="802"/>
        <v>75.9084</v>
      </c>
      <c r="K1201" s="7">
        <f t="shared" si="803"/>
        <v>1.7263</v>
      </c>
      <c r="L1201" s="43">
        <f t="shared" si="804"/>
        <v>365.39053</v>
      </c>
      <c r="M1201" s="43">
        <f t="shared" si="805"/>
        <v>76.7320113</v>
      </c>
      <c r="N1201" s="43">
        <f t="shared" si="806"/>
        <v>442.1225413</v>
      </c>
    </row>
    <row r="1202" ht="15.75" customHeight="1">
      <c r="A1202" s="5" t="s">
        <v>17</v>
      </c>
      <c r="B1202" s="41">
        <v>5223.0</v>
      </c>
      <c r="C1202" s="41">
        <v>5286.0</v>
      </c>
      <c r="D1202" s="5">
        <f t="shared" si="797"/>
        <v>0.063</v>
      </c>
      <c r="E1202" s="5">
        <f t="shared" si="798"/>
        <v>39.14</v>
      </c>
      <c r="F1202" s="5">
        <v>55.0</v>
      </c>
      <c r="G1202" s="7">
        <f t="shared" si="799"/>
        <v>162.49716</v>
      </c>
      <c r="H1202" s="7">
        <f t="shared" si="800"/>
        <v>6.28173</v>
      </c>
      <c r="I1202" s="7">
        <f t="shared" si="801"/>
        <v>31.185</v>
      </c>
      <c r="J1202" s="7">
        <f t="shared" si="802"/>
        <v>78.3972</v>
      </c>
      <c r="K1202" s="7">
        <f t="shared" si="803"/>
        <v>1.7829</v>
      </c>
      <c r="L1202" s="43">
        <f t="shared" si="804"/>
        <v>374.28399</v>
      </c>
      <c r="M1202" s="43">
        <f t="shared" si="805"/>
        <v>78.5996379</v>
      </c>
      <c r="N1202" s="43">
        <f t="shared" si="806"/>
        <v>452.8836279</v>
      </c>
    </row>
    <row r="1203" ht="15.75" customHeight="1">
      <c r="A1203" s="5" t="s">
        <v>18</v>
      </c>
      <c r="B1203" s="41">
        <v>5218.0</v>
      </c>
      <c r="C1203" s="41">
        <v>5352.0</v>
      </c>
      <c r="D1203" s="5">
        <f t="shared" si="797"/>
        <v>0.134</v>
      </c>
      <c r="E1203" s="5">
        <f t="shared" si="798"/>
        <v>39.14</v>
      </c>
      <c r="F1203" s="5">
        <v>55.0</v>
      </c>
      <c r="G1203" s="7">
        <f t="shared" si="799"/>
        <v>345.62888</v>
      </c>
      <c r="H1203" s="7">
        <f t="shared" si="800"/>
        <v>13.36114</v>
      </c>
      <c r="I1203" s="7">
        <f t="shared" si="801"/>
        <v>66.33</v>
      </c>
      <c r="J1203" s="7">
        <f t="shared" si="802"/>
        <v>166.7496</v>
      </c>
      <c r="K1203" s="7">
        <f t="shared" si="803"/>
        <v>3.7922</v>
      </c>
      <c r="L1203" s="43">
        <f t="shared" si="804"/>
        <v>690.00182</v>
      </c>
      <c r="M1203" s="43">
        <f t="shared" si="805"/>
        <v>144.9003822</v>
      </c>
      <c r="N1203" s="43">
        <f t="shared" si="806"/>
        <v>834.9022022</v>
      </c>
    </row>
    <row r="1204" ht="15.75" customHeight="1">
      <c r="A1204" s="40" t="s">
        <v>19</v>
      </c>
      <c r="B1204" s="41">
        <v>122404.0</v>
      </c>
      <c r="C1204" s="41">
        <v>123874.0</v>
      </c>
      <c r="D1204" s="5">
        <f t="shared" si="797"/>
        <v>1.47</v>
      </c>
      <c r="E1204" s="5">
        <v>169.69</v>
      </c>
      <c r="F1204" s="5">
        <v>78.05</v>
      </c>
      <c r="G1204" s="7">
        <f t="shared" si="799"/>
        <v>3791.6004</v>
      </c>
      <c r="H1204" s="7">
        <f t="shared" si="800"/>
        <v>146.5737</v>
      </c>
      <c r="I1204" s="7">
        <f t="shared" si="801"/>
        <v>727.65</v>
      </c>
      <c r="J1204" s="7">
        <f t="shared" si="802"/>
        <v>1829.268</v>
      </c>
      <c r="K1204" s="7">
        <f t="shared" si="803"/>
        <v>41.601</v>
      </c>
      <c r="L1204" s="43">
        <f t="shared" si="804"/>
        <v>6784.4331</v>
      </c>
      <c r="M1204" s="43">
        <f t="shared" si="805"/>
        <v>1424.730951</v>
      </c>
      <c r="N1204" s="43">
        <f t="shared" si="806"/>
        <v>8209.164051</v>
      </c>
    </row>
    <row r="1205" ht="15.75" customHeight="1">
      <c r="A1205" s="5" t="s">
        <v>30</v>
      </c>
      <c r="B1205" s="41">
        <v>403.0</v>
      </c>
      <c r="C1205" s="41">
        <v>490.0</v>
      </c>
      <c r="D1205" s="5">
        <f t="shared" si="797"/>
        <v>0.087</v>
      </c>
      <c r="E1205" s="5">
        <f t="shared" ref="E1205:E1206" si="807">29.8+9.34</f>
        <v>39.14</v>
      </c>
      <c r="F1205" s="5">
        <v>55.0</v>
      </c>
      <c r="G1205" s="7">
        <f t="shared" si="799"/>
        <v>224.40084</v>
      </c>
      <c r="H1205" s="7">
        <f t="shared" si="800"/>
        <v>8.67477</v>
      </c>
      <c r="I1205" s="7">
        <f t="shared" si="801"/>
        <v>43.065</v>
      </c>
      <c r="J1205" s="7">
        <f t="shared" si="802"/>
        <v>108.2628</v>
      </c>
      <c r="K1205" s="7">
        <f t="shared" si="803"/>
        <v>2.4621</v>
      </c>
      <c r="L1205" s="43">
        <f t="shared" si="804"/>
        <v>481.00551</v>
      </c>
      <c r="M1205" s="43">
        <f t="shared" si="805"/>
        <v>101.0111571</v>
      </c>
      <c r="N1205" s="43">
        <f t="shared" si="806"/>
        <v>582.0166671</v>
      </c>
    </row>
    <row r="1206" ht="15.75" customHeight="1">
      <c r="A1206" s="5" t="s">
        <v>31</v>
      </c>
      <c r="B1206" s="41">
        <v>2008.0</v>
      </c>
      <c r="C1206" s="41">
        <v>2510.0</v>
      </c>
      <c r="D1206" s="5">
        <f t="shared" si="797"/>
        <v>0.502</v>
      </c>
      <c r="E1206" s="5">
        <f t="shared" si="807"/>
        <v>39.14</v>
      </c>
      <c r="F1206" s="5">
        <v>55.0</v>
      </c>
      <c r="G1206" s="7">
        <f t="shared" si="799"/>
        <v>1294.81864</v>
      </c>
      <c r="H1206" s="7">
        <f t="shared" si="800"/>
        <v>50.05442</v>
      </c>
      <c r="I1206" s="7">
        <f t="shared" si="801"/>
        <v>248.49</v>
      </c>
      <c r="J1206" s="7">
        <f t="shared" si="802"/>
        <v>624.6888</v>
      </c>
      <c r="K1206" s="7">
        <f t="shared" si="803"/>
        <v>14.2066</v>
      </c>
      <c r="L1206" s="44">
        <f t="shared" si="804"/>
        <v>2326.39846</v>
      </c>
      <c r="M1206" s="43">
        <f t="shared" si="805"/>
        <v>488.5436766</v>
      </c>
      <c r="N1206" s="43">
        <f t="shared" si="806"/>
        <v>2814.942137</v>
      </c>
    </row>
    <row r="1207" ht="15.75" customHeight="1">
      <c r="A1207" s="5"/>
      <c r="B1207" s="4"/>
      <c r="C1207" s="4"/>
      <c r="D1207" s="5"/>
      <c r="G1207" s="5"/>
      <c r="L1207" s="45">
        <f>SUM(L1196:L1206)</f>
        <v>12884.0399</v>
      </c>
      <c r="M1207" s="46">
        <f t="shared" si="805"/>
        <v>2705.648379</v>
      </c>
      <c r="N1207" s="46">
        <f t="shared" si="806"/>
        <v>15589.68828</v>
      </c>
    </row>
    <row r="1208" ht="15.75" customHeight="1">
      <c r="A1208" s="5"/>
      <c r="B1208" s="4"/>
      <c r="C1208" s="4"/>
      <c r="D1208" s="5">
        <f>SUM(D1196:D1206)</f>
        <v>2.63</v>
      </c>
      <c r="G1208" s="5"/>
    </row>
    <row r="1209" ht="15.75" customHeight="1">
      <c r="A1209" s="5"/>
      <c r="B1209" s="4"/>
      <c r="C1209" s="4"/>
      <c r="D1209" s="5"/>
      <c r="G1209" s="5"/>
      <c r="I1209" s="15" t="s">
        <v>66</v>
      </c>
      <c r="L1209" s="15">
        <v>1700.0</v>
      </c>
    </row>
    <row r="1210" ht="15.75" customHeight="1">
      <c r="A1210" s="5" t="s">
        <v>68</v>
      </c>
      <c r="B1210" s="4">
        <v>100573.0</v>
      </c>
      <c r="C1210" s="4"/>
      <c r="D1210" s="5">
        <f>(C1210-B1210)/1000</f>
        <v>-100.573</v>
      </c>
      <c r="G1210" s="5"/>
      <c r="I1210" s="15" t="s">
        <v>67</v>
      </c>
      <c r="L1210" s="47">
        <f>L1207-L1209</f>
        <v>11184.0399</v>
      </c>
    </row>
    <row r="1211" ht="15.75" customHeight="1">
      <c r="A1211" s="5"/>
      <c r="C1211" s="4"/>
      <c r="D1211" s="5"/>
      <c r="G1211" s="5"/>
    </row>
    <row r="1212" ht="15.75" customHeight="1">
      <c r="A1212" s="5"/>
      <c r="C1212" s="4"/>
      <c r="D1212" s="5"/>
      <c r="G1212" s="5"/>
    </row>
    <row r="1213" ht="15.75" customHeight="1">
      <c r="A1213" s="5"/>
      <c r="C1213" s="4"/>
      <c r="D1213" s="40"/>
      <c r="E1213" s="49"/>
      <c r="F1213" s="49"/>
      <c r="G1213" s="40"/>
      <c r="H1213" s="49"/>
      <c r="I1213" s="49"/>
      <c r="J1213" s="49"/>
      <c r="K1213" s="49"/>
      <c r="L1213" s="49"/>
      <c r="M1213" s="49"/>
      <c r="N1213" s="49"/>
    </row>
    <row r="1214" ht="15.75" customHeight="1">
      <c r="A1214" s="5"/>
      <c r="C1214" s="4"/>
      <c r="D1214" s="5"/>
      <c r="G1214" s="5"/>
    </row>
    <row r="1215" ht="15.75" customHeight="1">
      <c r="A1215" s="5"/>
      <c r="C1215" s="4"/>
      <c r="D1215" s="5"/>
      <c r="G1215" s="5"/>
    </row>
    <row r="1216" ht="15.75" customHeight="1">
      <c r="A1216" s="5" t="s">
        <v>80</v>
      </c>
      <c r="C1216" s="4"/>
      <c r="D1216" s="5"/>
      <c r="G1216" s="5"/>
    </row>
    <row r="1217" ht="15.75" customHeight="1">
      <c r="A1217" s="1"/>
      <c r="C1217" s="4"/>
      <c r="D1217" s="5"/>
      <c r="G1217" s="5"/>
    </row>
    <row r="1218" ht="15.75" customHeight="1">
      <c r="A1218" s="5" t="s">
        <v>11</v>
      </c>
      <c r="B1218" s="41">
        <v>5770.0</v>
      </c>
      <c r="C1218" s="41">
        <v>5848.0</v>
      </c>
      <c r="D1218" s="5">
        <f t="shared" ref="D1218:D1228" si="808">(C1218-B1218)/1000</f>
        <v>0.078</v>
      </c>
      <c r="E1218" s="5">
        <f t="shared" ref="E1218:E1225" si="809">29.8+9.34</f>
        <v>39.14</v>
      </c>
      <c r="F1218" s="5">
        <v>55.0</v>
      </c>
      <c r="G1218" s="7">
        <f t="shared" ref="G1218:G1228" si="810">D1218*$G$2</f>
        <v>201.18696</v>
      </c>
      <c r="H1218" s="7">
        <f t="shared" ref="H1218:H1228" si="811">D1218*$H$2</f>
        <v>7.77738</v>
      </c>
      <c r="I1218" s="7">
        <f t="shared" ref="I1218:I1228" si="812">D1218*$I$2</f>
        <v>38.61</v>
      </c>
      <c r="J1218" s="7">
        <f t="shared" ref="J1218:J1228" si="813">D1218*$J$2</f>
        <v>97.0632</v>
      </c>
      <c r="K1218" s="7">
        <f t="shared" ref="K1218:K1228" si="814">D1218*$K$2</f>
        <v>2.2074</v>
      </c>
      <c r="L1218" s="43">
        <f t="shared" ref="L1218:L1228" si="815">SUM(E1218:K1218)</f>
        <v>440.98494</v>
      </c>
      <c r="M1218" s="43">
        <f t="shared" ref="M1218:M1229" si="816">L1218*0.21</f>
        <v>92.6068374</v>
      </c>
      <c r="N1218" s="43">
        <f t="shared" ref="N1218:N1229" si="817">L1218+M1218</f>
        <v>533.5917774</v>
      </c>
    </row>
    <row r="1219" ht="15.75" customHeight="1">
      <c r="A1219" s="5" t="s">
        <v>12</v>
      </c>
      <c r="B1219" s="41">
        <v>4355.0</v>
      </c>
      <c r="C1219" s="41">
        <v>4416.0</v>
      </c>
      <c r="D1219" s="5">
        <f t="shared" si="808"/>
        <v>0.061</v>
      </c>
      <c r="E1219" s="5">
        <f t="shared" si="809"/>
        <v>39.14</v>
      </c>
      <c r="F1219" s="5">
        <v>55.0</v>
      </c>
      <c r="G1219" s="7">
        <f t="shared" si="810"/>
        <v>157.33852</v>
      </c>
      <c r="H1219" s="7">
        <f t="shared" si="811"/>
        <v>6.08231</v>
      </c>
      <c r="I1219" s="7">
        <f t="shared" si="812"/>
        <v>30.195</v>
      </c>
      <c r="J1219" s="7">
        <f t="shared" si="813"/>
        <v>75.9084</v>
      </c>
      <c r="K1219" s="7">
        <f t="shared" si="814"/>
        <v>1.7263</v>
      </c>
      <c r="L1219" s="43">
        <f t="shared" si="815"/>
        <v>365.39053</v>
      </c>
      <c r="M1219" s="43">
        <f t="shared" si="816"/>
        <v>76.7320113</v>
      </c>
      <c r="N1219" s="43">
        <f t="shared" si="817"/>
        <v>442.1225413</v>
      </c>
    </row>
    <row r="1220" ht="15.75" customHeight="1">
      <c r="A1220" s="5" t="s">
        <v>13</v>
      </c>
      <c r="B1220" s="41">
        <v>5929.0</v>
      </c>
      <c r="C1220" s="41">
        <v>6049.0</v>
      </c>
      <c r="D1220" s="5">
        <f t="shared" si="808"/>
        <v>0.12</v>
      </c>
      <c r="E1220" s="5">
        <f t="shared" si="809"/>
        <v>39.14</v>
      </c>
      <c r="F1220" s="5">
        <v>55.0</v>
      </c>
      <c r="G1220" s="7">
        <f t="shared" si="810"/>
        <v>309.5184</v>
      </c>
      <c r="H1220" s="7">
        <f t="shared" si="811"/>
        <v>11.9652</v>
      </c>
      <c r="I1220" s="7">
        <f t="shared" si="812"/>
        <v>59.4</v>
      </c>
      <c r="J1220" s="7">
        <f t="shared" si="813"/>
        <v>149.328</v>
      </c>
      <c r="K1220" s="7">
        <f t="shared" si="814"/>
        <v>3.396</v>
      </c>
      <c r="L1220" s="43">
        <f t="shared" si="815"/>
        <v>627.7476</v>
      </c>
      <c r="M1220" s="43">
        <f t="shared" si="816"/>
        <v>131.826996</v>
      </c>
      <c r="N1220" s="43">
        <f t="shared" si="817"/>
        <v>759.574596</v>
      </c>
    </row>
    <row r="1221" ht="15.75" customHeight="1">
      <c r="A1221" s="5" t="s">
        <v>14</v>
      </c>
      <c r="B1221" s="41">
        <v>4216.0</v>
      </c>
      <c r="C1221" s="41">
        <v>4279.0</v>
      </c>
      <c r="D1221" s="5">
        <f t="shared" si="808"/>
        <v>0.063</v>
      </c>
      <c r="E1221" s="5">
        <f t="shared" si="809"/>
        <v>39.14</v>
      </c>
      <c r="F1221" s="5">
        <v>55.0</v>
      </c>
      <c r="G1221" s="7">
        <f t="shared" si="810"/>
        <v>162.49716</v>
      </c>
      <c r="H1221" s="7">
        <f t="shared" si="811"/>
        <v>6.28173</v>
      </c>
      <c r="I1221" s="7">
        <f t="shared" si="812"/>
        <v>31.185</v>
      </c>
      <c r="J1221" s="7">
        <f t="shared" si="813"/>
        <v>78.3972</v>
      </c>
      <c r="K1221" s="7">
        <f t="shared" si="814"/>
        <v>1.7829</v>
      </c>
      <c r="L1221" s="43">
        <f t="shared" si="815"/>
        <v>374.28399</v>
      </c>
      <c r="M1221" s="43">
        <f t="shared" si="816"/>
        <v>78.5996379</v>
      </c>
      <c r="N1221" s="43">
        <f t="shared" si="817"/>
        <v>452.8836279</v>
      </c>
    </row>
    <row r="1222" ht="15.75" customHeight="1">
      <c r="A1222" s="5" t="s">
        <v>15</v>
      </c>
      <c r="B1222" s="41">
        <v>5168.0</v>
      </c>
      <c r="C1222" s="41">
        <v>5222.0</v>
      </c>
      <c r="D1222" s="5">
        <f t="shared" si="808"/>
        <v>0.054</v>
      </c>
      <c r="E1222" s="5">
        <f t="shared" si="809"/>
        <v>39.14</v>
      </c>
      <c r="F1222" s="5">
        <v>55.0</v>
      </c>
      <c r="G1222" s="7">
        <f t="shared" si="810"/>
        <v>139.28328</v>
      </c>
      <c r="H1222" s="7">
        <f t="shared" si="811"/>
        <v>5.38434</v>
      </c>
      <c r="I1222" s="7">
        <f t="shared" si="812"/>
        <v>26.73</v>
      </c>
      <c r="J1222" s="7">
        <f t="shared" si="813"/>
        <v>67.1976</v>
      </c>
      <c r="K1222" s="7">
        <f t="shared" si="814"/>
        <v>1.5282</v>
      </c>
      <c r="L1222" s="43">
        <f t="shared" si="815"/>
        <v>334.26342</v>
      </c>
      <c r="M1222" s="43">
        <f t="shared" si="816"/>
        <v>70.1953182</v>
      </c>
      <c r="N1222" s="43">
        <f t="shared" si="817"/>
        <v>404.4587382</v>
      </c>
    </row>
    <row r="1223" ht="15.75" customHeight="1">
      <c r="A1223" s="5" t="s">
        <v>16</v>
      </c>
      <c r="B1223" s="41">
        <v>3731.0</v>
      </c>
      <c r="C1223" s="41">
        <v>3781.0</v>
      </c>
      <c r="D1223" s="5">
        <f t="shared" si="808"/>
        <v>0.05</v>
      </c>
      <c r="E1223" s="5">
        <f t="shared" si="809"/>
        <v>39.14</v>
      </c>
      <c r="F1223" s="5">
        <v>55.0</v>
      </c>
      <c r="G1223" s="7">
        <f t="shared" si="810"/>
        <v>128.966</v>
      </c>
      <c r="H1223" s="7">
        <f t="shared" si="811"/>
        <v>4.9855</v>
      </c>
      <c r="I1223" s="7">
        <f t="shared" si="812"/>
        <v>24.75</v>
      </c>
      <c r="J1223" s="7">
        <f t="shared" si="813"/>
        <v>62.22</v>
      </c>
      <c r="K1223" s="7">
        <f t="shared" si="814"/>
        <v>1.415</v>
      </c>
      <c r="L1223" s="43">
        <f t="shared" si="815"/>
        <v>316.4765</v>
      </c>
      <c r="M1223" s="43">
        <f t="shared" si="816"/>
        <v>66.460065</v>
      </c>
      <c r="N1223" s="43">
        <f t="shared" si="817"/>
        <v>382.936565</v>
      </c>
    </row>
    <row r="1224" ht="15.75" customHeight="1">
      <c r="A1224" s="5" t="s">
        <v>17</v>
      </c>
      <c r="B1224" s="41">
        <v>5286.0</v>
      </c>
      <c r="C1224" s="41">
        <v>5350.0</v>
      </c>
      <c r="D1224" s="5">
        <f t="shared" si="808"/>
        <v>0.064</v>
      </c>
      <c r="E1224" s="5">
        <f t="shared" si="809"/>
        <v>39.14</v>
      </c>
      <c r="F1224" s="5">
        <v>55.0</v>
      </c>
      <c r="G1224" s="7">
        <f t="shared" si="810"/>
        <v>165.07648</v>
      </c>
      <c r="H1224" s="7">
        <f t="shared" si="811"/>
        <v>6.38144</v>
      </c>
      <c r="I1224" s="7">
        <f t="shared" si="812"/>
        <v>31.68</v>
      </c>
      <c r="J1224" s="7">
        <f t="shared" si="813"/>
        <v>79.6416</v>
      </c>
      <c r="K1224" s="7">
        <f t="shared" si="814"/>
        <v>1.8112</v>
      </c>
      <c r="L1224" s="43">
        <f t="shared" si="815"/>
        <v>378.73072</v>
      </c>
      <c r="M1224" s="43">
        <f t="shared" si="816"/>
        <v>79.5334512</v>
      </c>
      <c r="N1224" s="43">
        <f t="shared" si="817"/>
        <v>458.2641712</v>
      </c>
    </row>
    <row r="1225" ht="15.75" customHeight="1">
      <c r="A1225" s="5" t="s">
        <v>18</v>
      </c>
      <c r="B1225" s="41">
        <v>5352.0</v>
      </c>
      <c r="C1225" s="41">
        <v>5447.0</v>
      </c>
      <c r="D1225" s="5">
        <f t="shared" si="808"/>
        <v>0.095</v>
      </c>
      <c r="E1225" s="5">
        <f t="shared" si="809"/>
        <v>39.14</v>
      </c>
      <c r="F1225" s="5">
        <v>55.0</v>
      </c>
      <c r="G1225" s="7">
        <f t="shared" si="810"/>
        <v>245.0354</v>
      </c>
      <c r="H1225" s="7">
        <f t="shared" si="811"/>
        <v>9.47245</v>
      </c>
      <c r="I1225" s="7">
        <f t="shared" si="812"/>
        <v>47.025</v>
      </c>
      <c r="J1225" s="7">
        <f t="shared" si="813"/>
        <v>118.218</v>
      </c>
      <c r="K1225" s="7">
        <f t="shared" si="814"/>
        <v>2.6885</v>
      </c>
      <c r="L1225" s="43">
        <f t="shared" si="815"/>
        <v>516.57935</v>
      </c>
      <c r="M1225" s="43">
        <f t="shared" si="816"/>
        <v>108.4816635</v>
      </c>
      <c r="N1225" s="43">
        <f t="shared" si="817"/>
        <v>625.0610135</v>
      </c>
    </row>
    <row r="1226" ht="15.75" customHeight="1">
      <c r="A1226" s="40" t="s">
        <v>19</v>
      </c>
      <c r="B1226" s="41">
        <v>123874.0</v>
      </c>
      <c r="C1226" s="41">
        <v>125460.0</v>
      </c>
      <c r="D1226" s="5">
        <f t="shared" si="808"/>
        <v>1.586</v>
      </c>
      <c r="E1226" s="5">
        <v>169.69</v>
      </c>
      <c r="F1226" s="5">
        <v>78.05</v>
      </c>
      <c r="G1226" s="7">
        <f t="shared" si="810"/>
        <v>4090.80152</v>
      </c>
      <c r="H1226" s="7">
        <f t="shared" si="811"/>
        <v>158.14006</v>
      </c>
      <c r="I1226" s="7">
        <f t="shared" si="812"/>
        <v>785.07</v>
      </c>
      <c r="J1226" s="7">
        <f t="shared" si="813"/>
        <v>1973.6184</v>
      </c>
      <c r="K1226" s="7">
        <f t="shared" si="814"/>
        <v>44.8838</v>
      </c>
      <c r="L1226" s="43">
        <f t="shared" si="815"/>
        <v>7300.25378</v>
      </c>
      <c r="M1226" s="43">
        <f t="shared" si="816"/>
        <v>1533.053294</v>
      </c>
      <c r="N1226" s="43">
        <f t="shared" si="817"/>
        <v>8833.307074</v>
      </c>
    </row>
    <row r="1227" ht="15.75" customHeight="1">
      <c r="A1227" s="5" t="s">
        <v>30</v>
      </c>
      <c r="B1227" s="41">
        <v>490.0</v>
      </c>
      <c r="C1227" s="41">
        <v>630.0</v>
      </c>
      <c r="D1227" s="5">
        <f t="shared" si="808"/>
        <v>0.14</v>
      </c>
      <c r="E1227" s="5">
        <f t="shared" ref="E1227:E1228" si="818">29.8+9.34</f>
        <v>39.14</v>
      </c>
      <c r="F1227" s="5">
        <v>55.0</v>
      </c>
      <c r="G1227" s="7">
        <f t="shared" si="810"/>
        <v>361.1048</v>
      </c>
      <c r="H1227" s="7">
        <f t="shared" si="811"/>
        <v>13.9594</v>
      </c>
      <c r="I1227" s="7">
        <f t="shared" si="812"/>
        <v>69.3</v>
      </c>
      <c r="J1227" s="7">
        <f t="shared" si="813"/>
        <v>174.216</v>
      </c>
      <c r="K1227" s="7">
        <f t="shared" si="814"/>
        <v>3.962</v>
      </c>
      <c r="L1227" s="43">
        <f t="shared" si="815"/>
        <v>716.6822</v>
      </c>
      <c r="M1227" s="43">
        <f t="shared" si="816"/>
        <v>150.503262</v>
      </c>
      <c r="N1227" s="43">
        <f t="shared" si="817"/>
        <v>867.185462</v>
      </c>
    </row>
    <row r="1228" ht="15.75" customHeight="1">
      <c r="A1228" s="5" t="s">
        <v>31</v>
      </c>
      <c r="B1228" s="41">
        <v>2510.0</v>
      </c>
      <c r="C1228" s="41">
        <v>3203.0</v>
      </c>
      <c r="D1228" s="5">
        <f t="shared" si="808"/>
        <v>0.693</v>
      </c>
      <c r="E1228" s="5">
        <f t="shared" si="818"/>
        <v>39.14</v>
      </c>
      <c r="F1228" s="5">
        <v>55.0</v>
      </c>
      <c r="G1228" s="7">
        <f t="shared" si="810"/>
        <v>1787.46876</v>
      </c>
      <c r="H1228" s="7">
        <f t="shared" si="811"/>
        <v>69.09903</v>
      </c>
      <c r="I1228" s="7">
        <f t="shared" si="812"/>
        <v>343.035</v>
      </c>
      <c r="J1228" s="7">
        <f t="shared" si="813"/>
        <v>862.3692</v>
      </c>
      <c r="K1228" s="7">
        <f t="shared" si="814"/>
        <v>19.6119</v>
      </c>
      <c r="L1228" s="44">
        <f t="shared" si="815"/>
        <v>3175.72389</v>
      </c>
      <c r="M1228" s="43">
        <f t="shared" si="816"/>
        <v>666.9020169</v>
      </c>
      <c r="N1228" s="43">
        <f t="shared" si="817"/>
        <v>3842.625907</v>
      </c>
    </row>
    <row r="1229" ht="15.75" customHeight="1">
      <c r="A1229" s="5"/>
      <c r="B1229" s="4"/>
      <c r="C1229" s="4"/>
      <c r="D1229" s="5"/>
      <c r="G1229" s="5"/>
      <c r="L1229" s="45">
        <f>SUM(L1218:L1228)</f>
        <v>14547.11692</v>
      </c>
      <c r="M1229" s="46">
        <f t="shared" si="816"/>
        <v>3054.894553</v>
      </c>
      <c r="N1229" s="46">
        <f t="shared" si="817"/>
        <v>17602.01147</v>
      </c>
    </row>
    <row r="1230" ht="15.75" customHeight="1">
      <c r="A1230" s="5"/>
      <c r="B1230" s="4"/>
      <c r="C1230" s="4"/>
      <c r="D1230" s="5">
        <f>SUM(D1218:D1228)</f>
        <v>3.004</v>
      </c>
      <c r="G1230" s="5"/>
    </row>
    <row r="1231" ht="15.75" customHeight="1">
      <c r="A1231" s="5"/>
      <c r="B1231" s="4"/>
      <c r="C1231" s="4"/>
      <c r="D1231" s="5"/>
      <c r="G1231" s="5"/>
      <c r="I1231" s="15" t="s">
        <v>66</v>
      </c>
      <c r="L1231" s="15">
        <v>1700.0</v>
      </c>
    </row>
    <row r="1232" ht="15.75" customHeight="1">
      <c r="A1232" s="5" t="s">
        <v>68</v>
      </c>
      <c r="B1232" s="4">
        <v>100573.0</v>
      </c>
      <c r="C1232" s="4"/>
      <c r="D1232" s="5">
        <f>(C1232-B1232)/1000</f>
        <v>-100.573</v>
      </c>
      <c r="G1232" s="5"/>
      <c r="I1232" s="15" t="s">
        <v>67</v>
      </c>
      <c r="L1232" s="47">
        <f>L1229-L1231</f>
        <v>12847.11692</v>
      </c>
    </row>
    <row r="1233" ht="15.75" customHeight="1">
      <c r="A1233" s="5"/>
      <c r="C1233" s="4"/>
      <c r="D1233" s="5"/>
      <c r="G1233" s="5"/>
    </row>
    <row r="1234" ht="15.75" customHeight="1">
      <c r="A1234" s="5"/>
      <c r="C1234" s="4"/>
      <c r="D1234" s="5"/>
      <c r="G1234" s="5"/>
    </row>
    <row r="1235" ht="15.75" customHeight="1">
      <c r="A1235" s="5"/>
      <c r="C1235" s="4"/>
      <c r="D1235" s="5"/>
      <c r="G1235" s="5"/>
    </row>
    <row r="1236" ht="15.75" customHeight="1">
      <c r="A1236" s="5" t="s">
        <v>81</v>
      </c>
      <c r="C1236" s="4"/>
      <c r="D1236" s="5"/>
      <c r="G1236" s="5"/>
    </row>
    <row r="1237" ht="15.75" customHeight="1">
      <c r="A1237" s="1"/>
      <c r="C1237" s="4"/>
      <c r="D1237" s="5"/>
      <c r="G1237" s="5"/>
    </row>
    <row r="1238" ht="15.75" customHeight="1">
      <c r="A1238" s="5" t="s">
        <v>11</v>
      </c>
      <c r="B1238" s="41">
        <v>5848.0</v>
      </c>
      <c r="C1238" s="41">
        <v>5917.0</v>
      </c>
      <c r="D1238" s="5">
        <f t="shared" ref="D1238:D1248" si="819">(C1238-B1238)/1000</f>
        <v>0.069</v>
      </c>
      <c r="E1238" s="5">
        <f t="shared" ref="E1238:E1245" si="820">29.8+9.34</f>
        <v>39.14</v>
      </c>
      <c r="F1238" s="5">
        <v>55.0</v>
      </c>
      <c r="G1238" s="7">
        <f t="shared" ref="G1238:G1248" si="821">D1238*$G$2</f>
        <v>177.97308</v>
      </c>
      <c r="H1238" s="7">
        <f t="shared" ref="H1238:H1248" si="822">D1238*$H$2</f>
        <v>6.87999</v>
      </c>
      <c r="I1238" s="7">
        <f t="shared" ref="I1238:I1248" si="823">D1238*$I$2</f>
        <v>34.155</v>
      </c>
      <c r="J1238" s="7">
        <f t="shared" ref="J1238:J1248" si="824">D1238*$J$2</f>
        <v>85.8636</v>
      </c>
      <c r="K1238" s="7">
        <f t="shared" ref="K1238:K1248" si="825">D1238*$K$2</f>
        <v>1.9527</v>
      </c>
      <c r="L1238" s="43">
        <f t="shared" ref="L1238:L1248" si="826">SUM(E1238:K1238)</f>
        <v>400.96437</v>
      </c>
      <c r="M1238" s="43">
        <f t="shared" ref="M1238:M1249" si="827">L1238*0.21</f>
        <v>84.2025177</v>
      </c>
      <c r="N1238" s="43">
        <f t="shared" ref="N1238:N1249" si="828">L1238+M1238</f>
        <v>485.1668877</v>
      </c>
    </row>
    <row r="1239" ht="15.75" customHeight="1">
      <c r="A1239" s="5" t="s">
        <v>12</v>
      </c>
      <c r="B1239" s="41">
        <v>4416.0</v>
      </c>
      <c r="C1239" s="41">
        <v>4467.0</v>
      </c>
      <c r="D1239" s="5">
        <f t="shared" si="819"/>
        <v>0.051</v>
      </c>
      <c r="E1239" s="5">
        <f t="shared" si="820"/>
        <v>39.14</v>
      </c>
      <c r="F1239" s="5">
        <v>55.0</v>
      </c>
      <c r="G1239" s="7">
        <f t="shared" si="821"/>
        <v>131.54532</v>
      </c>
      <c r="H1239" s="7">
        <f t="shared" si="822"/>
        <v>5.08521</v>
      </c>
      <c r="I1239" s="7">
        <f t="shared" si="823"/>
        <v>25.245</v>
      </c>
      <c r="J1239" s="7">
        <f t="shared" si="824"/>
        <v>63.4644</v>
      </c>
      <c r="K1239" s="7">
        <f t="shared" si="825"/>
        <v>1.4433</v>
      </c>
      <c r="L1239" s="43">
        <f t="shared" si="826"/>
        <v>320.92323</v>
      </c>
      <c r="M1239" s="43">
        <f t="shared" si="827"/>
        <v>67.3938783</v>
      </c>
      <c r="N1239" s="43">
        <f t="shared" si="828"/>
        <v>388.3171083</v>
      </c>
    </row>
    <row r="1240" ht="15.75" customHeight="1">
      <c r="A1240" s="5" t="s">
        <v>13</v>
      </c>
      <c r="B1240" s="41">
        <v>6049.0</v>
      </c>
      <c r="C1240" s="41">
        <v>6111.0</v>
      </c>
      <c r="D1240" s="5">
        <f t="shared" si="819"/>
        <v>0.062</v>
      </c>
      <c r="E1240" s="5">
        <f t="shared" si="820"/>
        <v>39.14</v>
      </c>
      <c r="F1240" s="5">
        <v>55.0</v>
      </c>
      <c r="G1240" s="7">
        <f t="shared" si="821"/>
        <v>159.91784</v>
      </c>
      <c r="H1240" s="7">
        <f t="shared" si="822"/>
        <v>6.18202</v>
      </c>
      <c r="I1240" s="7">
        <f t="shared" si="823"/>
        <v>30.69</v>
      </c>
      <c r="J1240" s="7">
        <f t="shared" si="824"/>
        <v>77.1528</v>
      </c>
      <c r="K1240" s="7">
        <f t="shared" si="825"/>
        <v>1.7546</v>
      </c>
      <c r="L1240" s="43">
        <f t="shared" si="826"/>
        <v>369.83726</v>
      </c>
      <c r="M1240" s="43">
        <f t="shared" si="827"/>
        <v>77.6658246</v>
      </c>
      <c r="N1240" s="43">
        <f t="shared" si="828"/>
        <v>447.5030846</v>
      </c>
    </row>
    <row r="1241" ht="15.75" customHeight="1">
      <c r="A1241" s="5" t="s">
        <v>14</v>
      </c>
      <c r="B1241" s="41">
        <v>4279.0</v>
      </c>
      <c r="C1241" s="41">
        <v>4324.0</v>
      </c>
      <c r="D1241" s="5">
        <f t="shared" si="819"/>
        <v>0.045</v>
      </c>
      <c r="E1241" s="5">
        <f t="shared" si="820"/>
        <v>39.14</v>
      </c>
      <c r="F1241" s="5">
        <v>55.0</v>
      </c>
      <c r="G1241" s="7">
        <f t="shared" si="821"/>
        <v>116.0694</v>
      </c>
      <c r="H1241" s="7">
        <f t="shared" si="822"/>
        <v>4.48695</v>
      </c>
      <c r="I1241" s="7">
        <f t="shared" si="823"/>
        <v>22.275</v>
      </c>
      <c r="J1241" s="7">
        <f t="shared" si="824"/>
        <v>55.998</v>
      </c>
      <c r="K1241" s="7">
        <f t="shared" si="825"/>
        <v>1.2735</v>
      </c>
      <c r="L1241" s="43">
        <f t="shared" si="826"/>
        <v>294.24285</v>
      </c>
      <c r="M1241" s="43">
        <f t="shared" si="827"/>
        <v>61.7909985</v>
      </c>
      <c r="N1241" s="43">
        <f t="shared" si="828"/>
        <v>356.0338485</v>
      </c>
    </row>
    <row r="1242" ht="15.75" customHeight="1">
      <c r="A1242" s="5" t="s">
        <v>15</v>
      </c>
      <c r="B1242" s="41">
        <v>5222.0</v>
      </c>
      <c r="C1242" s="41">
        <v>5280.0</v>
      </c>
      <c r="D1242" s="5">
        <f t="shared" si="819"/>
        <v>0.058</v>
      </c>
      <c r="E1242" s="5">
        <f t="shared" si="820"/>
        <v>39.14</v>
      </c>
      <c r="F1242" s="5">
        <v>55.0</v>
      </c>
      <c r="G1242" s="7">
        <f t="shared" si="821"/>
        <v>149.60056</v>
      </c>
      <c r="H1242" s="7">
        <f t="shared" si="822"/>
        <v>5.78318</v>
      </c>
      <c r="I1242" s="7">
        <f t="shared" si="823"/>
        <v>28.71</v>
      </c>
      <c r="J1242" s="7">
        <f t="shared" si="824"/>
        <v>72.1752</v>
      </c>
      <c r="K1242" s="7">
        <f t="shared" si="825"/>
        <v>1.6414</v>
      </c>
      <c r="L1242" s="43">
        <f t="shared" si="826"/>
        <v>352.05034</v>
      </c>
      <c r="M1242" s="43">
        <f t="shared" si="827"/>
        <v>73.9305714</v>
      </c>
      <c r="N1242" s="43">
        <f t="shared" si="828"/>
        <v>425.9809114</v>
      </c>
    </row>
    <row r="1243" ht="15.75" customHeight="1">
      <c r="A1243" s="5" t="s">
        <v>16</v>
      </c>
      <c r="B1243" s="41">
        <v>3781.0</v>
      </c>
      <c r="C1243" s="41">
        <v>3829.0</v>
      </c>
      <c r="D1243" s="5">
        <f t="shared" si="819"/>
        <v>0.048</v>
      </c>
      <c r="E1243" s="5">
        <f t="shared" si="820"/>
        <v>39.14</v>
      </c>
      <c r="F1243" s="5">
        <v>55.0</v>
      </c>
      <c r="G1243" s="7">
        <f t="shared" si="821"/>
        <v>123.80736</v>
      </c>
      <c r="H1243" s="7">
        <f t="shared" si="822"/>
        <v>4.78608</v>
      </c>
      <c r="I1243" s="7">
        <f t="shared" si="823"/>
        <v>23.76</v>
      </c>
      <c r="J1243" s="7">
        <f t="shared" si="824"/>
        <v>59.7312</v>
      </c>
      <c r="K1243" s="7">
        <f t="shared" si="825"/>
        <v>1.3584</v>
      </c>
      <c r="L1243" s="43">
        <f t="shared" si="826"/>
        <v>307.58304</v>
      </c>
      <c r="M1243" s="43">
        <f t="shared" si="827"/>
        <v>64.5924384</v>
      </c>
      <c r="N1243" s="43">
        <f t="shared" si="828"/>
        <v>372.1754784</v>
      </c>
    </row>
    <row r="1244" ht="15.75" customHeight="1">
      <c r="A1244" s="5" t="s">
        <v>17</v>
      </c>
      <c r="B1244" s="41">
        <v>5350.0</v>
      </c>
      <c r="C1244" s="41">
        <v>5390.0</v>
      </c>
      <c r="D1244" s="5">
        <f t="shared" si="819"/>
        <v>0.04</v>
      </c>
      <c r="E1244" s="5">
        <f t="shared" si="820"/>
        <v>39.14</v>
      </c>
      <c r="F1244" s="5">
        <v>55.0</v>
      </c>
      <c r="G1244" s="7">
        <f t="shared" si="821"/>
        <v>103.1728</v>
      </c>
      <c r="H1244" s="7">
        <f t="shared" si="822"/>
        <v>3.9884</v>
      </c>
      <c r="I1244" s="7">
        <f t="shared" si="823"/>
        <v>19.8</v>
      </c>
      <c r="J1244" s="7">
        <f t="shared" si="824"/>
        <v>49.776</v>
      </c>
      <c r="K1244" s="7">
        <f t="shared" si="825"/>
        <v>1.132</v>
      </c>
      <c r="L1244" s="43">
        <f t="shared" si="826"/>
        <v>272.0092</v>
      </c>
      <c r="M1244" s="43">
        <f t="shared" si="827"/>
        <v>57.121932</v>
      </c>
      <c r="N1244" s="43">
        <f t="shared" si="828"/>
        <v>329.131132</v>
      </c>
    </row>
    <row r="1245" ht="15.75" customHeight="1">
      <c r="A1245" s="5" t="s">
        <v>18</v>
      </c>
      <c r="B1245" s="41">
        <v>5447.0</v>
      </c>
      <c r="C1245" s="41">
        <v>5500.0</v>
      </c>
      <c r="D1245" s="5">
        <f t="shared" si="819"/>
        <v>0.053</v>
      </c>
      <c r="E1245" s="5">
        <f t="shared" si="820"/>
        <v>39.14</v>
      </c>
      <c r="F1245" s="5">
        <v>55.0</v>
      </c>
      <c r="G1245" s="7">
        <f t="shared" si="821"/>
        <v>136.70396</v>
      </c>
      <c r="H1245" s="7">
        <f t="shared" si="822"/>
        <v>5.28463</v>
      </c>
      <c r="I1245" s="7">
        <f t="shared" si="823"/>
        <v>26.235</v>
      </c>
      <c r="J1245" s="7">
        <f t="shared" si="824"/>
        <v>65.9532</v>
      </c>
      <c r="K1245" s="7">
        <f t="shared" si="825"/>
        <v>1.4999</v>
      </c>
      <c r="L1245" s="43">
        <f t="shared" si="826"/>
        <v>329.81669</v>
      </c>
      <c r="M1245" s="43">
        <f t="shared" si="827"/>
        <v>69.2615049</v>
      </c>
      <c r="N1245" s="43">
        <f t="shared" si="828"/>
        <v>399.0781949</v>
      </c>
    </row>
    <row r="1246" ht="15.75" customHeight="1">
      <c r="A1246" s="40" t="s">
        <v>19</v>
      </c>
      <c r="B1246" s="41">
        <v>125460.0</v>
      </c>
      <c r="C1246" s="41">
        <v>126923.0</v>
      </c>
      <c r="D1246" s="5">
        <f t="shared" si="819"/>
        <v>1.463</v>
      </c>
      <c r="E1246" s="5">
        <v>169.69</v>
      </c>
      <c r="F1246" s="5">
        <v>78.05</v>
      </c>
      <c r="G1246" s="7">
        <f t="shared" si="821"/>
        <v>3773.54516</v>
      </c>
      <c r="H1246" s="7">
        <f t="shared" si="822"/>
        <v>145.87573</v>
      </c>
      <c r="I1246" s="7">
        <f t="shared" si="823"/>
        <v>724.185</v>
      </c>
      <c r="J1246" s="7">
        <f t="shared" si="824"/>
        <v>1820.5572</v>
      </c>
      <c r="K1246" s="7">
        <f t="shared" si="825"/>
        <v>41.4029</v>
      </c>
      <c r="L1246" s="43">
        <f t="shared" si="826"/>
        <v>6753.30599</v>
      </c>
      <c r="M1246" s="43">
        <f t="shared" si="827"/>
        <v>1418.194258</v>
      </c>
      <c r="N1246" s="43">
        <f t="shared" si="828"/>
        <v>8171.500248</v>
      </c>
    </row>
    <row r="1247" ht="15.75" customHeight="1">
      <c r="A1247" s="5" t="s">
        <v>30</v>
      </c>
      <c r="B1247" s="41">
        <v>630.0</v>
      </c>
      <c r="C1247" s="41">
        <v>792.0</v>
      </c>
      <c r="D1247" s="5">
        <f t="shared" si="819"/>
        <v>0.162</v>
      </c>
      <c r="E1247" s="5">
        <f t="shared" ref="E1247:E1248" si="829">29.8+9.34</f>
        <v>39.14</v>
      </c>
      <c r="F1247" s="5">
        <v>55.0</v>
      </c>
      <c r="G1247" s="7">
        <f t="shared" si="821"/>
        <v>417.84984</v>
      </c>
      <c r="H1247" s="7">
        <f t="shared" si="822"/>
        <v>16.15302</v>
      </c>
      <c r="I1247" s="7">
        <f t="shared" si="823"/>
        <v>80.19</v>
      </c>
      <c r="J1247" s="7">
        <f t="shared" si="824"/>
        <v>201.5928</v>
      </c>
      <c r="K1247" s="7">
        <f t="shared" si="825"/>
        <v>4.5846</v>
      </c>
      <c r="L1247" s="43">
        <f t="shared" si="826"/>
        <v>814.51026</v>
      </c>
      <c r="M1247" s="43">
        <f t="shared" si="827"/>
        <v>171.0471546</v>
      </c>
      <c r="N1247" s="43">
        <f t="shared" si="828"/>
        <v>985.5574146</v>
      </c>
    </row>
    <row r="1248" ht="15.75" customHeight="1">
      <c r="A1248" s="5" t="s">
        <v>31</v>
      </c>
      <c r="B1248" s="41">
        <v>3203.0</v>
      </c>
      <c r="C1248" s="41">
        <v>4034.0</v>
      </c>
      <c r="D1248" s="5">
        <f t="shared" si="819"/>
        <v>0.831</v>
      </c>
      <c r="E1248" s="5">
        <f t="shared" si="829"/>
        <v>39.14</v>
      </c>
      <c r="F1248" s="5">
        <v>55.0</v>
      </c>
      <c r="G1248" s="7">
        <f t="shared" si="821"/>
        <v>2143.41492</v>
      </c>
      <c r="H1248" s="7">
        <f t="shared" si="822"/>
        <v>82.85901</v>
      </c>
      <c r="I1248" s="7">
        <f t="shared" si="823"/>
        <v>411.345</v>
      </c>
      <c r="J1248" s="7">
        <f t="shared" si="824"/>
        <v>1034.0964</v>
      </c>
      <c r="K1248" s="7">
        <f t="shared" si="825"/>
        <v>23.5173</v>
      </c>
      <c r="L1248" s="44">
        <f t="shared" si="826"/>
        <v>3789.37263</v>
      </c>
      <c r="M1248" s="43">
        <f t="shared" si="827"/>
        <v>795.7682523</v>
      </c>
      <c r="N1248" s="43">
        <f t="shared" si="828"/>
        <v>4585.140882</v>
      </c>
    </row>
    <row r="1249" ht="15.75" customHeight="1">
      <c r="A1249" s="5"/>
      <c r="B1249" s="4"/>
      <c r="C1249" s="4"/>
      <c r="D1249" s="5"/>
      <c r="G1249" s="5"/>
      <c r="L1249" s="45">
        <f>SUM(L1238:L1248)</f>
        <v>14004.61586</v>
      </c>
      <c r="M1249" s="46">
        <f t="shared" si="827"/>
        <v>2940.969331</v>
      </c>
      <c r="N1249" s="46">
        <f t="shared" si="828"/>
        <v>16945.58519</v>
      </c>
    </row>
    <row r="1250" ht="15.75" customHeight="1">
      <c r="A1250" s="5"/>
      <c r="B1250" s="4"/>
      <c r="C1250" s="4"/>
      <c r="D1250" s="5">
        <f>SUM(D1238:D1248)</f>
        <v>2.882</v>
      </c>
      <c r="G1250" s="5"/>
    </row>
    <row r="1251" ht="15.75" customHeight="1">
      <c r="A1251" s="5"/>
      <c r="B1251" s="4"/>
      <c r="C1251" s="4"/>
      <c r="D1251" s="5"/>
      <c r="G1251" s="5"/>
      <c r="I1251" s="15" t="s">
        <v>66</v>
      </c>
      <c r="L1251" s="15">
        <v>1700.0</v>
      </c>
    </row>
    <row r="1252" ht="15.75" customHeight="1">
      <c r="A1252" s="5" t="s">
        <v>68</v>
      </c>
      <c r="B1252" s="4">
        <v>100573.0</v>
      </c>
      <c r="C1252" s="4"/>
      <c r="D1252" s="5">
        <f>(C1252-B1252)/1000</f>
        <v>-100.573</v>
      </c>
      <c r="G1252" s="5"/>
      <c r="I1252" s="15" t="s">
        <v>67</v>
      </c>
      <c r="L1252" s="47">
        <f>L1249-L1251</f>
        <v>12304.61586</v>
      </c>
    </row>
    <row r="1253" ht="15.75" customHeight="1">
      <c r="A1253" s="5"/>
      <c r="C1253" s="4"/>
      <c r="D1253" s="5"/>
      <c r="G1253" s="5"/>
    </row>
    <row r="1254" ht="15.75" customHeight="1">
      <c r="A1254" s="5"/>
      <c r="C1254" s="4"/>
      <c r="D1254" s="5"/>
      <c r="G1254" s="5"/>
    </row>
    <row r="1255" ht="15.75" customHeight="1">
      <c r="A1255" s="5"/>
      <c r="C1255" s="4"/>
      <c r="D1255" s="5"/>
      <c r="G1255" s="5"/>
    </row>
    <row r="1256" ht="15.75" customHeight="1">
      <c r="A1256" s="5"/>
      <c r="C1256" s="4"/>
      <c r="D1256" s="5"/>
      <c r="G1256" s="5"/>
    </row>
    <row r="1257" ht="15.75" customHeight="1">
      <c r="A1257" s="5" t="s">
        <v>82</v>
      </c>
      <c r="C1257" s="4"/>
      <c r="D1257" s="5"/>
      <c r="G1257" s="5"/>
    </row>
    <row r="1258" ht="15.75" customHeight="1">
      <c r="A1258" s="1"/>
      <c r="C1258" s="4"/>
      <c r="D1258" s="5"/>
      <c r="G1258" s="5"/>
    </row>
    <row r="1259" ht="15.75" customHeight="1">
      <c r="A1259" s="5" t="s">
        <v>11</v>
      </c>
      <c r="B1259" s="41">
        <v>5917.0</v>
      </c>
      <c r="C1259" s="41">
        <v>5968.0</v>
      </c>
      <c r="D1259" s="5">
        <f t="shared" ref="D1259:D1269" si="830">(C1259-B1259)/1000</f>
        <v>0.051</v>
      </c>
      <c r="E1259" s="5">
        <f t="shared" ref="E1259:E1266" si="831">29.8+9.34</f>
        <v>39.14</v>
      </c>
      <c r="F1259" s="5">
        <v>55.0</v>
      </c>
      <c r="G1259" s="7">
        <f t="shared" ref="G1259:G1269" si="832">D1259*$G$2</f>
        <v>131.54532</v>
      </c>
      <c r="H1259" s="7">
        <f t="shared" ref="H1259:H1269" si="833">D1259*$H$2</f>
        <v>5.08521</v>
      </c>
      <c r="I1259" s="7">
        <f t="shared" ref="I1259:I1269" si="834">D1259*$I$2</f>
        <v>25.245</v>
      </c>
      <c r="J1259" s="7">
        <f t="shared" ref="J1259:J1269" si="835">D1259*$J$2</f>
        <v>63.4644</v>
      </c>
      <c r="K1259" s="7">
        <f t="shared" ref="K1259:K1269" si="836">D1259*$K$2</f>
        <v>1.4433</v>
      </c>
      <c r="L1259" s="43">
        <f t="shared" ref="L1259:L1269" si="837">SUM(E1259:K1259)</f>
        <v>320.92323</v>
      </c>
      <c r="M1259" s="43">
        <f t="shared" ref="M1259:M1270" si="838">L1259*0.21</f>
        <v>67.3938783</v>
      </c>
      <c r="N1259" s="43">
        <f t="shared" ref="N1259:N1270" si="839">L1259+M1259</f>
        <v>388.3171083</v>
      </c>
    </row>
    <row r="1260" ht="15.75" customHeight="1">
      <c r="A1260" s="5" t="s">
        <v>12</v>
      </c>
      <c r="B1260" s="41">
        <v>4467.0</v>
      </c>
      <c r="C1260" s="41">
        <v>4520.0</v>
      </c>
      <c r="D1260" s="5">
        <f t="shared" si="830"/>
        <v>0.053</v>
      </c>
      <c r="E1260" s="5">
        <f t="shared" si="831"/>
        <v>39.14</v>
      </c>
      <c r="F1260" s="5">
        <v>55.0</v>
      </c>
      <c r="G1260" s="7">
        <f t="shared" si="832"/>
        <v>136.70396</v>
      </c>
      <c r="H1260" s="7">
        <f t="shared" si="833"/>
        <v>5.28463</v>
      </c>
      <c r="I1260" s="7">
        <f t="shared" si="834"/>
        <v>26.235</v>
      </c>
      <c r="J1260" s="7">
        <f t="shared" si="835"/>
        <v>65.9532</v>
      </c>
      <c r="K1260" s="7">
        <f t="shared" si="836"/>
        <v>1.4999</v>
      </c>
      <c r="L1260" s="43">
        <f t="shared" si="837"/>
        <v>329.81669</v>
      </c>
      <c r="M1260" s="43">
        <f t="shared" si="838"/>
        <v>69.2615049</v>
      </c>
      <c r="N1260" s="43">
        <f t="shared" si="839"/>
        <v>399.0781949</v>
      </c>
    </row>
    <row r="1261" ht="15.75" customHeight="1">
      <c r="A1261" s="5" t="s">
        <v>13</v>
      </c>
      <c r="B1261" s="41">
        <v>6111.0</v>
      </c>
      <c r="C1261" s="41">
        <v>6183.0</v>
      </c>
      <c r="D1261" s="5">
        <f t="shared" si="830"/>
        <v>0.072</v>
      </c>
      <c r="E1261" s="5">
        <f t="shared" si="831"/>
        <v>39.14</v>
      </c>
      <c r="F1261" s="5">
        <v>55.0</v>
      </c>
      <c r="G1261" s="7">
        <f t="shared" si="832"/>
        <v>185.71104</v>
      </c>
      <c r="H1261" s="7">
        <f t="shared" si="833"/>
        <v>7.17912</v>
      </c>
      <c r="I1261" s="7">
        <f t="shared" si="834"/>
        <v>35.64</v>
      </c>
      <c r="J1261" s="7">
        <f t="shared" si="835"/>
        <v>89.5968</v>
      </c>
      <c r="K1261" s="7">
        <f t="shared" si="836"/>
        <v>2.0376</v>
      </c>
      <c r="L1261" s="43">
        <f t="shared" si="837"/>
        <v>414.30456</v>
      </c>
      <c r="M1261" s="43">
        <f t="shared" si="838"/>
        <v>87.0039576</v>
      </c>
      <c r="N1261" s="43">
        <f t="shared" si="839"/>
        <v>501.3085176</v>
      </c>
    </row>
    <row r="1262" ht="15.75" customHeight="1">
      <c r="A1262" s="5" t="s">
        <v>14</v>
      </c>
      <c r="B1262" s="41">
        <v>4324.0</v>
      </c>
      <c r="C1262" s="41">
        <v>4362.0</v>
      </c>
      <c r="D1262" s="5">
        <f t="shared" si="830"/>
        <v>0.038</v>
      </c>
      <c r="E1262" s="5">
        <f t="shared" si="831"/>
        <v>39.14</v>
      </c>
      <c r="F1262" s="5">
        <v>55.0</v>
      </c>
      <c r="G1262" s="7">
        <f t="shared" si="832"/>
        <v>98.01416</v>
      </c>
      <c r="H1262" s="7">
        <f t="shared" si="833"/>
        <v>3.78898</v>
      </c>
      <c r="I1262" s="7">
        <f t="shared" si="834"/>
        <v>18.81</v>
      </c>
      <c r="J1262" s="7">
        <f t="shared" si="835"/>
        <v>47.2872</v>
      </c>
      <c r="K1262" s="7">
        <f t="shared" si="836"/>
        <v>1.0754</v>
      </c>
      <c r="L1262" s="43">
        <f t="shared" si="837"/>
        <v>263.11574</v>
      </c>
      <c r="M1262" s="43">
        <f t="shared" si="838"/>
        <v>55.2543054</v>
      </c>
      <c r="N1262" s="43">
        <f t="shared" si="839"/>
        <v>318.3700454</v>
      </c>
    </row>
    <row r="1263" ht="15.75" customHeight="1">
      <c r="A1263" s="5" t="s">
        <v>15</v>
      </c>
      <c r="B1263" s="41">
        <v>5280.0</v>
      </c>
      <c r="C1263" s="41">
        <v>5324.0</v>
      </c>
      <c r="D1263" s="5">
        <f t="shared" si="830"/>
        <v>0.044</v>
      </c>
      <c r="E1263" s="5">
        <f t="shared" si="831"/>
        <v>39.14</v>
      </c>
      <c r="F1263" s="5">
        <v>55.0</v>
      </c>
      <c r="G1263" s="7">
        <f t="shared" si="832"/>
        <v>113.49008</v>
      </c>
      <c r="H1263" s="7">
        <f t="shared" si="833"/>
        <v>4.38724</v>
      </c>
      <c r="I1263" s="7">
        <f t="shared" si="834"/>
        <v>21.78</v>
      </c>
      <c r="J1263" s="7">
        <f t="shared" si="835"/>
        <v>54.7536</v>
      </c>
      <c r="K1263" s="7">
        <f t="shared" si="836"/>
        <v>1.2452</v>
      </c>
      <c r="L1263" s="43">
        <f t="shared" si="837"/>
        <v>289.79612</v>
      </c>
      <c r="M1263" s="43">
        <f t="shared" si="838"/>
        <v>60.8571852</v>
      </c>
      <c r="N1263" s="43">
        <f t="shared" si="839"/>
        <v>350.6533052</v>
      </c>
    </row>
    <row r="1264" ht="15.75" customHeight="1">
      <c r="A1264" s="5" t="s">
        <v>16</v>
      </c>
      <c r="B1264" s="41">
        <v>3829.0</v>
      </c>
      <c r="C1264" s="41">
        <v>3876.0</v>
      </c>
      <c r="D1264" s="5">
        <f t="shared" si="830"/>
        <v>0.047</v>
      </c>
      <c r="E1264" s="5">
        <f t="shared" si="831"/>
        <v>39.14</v>
      </c>
      <c r="F1264" s="5">
        <v>55.0</v>
      </c>
      <c r="G1264" s="7">
        <f t="shared" si="832"/>
        <v>121.22804</v>
      </c>
      <c r="H1264" s="7">
        <f t="shared" si="833"/>
        <v>4.68637</v>
      </c>
      <c r="I1264" s="7">
        <f t="shared" si="834"/>
        <v>23.265</v>
      </c>
      <c r="J1264" s="7">
        <f t="shared" si="835"/>
        <v>58.4868</v>
      </c>
      <c r="K1264" s="7">
        <f t="shared" si="836"/>
        <v>1.3301</v>
      </c>
      <c r="L1264" s="43">
        <f t="shared" si="837"/>
        <v>303.13631</v>
      </c>
      <c r="M1264" s="43">
        <f t="shared" si="838"/>
        <v>63.6586251</v>
      </c>
      <c r="N1264" s="43">
        <f t="shared" si="839"/>
        <v>366.7949351</v>
      </c>
    </row>
    <row r="1265" ht="15.75" customHeight="1">
      <c r="A1265" s="5" t="s">
        <v>17</v>
      </c>
      <c r="B1265" s="41">
        <v>5390.0</v>
      </c>
      <c r="C1265" s="41">
        <v>5492.0</v>
      </c>
      <c r="D1265" s="5">
        <f t="shared" si="830"/>
        <v>0.102</v>
      </c>
      <c r="E1265" s="5">
        <f t="shared" si="831"/>
        <v>39.14</v>
      </c>
      <c r="F1265" s="5">
        <v>55.0</v>
      </c>
      <c r="G1265" s="7">
        <f t="shared" si="832"/>
        <v>263.09064</v>
      </c>
      <c r="H1265" s="7">
        <f t="shared" si="833"/>
        <v>10.17042</v>
      </c>
      <c r="I1265" s="7">
        <f t="shared" si="834"/>
        <v>50.49</v>
      </c>
      <c r="J1265" s="7">
        <f t="shared" si="835"/>
        <v>126.9288</v>
      </c>
      <c r="K1265" s="7">
        <f t="shared" si="836"/>
        <v>2.8866</v>
      </c>
      <c r="L1265" s="43">
        <f t="shared" si="837"/>
        <v>547.70646</v>
      </c>
      <c r="M1265" s="43">
        <f t="shared" si="838"/>
        <v>115.0183566</v>
      </c>
      <c r="N1265" s="43">
        <f t="shared" si="839"/>
        <v>662.7248166</v>
      </c>
    </row>
    <row r="1266" ht="15.75" customHeight="1">
      <c r="A1266" s="5" t="s">
        <v>18</v>
      </c>
      <c r="B1266" s="41">
        <v>5500.0</v>
      </c>
      <c r="C1266" s="41">
        <v>5577.0</v>
      </c>
      <c r="D1266" s="5">
        <f t="shared" si="830"/>
        <v>0.077</v>
      </c>
      <c r="E1266" s="5">
        <f t="shared" si="831"/>
        <v>39.14</v>
      </c>
      <c r="F1266" s="5">
        <v>55.0</v>
      </c>
      <c r="G1266" s="7">
        <f t="shared" si="832"/>
        <v>198.60764</v>
      </c>
      <c r="H1266" s="7">
        <f t="shared" si="833"/>
        <v>7.67767</v>
      </c>
      <c r="I1266" s="7">
        <f t="shared" si="834"/>
        <v>38.115</v>
      </c>
      <c r="J1266" s="7">
        <f t="shared" si="835"/>
        <v>95.8188</v>
      </c>
      <c r="K1266" s="7">
        <f t="shared" si="836"/>
        <v>2.1791</v>
      </c>
      <c r="L1266" s="43">
        <f t="shared" si="837"/>
        <v>436.53821</v>
      </c>
      <c r="M1266" s="43">
        <f t="shared" si="838"/>
        <v>91.6730241</v>
      </c>
      <c r="N1266" s="43">
        <f t="shared" si="839"/>
        <v>528.2112341</v>
      </c>
    </row>
    <row r="1267" ht="15.75" customHeight="1">
      <c r="A1267" s="40" t="s">
        <v>19</v>
      </c>
      <c r="B1267" s="41">
        <v>126923.0</v>
      </c>
      <c r="C1267" s="41">
        <v>128181.0</v>
      </c>
      <c r="D1267" s="5">
        <f t="shared" si="830"/>
        <v>1.258</v>
      </c>
      <c r="E1267" s="5">
        <v>169.69</v>
      </c>
      <c r="F1267" s="5">
        <v>78.05</v>
      </c>
      <c r="G1267" s="7">
        <f t="shared" si="832"/>
        <v>3244.78456</v>
      </c>
      <c r="H1267" s="7">
        <f t="shared" si="833"/>
        <v>125.43518</v>
      </c>
      <c r="I1267" s="7">
        <f t="shared" si="834"/>
        <v>622.71</v>
      </c>
      <c r="J1267" s="7">
        <f t="shared" si="835"/>
        <v>1565.4552</v>
      </c>
      <c r="K1267" s="7">
        <f t="shared" si="836"/>
        <v>35.6014</v>
      </c>
      <c r="L1267" s="43">
        <f t="shared" si="837"/>
        <v>5841.72634</v>
      </c>
      <c r="M1267" s="43">
        <f t="shared" si="838"/>
        <v>1226.762531</v>
      </c>
      <c r="N1267" s="43">
        <f t="shared" si="839"/>
        <v>7068.488871</v>
      </c>
    </row>
    <row r="1268" ht="15.75" customHeight="1">
      <c r="A1268" s="5" t="s">
        <v>30</v>
      </c>
      <c r="B1268" s="41">
        <v>792.0</v>
      </c>
      <c r="C1268" s="41">
        <v>959.0</v>
      </c>
      <c r="D1268" s="5">
        <f t="shared" si="830"/>
        <v>0.167</v>
      </c>
      <c r="E1268" s="5">
        <f t="shared" ref="E1268:E1269" si="840">29.8+9.34</f>
        <v>39.14</v>
      </c>
      <c r="F1268" s="5">
        <v>55.0</v>
      </c>
      <c r="G1268" s="7">
        <f t="shared" si="832"/>
        <v>430.74644</v>
      </c>
      <c r="H1268" s="7">
        <f t="shared" si="833"/>
        <v>16.65157</v>
      </c>
      <c r="I1268" s="7">
        <f t="shared" si="834"/>
        <v>82.665</v>
      </c>
      <c r="J1268" s="7">
        <f t="shared" si="835"/>
        <v>207.8148</v>
      </c>
      <c r="K1268" s="7">
        <f t="shared" si="836"/>
        <v>4.7261</v>
      </c>
      <c r="L1268" s="43">
        <f t="shared" si="837"/>
        <v>836.74391</v>
      </c>
      <c r="M1268" s="43">
        <f t="shared" si="838"/>
        <v>175.7162211</v>
      </c>
      <c r="N1268" s="43">
        <f t="shared" si="839"/>
        <v>1012.460131</v>
      </c>
    </row>
    <row r="1269" ht="15.75" customHeight="1">
      <c r="A1269" s="5" t="s">
        <v>31</v>
      </c>
      <c r="B1269" s="41">
        <v>4034.0</v>
      </c>
      <c r="C1269" s="41">
        <v>4887.0</v>
      </c>
      <c r="D1269" s="5">
        <f t="shared" si="830"/>
        <v>0.853</v>
      </c>
      <c r="E1269" s="5">
        <f t="shared" si="840"/>
        <v>39.14</v>
      </c>
      <c r="F1269" s="5">
        <v>55.0</v>
      </c>
      <c r="G1269" s="7">
        <f t="shared" si="832"/>
        <v>2200.15996</v>
      </c>
      <c r="H1269" s="7">
        <f t="shared" si="833"/>
        <v>85.05263</v>
      </c>
      <c r="I1269" s="7">
        <f t="shared" si="834"/>
        <v>422.235</v>
      </c>
      <c r="J1269" s="7">
        <f t="shared" si="835"/>
        <v>1061.4732</v>
      </c>
      <c r="K1269" s="7">
        <f t="shared" si="836"/>
        <v>24.1399</v>
      </c>
      <c r="L1269" s="44">
        <f t="shared" si="837"/>
        <v>3887.20069</v>
      </c>
      <c r="M1269" s="43">
        <f t="shared" si="838"/>
        <v>816.3121449</v>
      </c>
      <c r="N1269" s="43">
        <f t="shared" si="839"/>
        <v>4703.512835</v>
      </c>
    </row>
    <row r="1270" ht="15.75" customHeight="1">
      <c r="A1270" s="5"/>
      <c r="B1270" s="4"/>
      <c r="C1270" s="4"/>
      <c r="D1270" s="5"/>
      <c r="G1270" s="5"/>
      <c r="L1270" s="45">
        <f>SUM(L1259:L1269)</f>
        <v>13471.00826</v>
      </c>
      <c r="M1270" s="46">
        <f t="shared" si="838"/>
        <v>2828.911735</v>
      </c>
      <c r="N1270" s="46">
        <f t="shared" si="839"/>
        <v>16299.91999</v>
      </c>
    </row>
    <row r="1271" ht="15.75" customHeight="1">
      <c r="A1271" s="5"/>
      <c r="B1271" s="4"/>
      <c r="C1271" s="4"/>
      <c r="D1271" s="5">
        <f>SUM(D1259:D1269)</f>
        <v>2.762</v>
      </c>
      <c r="G1271" s="5"/>
    </row>
    <row r="1272" ht="15.75" customHeight="1">
      <c r="A1272" s="5"/>
      <c r="B1272" s="4"/>
      <c r="C1272" s="4"/>
      <c r="D1272" s="5"/>
      <c r="G1272" s="5"/>
      <c r="I1272" s="15" t="s">
        <v>66</v>
      </c>
      <c r="L1272" s="15">
        <v>1700.0</v>
      </c>
    </row>
    <row r="1273" ht="15.75" customHeight="1">
      <c r="A1273" s="5" t="s">
        <v>68</v>
      </c>
      <c r="B1273" s="4">
        <v>100573.0</v>
      </c>
      <c r="C1273" s="4"/>
      <c r="D1273" s="5">
        <f>(C1273-B1273)/1000</f>
        <v>-100.573</v>
      </c>
      <c r="G1273" s="5"/>
      <c r="I1273" s="15" t="s">
        <v>67</v>
      </c>
      <c r="L1273" s="47">
        <f>L1270-L1272</f>
        <v>11771.00826</v>
      </c>
    </row>
    <row r="1274" ht="15.75" customHeight="1">
      <c r="A1274" s="5"/>
      <c r="C1274" s="4"/>
      <c r="D1274" s="5"/>
      <c r="G1274" s="5"/>
    </row>
    <row r="1275" ht="15.75" customHeight="1">
      <c r="A1275" s="5"/>
      <c r="C1275" s="4"/>
      <c r="D1275" s="5"/>
      <c r="G1275" s="5"/>
    </row>
    <row r="1276" ht="15.75" customHeight="1">
      <c r="A1276" s="5"/>
      <c r="C1276" s="4"/>
      <c r="D1276" s="5"/>
      <c r="G1276" s="5"/>
    </row>
    <row r="1277" ht="15.75" customHeight="1">
      <c r="A1277" s="5"/>
      <c r="C1277" s="4"/>
      <c r="D1277" s="5"/>
      <c r="G1277" s="5"/>
    </row>
    <row r="1278" ht="15.75" customHeight="1">
      <c r="A1278" s="5" t="s">
        <v>10</v>
      </c>
      <c r="C1278" s="4"/>
      <c r="D1278" s="5"/>
      <c r="G1278" s="5"/>
    </row>
    <row r="1279" ht="15.75" customHeight="1">
      <c r="A1279" s="1"/>
      <c r="C1279" s="4"/>
      <c r="D1279" s="5"/>
      <c r="G1279" s="5"/>
    </row>
    <row r="1280" ht="15.75" customHeight="1">
      <c r="A1280" s="5" t="s">
        <v>11</v>
      </c>
      <c r="B1280" s="41">
        <v>5968.0</v>
      </c>
      <c r="C1280" s="41">
        <v>6052.0</v>
      </c>
      <c r="D1280" s="5">
        <f t="shared" ref="D1280:D1290" si="841">(C1280-B1280)/1000</f>
        <v>0.084</v>
      </c>
      <c r="E1280" s="5">
        <f t="shared" ref="E1280:E1287" si="842">29.8+9.34</f>
        <v>39.14</v>
      </c>
      <c r="F1280" s="5">
        <v>55.0</v>
      </c>
      <c r="G1280" s="7">
        <f t="shared" ref="G1280:G1290" si="843">D1280*$G$2</f>
        <v>216.66288</v>
      </c>
      <c r="H1280" s="7">
        <f t="shared" ref="H1280:H1290" si="844">D1280*$H$2</f>
        <v>8.37564</v>
      </c>
      <c r="I1280" s="7">
        <f t="shared" ref="I1280:I1290" si="845">D1280*$I$2</f>
        <v>41.58</v>
      </c>
      <c r="J1280" s="7">
        <f t="shared" ref="J1280:J1290" si="846">D1280*$J$2</f>
        <v>104.5296</v>
      </c>
      <c r="K1280" s="7">
        <f t="shared" ref="K1280:K1290" si="847">D1280*$K$2</f>
        <v>2.3772</v>
      </c>
      <c r="L1280" s="43">
        <f t="shared" ref="L1280:L1290" si="848">SUM(E1280:K1280)</f>
        <v>467.66532</v>
      </c>
      <c r="M1280" s="43">
        <f t="shared" ref="M1280:M1291" si="849">L1280*0.21</f>
        <v>98.2097172</v>
      </c>
      <c r="N1280" s="43">
        <f t="shared" ref="N1280:N1291" si="850">L1280+M1280</f>
        <v>565.8750372</v>
      </c>
    </row>
    <row r="1281" ht="15.75" customHeight="1">
      <c r="A1281" s="5" t="s">
        <v>12</v>
      </c>
      <c r="B1281" s="41">
        <v>4520.0</v>
      </c>
      <c r="C1281" s="41">
        <v>4589.0</v>
      </c>
      <c r="D1281" s="5">
        <f t="shared" si="841"/>
        <v>0.069</v>
      </c>
      <c r="E1281" s="5">
        <f t="shared" si="842"/>
        <v>39.14</v>
      </c>
      <c r="F1281" s="5">
        <v>55.0</v>
      </c>
      <c r="G1281" s="7">
        <f t="shared" si="843"/>
        <v>177.97308</v>
      </c>
      <c r="H1281" s="7">
        <f t="shared" si="844"/>
        <v>6.87999</v>
      </c>
      <c r="I1281" s="7">
        <f t="shared" si="845"/>
        <v>34.155</v>
      </c>
      <c r="J1281" s="7">
        <f t="shared" si="846"/>
        <v>85.8636</v>
      </c>
      <c r="K1281" s="7">
        <f t="shared" si="847"/>
        <v>1.9527</v>
      </c>
      <c r="L1281" s="43">
        <f t="shared" si="848"/>
        <v>400.96437</v>
      </c>
      <c r="M1281" s="43">
        <f t="shared" si="849"/>
        <v>84.2025177</v>
      </c>
      <c r="N1281" s="43">
        <f t="shared" si="850"/>
        <v>485.1668877</v>
      </c>
    </row>
    <row r="1282" ht="15.75" customHeight="1">
      <c r="A1282" s="5" t="s">
        <v>13</v>
      </c>
      <c r="B1282" s="41">
        <v>6183.0</v>
      </c>
      <c r="C1282" s="41">
        <v>6262.0</v>
      </c>
      <c r="D1282" s="5">
        <f t="shared" si="841"/>
        <v>0.079</v>
      </c>
      <c r="E1282" s="5">
        <f t="shared" si="842"/>
        <v>39.14</v>
      </c>
      <c r="F1282" s="5">
        <v>55.0</v>
      </c>
      <c r="G1282" s="7">
        <f t="shared" si="843"/>
        <v>203.76628</v>
      </c>
      <c r="H1282" s="7">
        <f t="shared" si="844"/>
        <v>7.87709</v>
      </c>
      <c r="I1282" s="7">
        <f t="shared" si="845"/>
        <v>39.105</v>
      </c>
      <c r="J1282" s="7">
        <f t="shared" si="846"/>
        <v>98.3076</v>
      </c>
      <c r="K1282" s="7">
        <f t="shared" si="847"/>
        <v>2.2357</v>
      </c>
      <c r="L1282" s="43">
        <f t="shared" si="848"/>
        <v>445.43167</v>
      </c>
      <c r="M1282" s="43">
        <f t="shared" si="849"/>
        <v>93.5406507</v>
      </c>
      <c r="N1282" s="43">
        <f t="shared" si="850"/>
        <v>538.9723207</v>
      </c>
    </row>
    <row r="1283" ht="15.75" customHeight="1">
      <c r="A1283" s="5" t="s">
        <v>14</v>
      </c>
      <c r="B1283" s="41">
        <v>4362.0</v>
      </c>
      <c r="C1283" s="41">
        <v>4434.0</v>
      </c>
      <c r="D1283" s="5">
        <f t="shared" si="841"/>
        <v>0.072</v>
      </c>
      <c r="E1283" s="5">
        <f t="shared" si="842"/>
        <v>39.14</v>
      </c>
      <c r="F1283" s="5">
        <v>55.0</v>
      </c>
      <c r="G1283" s="7">
        <f t="shared" si="843"/>
        <v>185.71104</v>
      </c>
      <c r="H1283" s="7">
        <f t="shared" si="844"/>
        <v>7.17912</v>
      </c>
      <c r="I1283" s="7">
        <f t="shared" si="845"/>
        <v>35.64</v>
      </c>
      <c r="J1283" s="7">
        <f t="shared" si="846"/>
        <v>89.5968</v>
      </c>
      <c r="K1283" s="7">
        <f t="shared" si="847"/>
        <v>2.0376</v>
      </c>
      <c r="L1283" s="43">
        <f t="shared" si="848"/>
        <v>414.30456</v>
      </c>
      <c r="M1283" s="43">
        <f t="shared" si="849"/>
        <v>87.0039576</v>
      </c>
      <c r="N1283" s="43">
        <f t="shared" si="850"/>
        <v>501.3085176</v>
      </c>
    </row>
    <row r="1284" ht="15.75" customHeight="1">
      <c r="A1284" s="5" t="s">
        <v>15</v>
      </c>
      <c r="B1284" s="41">
        <v>5324.0</v>
      </c>
      <c r="C1284" s="41">
        <v>5402.0</v>
      </c>
      <c r="D1284" s="5">
        <f t="shared" si="841"/>
        <v>0.078</v>
      </c>
      <c r="E1284" s="5">
        <f t="shared" si="842"/>
        <v>39.14</v>
      </c>
      <c r="F1284" s="5">
        <v>55.0</v>
      </c>
      <c r="G1284" s="7">
        <f t="shared" si="843"/>
        <v>201.18696</v>
      </c>
      <c r="H1284" s="7">
        <f t="shared" si="844"/>
        <v>7.77738</v>
      </c>
      <c r="I1284" s="7">
        <f t="shared" si="845"/>
        <v>38.61</v>
      </c>
      <c r="J1284" s="7">
        <f t="shared" si="846"/>
        <v>97.0632</v>
      </c>
      <c r="K1284" s="7">
        <f t="shared" si="847"/>
        <v>2.2074</v>
      </c>
      <c r="L1284" s="43">
        <f t="shared" si="848"/>
        <v>440.98494</v>
      </c>
      <c r="M1284" s="43">
        <f t="shared" si="849"/>
        <v>92.6068374</v>
      </c>
      <c r="N1284" s="43">
        <f t="shared" si="850"/>
        <v>533.5917774</v>
      </c>
    </row>
    <row r="1285" ht="15.75" customHeight="1">
      <c r="A1285" s="5" t="s">
        <v>16</v>
      </c>
      <c r="B1285" s="41">
        <v>3876.0</v>
      </c>
      <c r="C1285" s="41">
        <v>3931.0</v>
      </c>
      <c r="D1285" s="5">
        <f t="shared" si="841"/>
        <v>0.055</v>
      </c>
      <c r="E1285" s="5">
        <f t="shared" si="842"/>
        <v>39.14</v>
      </c>
      <c r="F1285" s="5">
        <v>55.0</v>
      </c>
      <c r="G1285" s="7">
        <f t="shared" si="843"/>
        <v>141.8626</v>
      </c>
      <c r="H1285" s="7">
        <f t="shared" si="844"/>
        <v>5.48405</v>
      </c>
      <c r="I1285" s="7">
        <f t="shared" si="845"/>
        <v>27.225</v>
      </c>
      <c r="J1285" s="7">
        <f t="shared" si="846"/>
        <v>68.442</v>
      </c>
      <c r="K1285" s="7">
        <f t="shared" si="847"/>
        <v>1.5565</v>
      </c>
      <c r="L1285" s="43">
        <f t="shared" si="848"/>
        <v>338.71015</v>
      </c>
      <c r="M1285" s="43">
        <f t="shared" si="849"/>
        <v>71.1291315</v>
      </c>
      <c r="N1285" s="43">
        <f t="shared" si="850"/>
        <v>409.8392815</v>
      </c>
    </row>
    <row r="1286" ht="15.75" customHeight="1">
      <c r="A1286" s="5" t="s">
        <v>17</v>
      </c>
      <c r="B1286" s="41">
        <v>5492.0</v>
      </c>
      <c r="C1286" s="41">
        <v>5640.0</v>
      </c>
      <c r="D1286" s="5">
        <f t="shared" si="841"/>
        <v>0.148</v>
      </c>
      <c r="E1286" s="5">
        <f t="shared" si="842"/>
        <v>39.14</v>
      </c>
      <c r="F1286" s="5">
        <v>55.0</v>
      </c>
      <c r="G1286" s="7">
        <f t="shared" si="843"/>
        <v>381.73936</v>
      </c>
      <c r="H1286" s="7">
        <f t="shared" si="844"/>
        <v>14.75708</v>
      </c>
      <c r="I1286" s="7">
        <f t="shared" si="845"/>
        <v>73.26</v>
      </c>
      <c r="J1286" s="7">
        <f t="shared" si="846"/>
        <v>184.1712</v>
      </c>
      <c r="K1286" s="7">
        <f t="shared" si="847"/>
        <v>4.1884</v>
      </c>
      <c r="L1286" s="43">
        <f t="shared" si="848"/>
        <v>752.25604</v>
      </c>
      <c r="M1286" s="43">
        <f t="shared" si="849"/>
        <v>157.9737684</v>
      </c>
      <c r="N1286" s="43">
        <f t="shared" si="850"/>
        <v>910.2298084</v>
      </c>
    </row>
    <row r="1287" ht="15.75" customHeight="1">
      <c r="A1287" s="5" t="s">
        <v>18</v>
      </c>
      <c r="B1287" s="41">
        <v>5577.0</v>
      </c>
      <c r="C1287" s="41">
        <v>5701.0</v>
      </c>
      <c r="D1287" s="5">
        <f t="shared" si="841"/>
        <v>0.124</v>
      </c>
      <c r="E1287" s="5">
        <f t="shared" si="842"/>
        <v>39.14</v>
      </c>
      <c r="F1287" s="5">
        <v>55.0</v>
      </c>
      <c r="G1287" s="7">
        <f t="shared" si="843"/>
        <v>319.83568</v>
      </c>
      <c r="H1287" s="7">
        <f t="shared" si="844"/>
        <v>12.36404</v>
      </c>
      <c r="I1287" s="7">
        <f t="shared" si="845"/>
        <v>61.38</v>
      </c>
      <c r="J1287" s="7">
        <f t="shared" si="846"/>
        <v>154.3056</v>
      </c>
      <c r="K1287" s="7">
        <f t="shared" si="847"/>
        <v>3.5092</v>
      </c>
      <c r="L1287" s="43">
        <f t="shared" si="848"/>
        <v>645.53452</v>
      </c>
      <c r="M1287" s="43">
        <f t="shared" si="849"/>
        <v>135.5622492</v>
      </c>
      <c r="N1287" s="43">
        <f t="shared" si="850"/>
        <v>781.0967692</v>
      </c>
    </row>
    <row r="1288" ht="15.75" customHeight="1">
      <c r="A1288" s="40" t="s">
        <v>19</v>
      </c>
      <c r="B1288" s="41">
        <v>128181.0</v>
      </c>
      <c r="C1288" s="41">
        <v>129813.0</v>
      </c>
      <c r="D1288" s="5">
        <f t="shared" si="841"/>
        <v>1.632</v>
      </c>
      <c r="E1288" s="5">
        <v>169.69</v>
      </c>
      <c r="F1288" s="5">
        <v>78.05</v>
      </c>
      <c r="G1288" s="7">
        <f t="shared" si="843"/>
        <v>4209.45024</v>
      </c>
      <c r="H1288" s="7">
        <f t="shared" si="844"/>
        <v>162.72672</v>
      </c>
      <c r="I1288" s="7">
        <f t="shared" si="845"/>
        <v>807.84</v>
      </c>
      <c r="J1288" s="7">
        <f t="shared" si="846"/>
        <v>2030.8608</v>
      </c>
      <c r="K1288" s="7">
        <f t="shared" si="847"/>
        <v>46.1856</v>
      </c>
      <c r="L1288" s="43">
        <f t="shared" si="848"/>
        <v>7504.80336</v>
      </c>
      <c r="M1288" s="43">
        <f t="shared" si="849"/>
        <v>1576.008706</v>
      </c>
      <c r="N1288" s="43">
        <f t="shared" si="850"/>
        <v>9080.812066</v>
      </c>
    </row>
    <row r="1289" ht="15.75" customHeight="1">
      <c r="A1289" s="5" t="s">
        <v>30</v>
      </c>
      <c r="B1289" s="41">
        <v>959.0</v>
      </c>
      <c r="C1289" s="41">
        <v>1165.0</v>
      </c>
      <c r="D1289" s="5">
        <f t="shared" si="841"/>
        <v>0.206</v>
      </c>
      <c r="E1289" s="5">
        <f t="shared" ref="E1289:E1290" si="851">29.8+9.34</f>
        <v>39.14</v>
      </c>
      <c r="F1289" s="5">
        <v>55.0</v>
      </c>
      <c r="G1289" s="7">
        <f t="shared" si="843"/>
        <v>531.33992</v>
      </c>
      <c r="H1289" s="7">
        <f t="shared" si="844"/>
        <v>20.54026</v>
      </c>
      <c r="I1289" s="7">
        <f t="shared" si="845"/>
        <v>101.97</v>
      </c>
      <c r="J1289" s="7">
        <f t="shared" si="846"/>
        <v>256.3464</v>
      </c>
      <c r="K1289" s="7">
        <f t="shared" si="847"/>
        <v>5.8298</v>
      </c>
      <c r="L1289" s="43">
        <f t="shared" si="848"/>
        <v>1010.16638</v>
      </c>
      <c r="M1289" s="43">
        <f t="shared" si="849"/>
        <v>212.1349398</v>
      </c>
      <c r="N1289" s="43">
        <f t="shared" si="850"/>
        <v>1222.30132</v>
      </c>
    </row>
    <row r="1290" ht="15.75" customHeight="1">
      <c r="A1290" s="5" t="s">
        <v>31</v>
      </c>
      <c r="B1290" s="41">
        <v>4887.0</v>
      </c>
      <c r="C1290" s="41">
        <v>5982.0</v>
      </c>
      <c r="D1290" s="5">
        <f t="shared" si="841"/>
        <v>1.095</v>
      </c>
      <c r="E1290" s="5">
        <f t="shared" si="851"/>
        <v>39.14</v>
      </c>
      <c r="F1290" s="5">
        <v>55.0</v>
      </c>
      <c r="G1290" s="7">
        <f t="shared" si="843"/>
        <v>2824.3554</v>
      </c>
      <c r="H1290" s="7">
        <f t="shared" si="844"/>
        <v>109.18245</v>
      </c>
      <c r="I1290" s="7">
        <f t="shared" si="845"/>
        <v>542.025</v>
      </c>
      <c r="J1290" s="7">
        <f t="shared" si="846"/>
        <v>1362.618</v>
      </c>
      <c r="K1290" s="7">
        <f t="shared" si="847"/>
        <v>30.9885</v>
      </c>
      <c r="L1290" s="44">
        <f t="shared" si="848"/>
        <v>4963.30935</v>
      </c>
      <c r="M1290" s="43">
        <f t="shared" si="849"/>
        <v>1042.294964</v>
      </c>
      <c r="N1290" s="43">
        <f t="shared" si="850"/>
        <v>6005.604314</v>
      </c>
    </row>
    <row r="1291" ht="15.75" customHeight="1">
      <c r="A1291" s="5"/>
      <c r="B1291" s="4"/>
      <c r="C1291" s="4"/>
      <c r="D1291" s="5"/>
      <c r="G1291" s="5"/>
      <c r="L1291" s="45">
        <f>SUM(L1280:L1290)</f>
        <v>17384.13066</v>
      </c>
      <c r="M1291" s="46">
        <f t="shared" si="849"/>
        <v>3650.667439</v>
      </c>
      <c r="N1291" s="46">
        <f t="shared" si="850"/>
        <v>21034.7981</v>
      </c>
    </row>
    <row r="1292" ht="15.75" customHeight="1">
      <c r="A1292" s="5"/>
      <c r="B1292" s="4"/>
      <c r="C1292" s="4"/>
      <c r="D1292" s="5">
        <f>SUM(D1280:D1290)</f>
        <v>3.642</v>
      </c>
      <c r="G1292" s="5"/>
    </row>
    <row r="1293" ht="15.75" customHeight="1">
      <c r="A1293" s="5"/>
      <c r="B1293" s="4"/>
      <c r="C1293" s="4"/>
      <c r="D1293" s="5"/>
      <c r="G1293" s="5"/>
      <c r="I1293" s="15" t="s">
        <v>66</v>
      </c>
      <c r="L1293" s="15">
        <v>1700.0</v>
      </c>
    </row>
    <row r="1294" ht="15.75" customHeight="1">
      <c r="A1294" s="5" t="s">
        <v>68</v>
      </c>
      <c r="B1294" s="4">
        <v>100573.0</v>
      </c>
      <c r="C1294" s="4"/>
      <c r="D1294" s="5">
        <f>(C1294-B1294)/1000</f>
        <v>-100.573</v>
      </c>
      <c r="G1294" s="5"/>
      <c r="I1294" s="15" t="s">
        <v>67</v>
      </c>
      <c r="L1294" s="47">
        <f>L1291-L1293</f>
        <v>15684.13066</v>
      </c>
    </row>
    <row r="1295" ht="15.75" customHeight="1">
      <c r="A1295" s="5"/>
      <c r="C1295" s="4"/>
      <c r="D1295" s="5"/>
      <c r="G1295" s="5"/>
    </row>
    <row r="1296" ht="15.75" customHeight="1">
      <c r="A1296" s="5"/>
      <c r="C1296" s="4"/>
      <c r="D1296" s="5"/>
      <c r="G1296" s="5"/>
    </row>
    <row r="1297" ht="15.75" customHeight="1">
      <c r="A1297" s="5"/>
      <c r="C1297" s="4"/>
      <c r="D1297" s="5"/>
      <c r="G1297" s="5"/>
    </row>
    <row r="1298" ht="15.75" customHeight="1">
      <c r="A1298" s="5" t="s">
        <v>21</v>
      </c>
      <c r="C1298" s="4"/>
      <c r="D1298" s="5"/>
      <c r="G1298" s="5"/>
    </row>
    <row r="1299" ht="15.75" customHeight="1">
      <c r="A1299" s="1"/>
      <c r="C1299" s="4"/>
      <c r="D1299" s="5"/>
      <c r="G1299" s="5"/>
    </row>
    <row r="1300" ht="15.75" customHeight="1">
      <c r="A1300" s="5" t="s">
        <v>11</v>
      </c>
      <c r="B1300" s="41">
        <v>6052.0</v>
      </c>
      <c r="C1300" s="41">
        <v>6145.0</v>
      </c>
      <c r="D1300" s="5">
        <f t="shared" ref="D1300:D1310" si="852">(C1300-B1300)/1000</f>
        <v>0.093</v>
      </c>
      <c r="E1300" s="5">
        <f t="shared" ref="E1300:E1307" si="853">29.8+9.34</f>
        <v>39.14</v>
      </c>
      <c r="F1300" s="5">
        <v>55.0</v>
      </c>
      <c r="G1300" s="7">
        <f t="shared" ref="G1300:G1310" si="854">D1300*$G$2</f>
        <v>239.87676</v>
      </c>
      <c r="H1300" s="7">
        <f t="shared" ref="H1300:H1310" si="855">D1300*$H$2</f>
        <v>9.27303</v>
      </c>
      <c r="I1300" s="7">
        <f t="shared" ref="I1300:I1310" si="856">D1300*$I$2</f>
        <v>46.035</v>
      </c>
      <c r="J1300" s="7">
        <f t="shared" ref="J1300:J1310" si="857">D1300*$J$2</f>
        <v>115.7292</v>
      </c>
      <c r="K1300" s="7">
        <f t="shared" ref="K1300:K1310" si="858">D1300*$K$2</f>
        <v>2.6319</v>
      </c>
      <c r="L1300" s="43">
        <f t="shared" ref="L1300:L1310" si="859">SUM(E1300:K1300)</f>
        <v>507.68589</v>
      </c>
      <c r="M1300" s="43">
        <f t="shared" ref="M1300:M1311" si="860">L1300*0.21</f>
        <v>106.6140369</v>
      </c>
      <c r="N1300" s="43">
        <f t="shared" ref="N1300:N1311" si="861">L1300+M1300</f>
        <v>614.2999269</v>
      </c>
    </row>
    <row r="1301" ht="15.75" customHeight="1">
      <c r="A1301" s="5" t="s">
        <v>12</v>
      </c>
      <c r="B1301" s="41">
        <v>4589.0</v>
      </c>
      <c r="C1301" s="41">
        <v>4650.0</v>
      </c>
      <c r="D1301" s="5">
        <f t="shared" si="852"/>
        <v>0.061</v>
      </c>
      <c r="E1301" s="5">
        <f t="shared" si="853"/>
        <v>39.14</v>
      </c>
      <c r="F1301" s="5">
        <v>55.0</v>
      </c>
      <c r="G1301" s="7">
        <f t="shared" si="854"/>
        <v>157.33852</v>
      </c>
      <c r="H1301" s="7">
        <f t="shared" si="855"/>
        <v>6.08231</v>
      </c>
      <c r="I1301" s="7">
        <f t="shared" si="856"/>
        <v>30.195</v>
      </c>
      <c r="J1301" s="7">
        <f t="shared" si="857"/>
        <v>75.9084</v>
      </c>
      <c r="K1301" s="7">
        <f t="shared" si="858"/>
        <v>1.7263</v>
      </c>
      <c r="L1301" s="43">
        <f t="shared" si="859"/>
        <v>365.39053</v>
      </c>
      <c r="M1301" s="43">
        <f t="shared" si="860"/>
        <v>76.7320113</v>
      </c>
      <c r="N1301" s="43">
        <f t="shared" si="861"/>
        <v>442.1225413</v>
      </c>
    </row>
    <row r="1302" ht="15.75" customHeight="1">
      <c r="A1302" s="5" t="s">
        <v>13</v>
      </c>
      <c r="B1302" s="41">
        <v>6262.0</v>
      </c>
      <c r="C1302" s="41">
        <v>6360.0</v>
      </c>
      <c r="D1302" s="5">
        <f t="shared" si="852"/>
        <v>0.098</v>
      </c>
      <c r="E1302" s="5">
        <f t="shared" si="853"/>
        <v>39.14</v>
      </c>
      <c r="F1302" s="5">
        <v>55.0</v>
      </c>
      <c r="G1302" s="7">
        <f t="shared" si="854"/>
        <v>252.77336</v>
      </c>
      <c r="H1302" s="7">
        <f t="shared" si="855"/>
        <v>9.77158</v>
      </c>
      <c r="I1302" s="7">
        <f t="shared" si="856"/>
        <v>48.51</v>
      </c>
      <c r="J1302" s="7">
        <f t="shared" si="857"/>
        <v>121.9512</v>
      </c>
      <c r="K1302" s="7">
        <f t="shared" si="858"/>
        <v>2.7734</v>
      </c>
      <c r="L1302" s="43">
        <f t="shared" si="859"/>
        <v>529.91954</v>
      </c>
      <c r="M1302" s="43">
        <f t="shared" si="860"/>
        <v>111.2831034</v>
      </c>
      <c r="N1302" s="43">
        <f t="shared" si="861"/>
        <v>641.2026434</v>
      </c>
    </row>
    <row r="1303" ht="15.75" customHeight="1">
      <c r="A1303" s="5" t="s">
        <v>14</v>
      </c>
      <c r="B1303" s="41">
        <v>4434.0</v>
      </c>
      <c r="C1303" s="41">
        <v>4492.0</v>
      </c>
      <c r="D1303" s="5">
        <f t="shared" si="852"/>
        <v>0.058</v>
      </c>
      <c r="E1303" s="5">
        <f t="shared" si="853"/>
        <v>39.14</v>
      </c>
      <c r="F1303" s="5">
        <v>55.0</v>
      </c>
      <c r="G1303" s="7">
        <f t="shared" si="854"/>
        <v>149.60056</v>
      </c>
      <c r="H1303" s="7">
        <f t="shared" si="855"/>
        <v>5.78318</v>
      </c>
      <c r="I1303" s="7">
        <f t="shared" si="856"/>
        <v>28.71</v>
      </c>
      <c r="J1303" s="7">
        <f t="shared" si="857"/>
        <v>72.1752</v>
      </c>
      <c r="K1303" s="7">
        <f t="shared" si="858"/>
        <v>1.6414</v>
      </c>
      <c r="L1303" s="43">
        <f t="shared" si="859"/>
        <v>352.05034</v>
      </c>
      <c r="M1303" s="43">
        <f t="shared" si="860"/>
        <v>73.9305714</v>
      </c>
      <c r="N1303" s="43">
        <f t="shared" si="861"/>
        <v>425.9809114</v>
      </c>
    </row>
    <row r="1304" ht="15.75" customHeight="1">
      <c r="A1304" s="5" t="s">
        <v>15</v>
      </c>
      <c r="B1304" s="41">
        <v>5402.0</v>
      </c>
      <c r="C1304" s="41">
        <v>5478.0</v>
      </c>
      <c r="D1304" s="5">
        <f t="shared" si="852"/>
        <v>0.076</v>
      </c>
      <c r="E1304" s="5">
        <f t="shared" si="853"/>
        <v>39.14</v>
      </c>
      <c r="F1304" s="5">
        <v>55.0</v>
      </c>
      <c r="G1304" s="7">
        <f t="shared" si="854"/>
        <v>196.02832</v>
      </c>
      <c r="H1304" s="7">
        <f t="shared" si="855"/>
        <v>7.57796</v>
      </c>
      <c r="I1304" s="7">
        <f t="shared" si="856"/>
        <v>37.62</v>
      </c>
      <c r="J1304" s="7">
        <f t="shared" si="857"/>
        <v>94.5744</v>
      </c>
      <c r="K1304" s="7">
        <f t="shared" si="858"/>
        <v>2.1508</v>
      </c>
      <c r="L1304" s="43">
        <f t="shared" si="859"/>
        <v>432.09148</v>
      </c>
      <c r="M1304" s="43">
        <f t="shared" si="860"/>
        <v>90.7392108</v>
      </c>
      <c r="N1304" s="43">
        <f t="shared" si="861"/>
        <v>522.8306908</v>
      </c>
    </row>
    <row r="1305" ht="15.75" customHeight="1">
      <c r="A1305" s="5" t="s">
        <v>16</v>
      </c>
      <c r="B1305" s="41">
        <v>3931.0</v>
      </c>
      <c r="C1305" s="41">
        <v>3981.0</v>
      </c>
      <c r="D1305" s="5">
        <f t="shared" si="852"/>
        <v>0.05</v>
      </c>
      <c r="E1305" s="5">
        <f t="shared" si="853"/>
        <v>39.14</v>
      </c>
      <c r="F1305" s="5">
        <v>55.0</v>
      </c>
      <c r="G1305" s="7">
        <f t="shared" si="854"/>
        <v>128.966</v>
      </c>
      <c r="H1305" s="7">
        <f t="shared" si="855"/>
        <v>4.9855</v>
      </c>
      <c r="I1305" s="7">
        <f t="shared" si="856"/>
        <v>24.75</v>
      </c>
      <c r="J1305" s="7">
        <f t="shared" si="857"/>
        <v>62.22</v>
      </c>
      <c r="K1305" s="7">
        <f t="shared" si="858"/>
        <v>1.415</v>
      </c>
      <c r="L1305" s="43">
        <f t="shared" si="859"/>
        <v>316.4765</v>
      </c>
      <c r="M1305" s="43">
        <f t="shared" si="860"/>
        <v>66.460065</v>
      </c>
      <c r="N1305" s="43">
        <f t="shared" si="861"/>
        <v>382.936565</v>
      </c>
    </row>
    <row r="1306" ht="15.75" customHeight="1">
      <c r="A1306" s="5" t="s">
        <v>17</v>
      </c>
      <c r="B1306" s="41">
        <v>5640.0</v>
      </c>
      <c r="C1306" s="41">
        <v>5810.0</v>
      </c>
      <c r="D1306" s="5">
        <f t="shared" si="852"/>
        <v>0.17</v>
      </c>
      <c r="E1306" s="5">
        <f t="shared" si="853"/>
        <v>39.14</v>
      </c>
      <c r="F1306" s="5">
        <v>55.0</v>
      </c>
      <c r="G1306" s="7">
        <f t="shared" si="854"/>
        <v>438.4844</v>
      </c>
      <c r="H1306" s="7">
        <f t="shared" si="855"/>
        <v>16.9507</v>
      </c>
      <c r="I1306" s="7">
        <f t="shared" si="856"/>
        <v>84.15</v>
      </c>
      <c r="J1306" s="7">
        <f t="shared" si="857"/>
        <v>211.548</v>
      </c>
      <c r="K1306" s="7">
        <f t="shared" si="858"/>
        <v>4.811</v>
      </c>
      <c r="L1306" s="43">
        <f t="shared" si="859"/>
        <v>850.0841</v>
      </c>
      <c r="M1306" s="43">
        <f t="shared" si="860"/>
        <v>178.517661</v>
      </c>
      <c r="N1306" s="43">
        <f t="shared" si="861"/>
        <v>1028.601761</v>
      </c>
    </row>
    <row r="1307" ht="15.75" customHeight="1">
      <c r="A1307" s="5" t="s">
        <v>18</v>
      </c>
      <c r="B1307" s="41">
        <v>5701.0</v>
      </c>
      <c r="C1307" s="41">
        <v>5799.0</v>
      </c>
      <c r="D1307" s="5">
        <f t="shared" si="852"/>
        <v>0.098</v>
      </c>
      <c r="E1307" s="5">
        <f t="shared" si="853"/>
        <v>39.14</v>
      </c>
      <c r="F1307" s="5">
        <v>55.0</v>
      </c>
      <c r="G1307" s="7">
        <f t="shared" si="854"/>
        <v>252.77336</v>
      </c>
      <c r="H1307" s="7">
        <f t="shared" si="855"/>
        <v>9.77158</v>
      </c>
      <c r="I1307" s="7">
        <f t="shared" si="856"/>
        <v>48.51</v>
      </c>
      <c r="J1307" s="7">
        <f t="shared" si="857"/>
        <v>121.9512</v>
      </c>
      <c r="K1307" s="7">
        <f t="shared" si="858"/>
        <v>2.7734</v>
      </c>
      <c r="L1307" s="43">
        <f t="shared" si="859"/>
        <v>529.91954</v>
      </c>
      <c r="M1307" s="43">
        <f t="shared" si="860"/>
        <v>111.2831034</v>
      </c>
      <c r="N1307" s="43">
        <f t="shared" si="861"/>
        <v>641.2026434</v>
      </c>
    </row>
    <row r="1308" ht="15.75" customHeight="1">
      <c r="A1308" s="40" t="s">
        <v>19</v>
      </c>
      <c r="B1308" s="41">
        <v>129813.0</v>
      </c>
      <c r="C1308" s="41">
        <v>131450.0</v>
      </c>
      <c r="D1308" s="5">
        <f t="shared" si="852"/>
        <v>1.637</v>
      </c>
      <c r="E1308" s="5">
        <v>169.69</v>
      </c>
      <c r="F1308" s="5">
        <v>78.05</v>
      </c>
      <c r="G1308" s="7">
        <f t="shared" si="854"/>
        <v>4222.34684</v>
      </c>
      <c r="H1308" s="7">
        <f t="shared" si="855"/>
        <v>163.22527</v>
      </c>
      <c r="I1308" s="7">
        <f t="shared" si="856"/>
        <v>810.315</v>
      </c>
      <c r="J1308" s="7">
        <f t="shared" si="857"/>
        <v>2037.0828</v>
      </c>
      <c r="K1308" s="7">
        <f t="shared" si="858"/>
        <v>46.3271</v>
      </c>
      <c r="L1308" s="43">
        <f t="shared" si="859"/>
        <v>7527.03701</v>
      </c>
      <c r="M1308" s="43">
        <f t="shared" si="860"/>
        <v>1580.677772</v>
      </c>
      <c r="N1308" s="43">
        <f t="shared" si="861"/>
        <v>9107.714782</v>
      </c>
    </row>
    <row r="1309" ht="15.75" customHeight="1">
      <c r="A1309" s="5" t="s">
        <v>30</v>
      </c>
      <c r="B1309" s="41">
        <v>1165.0</v>
      </c>
      <c r="C1309" s="41">
        <v>1328.0</v>
      </c>
      <c r="D1309" s="5">
        <f t="shared" si="852"/>
        <v>0.163</v>
      </c>
      <c r="E1309" s="5">
        <f t="shared" ref="E1309:E1310" si="862">29.8+9.34</f>
        <v>39.14</v>
      </c>
      <c r="F1309" s="5">
        <v>55.0</v>
      </c>
      <c r="G1309" s="7">
        <f t="shared" si="854"/>
        <v>420.42916</v>
      </c>
      <c r="H1309" s="7">
        <f t="shared" si="855"/>
        <v>16.25273</v>
      </c>
      <c r="I1309" s="7">
        <f t="shared" si="856"/>
        <v>80.685</v>
      </c>
      <c r="J1309" s="7">
        <f t="shared" si="857"/>
        <v>202.8372</v>
      </c>
      <c r="K1309" s="7">
        <f t="shared" si="858"/>
        <v>4.6129</v>
      </c>
      <c r="L1309" s="43">
        <f t="shared" si="859"/>
        <v>818.95699</v>
      </c>
      <c r="M1309" s="43">
        <f t="shared" si="860"/>
        <v>171.9809679</v>
      </c>
      <c r="N1309" s="43">
        <f t="shared" si="861"/>
        <v>990.9379579</v>
      </c>
    </row>
    <row r="1310" ht="15.75" customHeight="1">
      <c r="A1310" s="5" t="s">
        <v>31</v>
      </c>
      <c r="B1310" s="41">
        <v>5982.0</v>
      </c>
      <c r="C1310" s="41">
        <v>6842.0</v>
      </c>
      <c r="D1310" s="5">
        <f t="shared" si="852"/>
        <v>0.86</v>
      </c>
      <c r="E1310" s="5">
        <f t="shared" si="862"/>
        <v>39.14</v>
      </c>
      <c r="F1310" s="5">
        <v>55.0</v>
      </c>
      <c r="G1310" s="7">
        <f t="shared" si="854"/>
        <v>2218.2152</v>
      </c>
      <c r="H1310" s="7">
        <f t="shared" si="855"/>
        <v>85.7506</v>
      </c>
      <c r="I1310" s="7">
        <f t="shared" si="856"/>
        <v>425.7</v>
      </c>
      <c r="J1310" s="7">
        <f t="shared" si="857"/>
        <v>1070.184</v>
      </c>
      <c r="K1310" s="7">
        <f t="shared" si="858"/>
        <v>24.338</v>
      </c>
      <c r="L1310" s="44">
        <f t="shared" si="859"/>
        <v>3918.3278</v>
      </c>
      <c r="M1310" s="43">
        <f t="shared" si="860"/>
        <v>822.848838</v>
      </c>
      <c r="N1310" s="43">
        <f t="shared" si="861"/>
        <v>4741.176638</v>
      </c>
    </row>
    <row r="1311" ht="15.75" customHeight="1">
      <c r="A1311" s="5"/>
      <c r="B1311" s="4"/>
      <c r="C1311" s="4"/>
      <c r="D1311" s="5"/>
      <c r="G1311" s="5"/>
      <c r="L1311" s="45">
        <f>SUM(L1300:L1310)</f>
        <v>16147.93972</v>
      </c>
      <c r="M1311" s="46">
        <f t="shared" si="860"/>
        <v>3391.067341</v>
      </c>
      <c r="N1311" s="46">
        <f t="shared" si="861"/>
        <v>19539.00706</v>
      </c>
    </row>
    <row r="1312" ht="15.75" customHeight="1">
      <c r="A1312" s="5"/>
      <c r="B1312" s="4"/>
      <c r="C1312" s="4"/>
      <c r="D1312" s="5">
        <f>SUM(D1300:D1310)</f>
        <v>3.364</v>
      </c>
      <c r="G1312" s="5"/>
    </row>
    <row r="1313" ht="15.75" customHeight="1">
      <c r="A1313" s="5"/>
      <c r="B1313" s="4"/>
      <c r="C1313" s="4"/>
      <c r="D1313" s="5"/>
      <c r="G1313" s="5"/>
      <c r="I1313" s="15" t="s">
        <v>66</v>
      </c>
      <c r="L1313" s="15">
        <v>1700.0</v>
      </c>
    </row>
    <row r="1314" ht="15.75" customHeight="1">
      <c r="A1314" s="5" t="s">
        <v>68</v>
      </c>
      <c r="B1314" s="4">
        <v>100573.0</v>
      </c>
      <c r="C1314" s="4"/>
      <c r="D1314" s="5">
        <f>(C1314-B1314)/1000</f>
        <v>-100.573</v>
      </c>
      <c r="G1314" s="5"/>
      <c r="I1314" s="15" t="s">
        <v>67</v>
      </c>
      <c r="L1314" s="47">
        <f>L1311-L1313</f>
        <v>14447.93972</v>
      </c>
    </row>
    <row r="1315" ht="15.75" customHeight="1">
      <c r="A1315" s="5"/>
      <c r="C1315" s="4"/>
      <c r="D1315" s="5"/>
      <c r="G1315" s="5"/>
    </row>
    <row r="1316" ht="15.75" customHeight="1">
      <c r="A1316" s="5"/>
      <c r="C1316" s="4"/>
      <c r="D1316" s="5"/>
      <c r="G1316" s="5"/>
    </row>
    <row r="1317" ht="15.75" customHeight="1">
      <c r="A1317" s="5" t="s">
        <v>22</v>
      </c>
      <c r="C1317" s="4"/>
      <c r="D1317" s="5"/>
      <c r="G1317" s="5"/>
    </row>
    <row r="1318" ht="15.75" customHeight="1">
      <c r="A1318" s="1"/>
      <c r="C1318" s="4"/>
      <c r="D1318" s="5"/>
      <c r="G1318" s="5"/>
    </row>
    <row r="1319" ht="15.75" customHeight="1">
      <c r="A1319" s="5" t="s">
        <v>11</v>
      </c>
      <c r="B1319" s="41">
        <v>6145.0</v>
      </c>
      <c r="C1319" s="41">
        <v>6197.0</v>
      </c>
      <c r="D1319" s="5">
        <f t="shared" ref="D1319:D1329" si="863">(C1319-B1319)/1000</f>
        <v>0.052</v>
      </c>
      <c r="E1319" s="5">
        <f t="shared" ref="E1319:E1326" si="864">29.8+9.34</f>
        <v>39.14</v>
      </c>
      <c r="F1319" s="5">
        <v>55.0</v>
      </c>
      <c r="G1319" s="7">
        <f t="shared" ref="G1319:G1329" si="865">D1319*$G$2</f>
        <v>134.12464</v>
      </c>
      <c r="H1319" s="7">
        <f t="shared" ref="H1319:H1329" si="866">D1319*$H$2</f>
        <v>5.18492</v>
      </c>
      <c r="I1319" s="7">
        <f t="shared" ref="I1319:I1329" si="867">D1319*$I$2</f>
        <v>25.74</v>
      </c>
      <c r="J1319" s="7">
        <f t="shared" ref="J1319:J1329" si="868">D1319*$J$2</f>
        <v>64.7088</v>
      </c>
      <c r="K1319" s="7">
        <f t="shared" ref="K1319:K1329" si="869">D1319*$K$2</f>
        <v>1.4716</v>
      </c>
      <c r="L1319" s="43">
        <f t="shared" ref="L1319:L1329" si="870">SUM(E1319:K1319)</f>
        <v>325.36996</v>
      </c>
      <c r="M1319" s="43">
        <f t="shared" ref="M1319:M1330" si="871">L1319*0.21</f>
        <v>68.3276916</v>
      </c>
      <c r="N1319" s="43">
        <f t="shared" ref="N1319:N1330" si="872">L1319+M1319</f>
        <v>393.6976516</v>
      </c>
    </row>
    <row r="1320" ht="15.75" customHeight="1">
      <c r="A1320" s="5" t="s">
        <v>12</v>
      </c>
      <c r="B1320" s="41">
        <v>4650.0</v>
      </c>
      <c r="C1320" s="41">
        <v>4701.0</v>
      </c>
      <c r="D1320" s="5">
        <f t="shared" si="863"/>
        <v>0.051</v>
      </c>
      <c r="E1320" s="5">
        <f t="shared" si="864"/>
        <v>39.14</v>
      </c>
      <c r="F1320" s="5">
        <v>55.0</v>
      </c>
      <c r="G1320" s="7">
        <f t="shared" si="865"/>
        <v>131.54532</v>
      </c>
      <c r="H1320" s="7">
        <f t="shared" si="866"/>
        <v>5.08521</v>
      </c>
      <c r="I1320" s="7">
        <f t="shared" si="867"/>
        <v>25.245</v>
      </c>
      <c r="J1320" s="7">
        <f t="shared" si="868"/>
        <v>63.4644</v>
      </c>
      <c r="K1320" s="7">
        <f t="shared" si="869"/>
        <v>1.4433</v>
      </c>
      <c r="L1320" s="43">
        <f t="shared" si="870"/>
        <v>320.92323</v>
      </c>
      <c r="M1320" s="43">
        <f t="shared" si="871"/>
        <v>67.3938783</v>
      </c>
      <c r="N1320" s="43">
        <f t="shared" si="872"/>
        <v>388.3171083</v>
      </c>
    </row>
    <row r="1321" ht="15.75" customHeight="1">
      <c r="A1321" s="5" t="s">
        <v>13</v>
      </c>
      <c r="B1321" s="41">
        <v>6360.0</v>
      </c>
      <c r="C1321" s="41">
        <v>6434.0</v>
      </c>
      <c r="D1321" s="5">
        <f t="shared" si="863"/>
        <v>0.074</v>
      </c>
      <c r="E1321" s="5">
        <f t="shared" si="864"/>
        <v>39.14</v>
      </c>
      <c r="F1321" s="5">
        <v>55.0</v>
      </c>
      <c r="G1321" s="7">
        <f t="shared" si="865"/>
        <v>190.86968</v>
      </c>
      <c r="H1321" s="7">
        <f t="shared" si="866"/>
        <v>7.37854</v>
      </c>
      <c r="I1321" s="7">
        <f t="shared" si="867"/>
        <v>36.63</v>
      </c>
      <c r="J1321" s="7">
        <f t="shared" si="868"/>
        <v>92.0856</v>
      </c>
      <c r="K1321" s="7">
        <f t="shared" si="869"/>
        <v>2.0942</v>
      </c>
      <c r="L1321" s="43">
        <f t="shared" si="870"/>
        <v>423.19802</v>
      </c>
      <c r="M1321" s="43">
        <f t="shared" si="871"/>
        <v>88.8715842</v>
      </c>
      <c r="N1321" s="43">
        <f t="shared" si="872"/>
        <v>512.0696042</v>
      </c>
    </row>
    <row r="1322" ht="15.75" customHeight="1">
      <c r="A1322" s="5" t="s">
        <v>14</v>
      </c>
      <c r="B1322" s="41">
        <v>4492.0</v>
      </c>
      <c r="C1322" s="41">
        <v>4529.0</v>
      </c>
      <c r="D1322" s="5">
        <f t="shared" si="863"/>
        <v>0.037</v>
      </c>
      <c r="E1322" s="5">
        <f t="shared" si="864"/>
        <v>39.14</v>
      </c>
      <c r="F1322" s="5">
        <v>55.0</v>
      </c>
      <c r="G1322" s="7">
        <f t="shared" si="865"/>
        <v>95.43484</v>
      </c>
      <c r="H1322" s="7">
        <f t="shared" si="866"/>
        <v>3.68927</v>
      </c>
      <c r="I1322" s="7">
        <f t="shared" si="867"/>
        <v>18.315</v>
      </c>
      <c r="J1322" s="7">
        <f t="shared" si="868"/>
        <v>46.0428</v>
      </c>
      <c r="K1322" s="7">
        <f t="shared" si="869"/>
        <v>1.0471</v>
      </c>
      <c r="L1322" s="43">
        <f t="shared" si="870"/>
        <v>258.66901</v>
      </c>
      <c r="M1322" s="43">
        <f t="shared" si="871"/>
        <v>54.3204921</v>
      </c>
      <c r="N1322" s="43">
        <f t="shared" si="872"/>
        <v>312.9895021</v>
      </c>
    </row>
    <row r="1323" ht="15.75" customHeight="1">
      <c r="A1323" s="5" t="s">
        <v>15</v>
      </c>
      <c r="B1323" s="41">
        <v>5478.0</v>
      </c>
      <c r="C1323" s="41">
        <v>5538.0</v>
      </c>
      <c r="D1323" s="5">
        <f t="shared" si="863"/>
        <v>0.06</v>
      </c>
      <c r="E1323" s="5">
        <f t="shared" si="864"/>
        <v>39.14</v>
      </c>
      <c r="F1323" s="5">
        <v>55.0</v>
      </c>
      <c r="G1323" s="7">
        <f t="shared" si="865"/>
        <v>154.7592</v>
      </c>
      <c r="H1323" s="7">
        <f t="shared" si="866"/>
        <v>5.9826</v>
      </c>
      <c r="I1323" s="7">
        <f t="shared" si="867"/>
        <v>29.7</v>
      </c>
      <c r="J1323" s="7">
        <f t="shared" si="868"/>
        <v>74.664</v>
      </c>
      <c r="K1323" s="7">
        <f t="shared" si="869"/>
        <v>1.698</v>
      </c>
      <c r="L1323" s="43">
        <f t="shared" si="870"/>
        <v>360.9438</v>
      </c>
      <c r="M1323" s="43">
        <f t="shared" si="871"/>
        <v>75.798198</v>
      </c>
      <c r="N1323" s="43">
        <f t="shared" si="872"/>
        <v>436.741998</v>
      </c>
    </row>
    <row r="1324" ht="15.75" customHeight="1">
      <c r="A1324" s="5" t="s">
        <v>16</v>
      </c>
      <c r="B1324" s="41">
        <v>3981.0</v>
      </c>
      <c r="C1324" s="41">
        <v>4022.0</v>
      </c>
      <c r="D1324" s="5">
        <f t="shared" si="863"/>
        <v>0.041</v>
      </c>
      <c r="E1324" s="5">
        <f t="shared" si="864"/>
        <v>39.14</v>
      </c>
      <c r="F1324" s="5">
        <v>55.0</v>
      </c>
      <c r="G1324" s="7">
        <f t="shared" si="865"/>
        <v>105.75212</v>
      </c>
      <c r="H1324" s="7">
        <f t="shared" si="866"/>
        <v>4.08811</v>
      </c>
      <c r="I1324" s="7">
        <f t="shared" si="867"/>
        <v>20.295</v>
      </c>
      <c r="J1324" s="7">
        <f t="shared" si="868"/>
        <v>51.0204</v>
      </c>
      <c r="K1324" s="7">
        <f t="shared" si="869"/>
        <v>1.1603</v>
      </c>
      <c r="L1324" s="43">
        <f t="shared" si="870"/>
        <v>276.45593</v>
      </c>
      <c r="M1324" s="43">
        <f t="shared" si="871"/>
        <v>58.0557453</v>
      </c>
      <c r="N1324" s="43">
        <f t="shared" si="872"/>
        <v>334.5116753</v>
      </c>
    </row>
    <row r="1325" ht="15.75" customHeight="1">
      <c r="A1325" s="5" t="s">
        <v>17</v>
      </c>
      <c r="B1325" s="41">
        <v>5810.0</v>
      </c>
      <c r="C1325" s="41">
        <v>5866.0</v>
      </c>
      <c r="D1325" s="5">
        <f t="shared" si="863"/>
        <v>0.056</v>
      </c>
      <c r="E1325" s="5">
        <f t="shared" si="864"/>
        <v>39.14</v>
      </c>
      <c r="F1325" s="5">
        <v>55.0</v>
      </c>
      <c r="G1325" s="7">
        <f t="shared" si="865"/>
        <v>144.44192</v>
      </c>
      <c r="H1325" s="7">
        <f t="shared" si="866"/>
        <v>5.58376</v>
      </c>
      <c r="I1325" s="7">
        <f t="shared" si="867"/>
        <v>27.72</v>
      </c>
      <c r="J1325" s="7">
        <f t="shared" si="868"/>
        <v>69.6864</v>
      </c>
      <c r="K1325" s="7">
        <f t="shared" si="869"/>
        <v>1.5848</v>
      </c>
      <c r="L1325" s="43">
        <f t="shared" si="870"/>
        <v>343.15688</v>
      </c>
      <c r="M1325" s="43">
        <f t="shared" si="871"/>
        <v>72.0629448</v>
      </c>
      <c r="N1325" s="43">
        <f t="shared" si="872"/>
        <v>415.2198248</v>
      </c>
    </row>
    <row r="1326" ht="15.75" customHeight="1">
      <c r="A1326" s="5" t="s">
        <v>18</v>
      </c>
      <c r="B1326" s="41">
        <v>5799.0</v>
      </c>
      <c r="C1326" s="41">
        <v>5870.0</v>
      </c>
      <c r="D1326" s="5">
        <f t="shared" si="863"/>
        <v>0.071</v>
      </c>
      <c r="E1326" s="5">
        <f t="shared" si="864"/>
        <v>39.14</v>
      </c>
      <c r="F1326" s="5">
        <v>55.0</v>
      </c>
      <c r="G1326" s="7">
        <f t="shared" si="865"/>
        <v>183.13172</v>
      </c>
      <c r="H1326" s="7">
        <f t="shared" si="866"/>
        <v>7.07941</v>
      </c>
      <c r="I1326" s="7">
        <f t="shared" si="867"/>
        <v>35.145</v>
      </c>
      <c r="J1326" s="7">
        <f t="shared" si="868"/>
        <v>88.3524</v>
      </c>
      <c r="K1326" s="7">
        <f t="shared" si="869"/>
        <v>2.0093</v>
      </c>
      <c r="L1326" s="43">
        <f t="shared" si="870"/>
        <v>409.85783</v>
      </c>
      <c r="M1326" s="43">
        <f t="shared" si="871"/>
        <v>86.0701443</v>
      </c>
      <c r="N1326" s="43">
        <f t="shared" si="872"/>
        <v>495.9279743</v>
      </c>
    </row>
    <row r="1327" ht="15.75" customHeight="1">
      <c r="A1327" s="40" t="s">
        <v>19</v>
      </c>
      <c r="B1327" s="41">
        <v>131450.0</v>
      </c>
      <c r="C1327" s="41">
        <v>132712.0</v>
      </c>
      <c r="D1327" s="5">
        <f t="shared" si="863"/>
        <v>1.262</v>
      </c>
      <c r="E1327" s="5">
        <v>169.69</v>
      </c>
      <c r="F1327" s="5">
        <v>78.05</v>
      </c>
      <c r="G1327" s="7">
        <f t="shared" si="865"/>
        <v>3255.10184</v>
      </c>
      <c r="H1327" s="7">
        <f t="shared" si="866"/>
        <v>125.83402</v>
      </c>
      <c r="I1327" s="7">
        <f t="shared" si="867"/>
        <v>624.69</v>
      </c>
      <c r="J1327" s="7">
        <f t="shared" si="868"/>
        <v>1570.4328</v>
      </c>
      <c r="K1327" s="7">
        <f t="shared" si="869"/>
        <v>35.7146</v>
      </c>
      <c r="L1327" s="43">
        <f t="shared" si="870"/>
        <v>5859.51326</v>
      </c>
      <c r="M1327" s="43">
        <f t="shared" si="871"/>
        <v>1230.497785</v>
      </c>
      <c r="N1327" s="43">
        <f t="shared" si="872"/>
        <v>7090.011045</v>
      </c>
    </row>
    <row r="1328" ht="15.75" customHeight="1">
      <c r="A1328" s="5" t="s">
        <v>30</v>
      </c>
      <c r="B1328" s="41">
        <v>1328.0</v>
      </c>
      <c r="C1328" s="41">
        <v>1458.0</v>
      </c>
      <c r="D1328" s="5">
        <f t="shared" si="863"/>
        <v>0.13</v>
      </c>
      <c r="E1328" s="5">
        <f t="shared" ref="E1328:E1329" si="873">29.8+9.34</f>
        <v>39.14</v>
      </c>
      <c r="F1328" s="5">
        <v>55.0</v>
      </c>
      <c r="G1328" s="7">
        <f t="shared" si="865"/>
        <v>335.3116</v>
      </c>
      <c r="H1328" s="7">
        <f t="shared" si="866"/>
        <v>12.9623</v>
      </c>
      <c r="I1328" s="7">
        <f t="shared" si="867"/>
        <v>64.35</v>
      </c>
      <c r="J1328" s="7">
        <f t="shared" si="868"/>
        <v>161.772</v>
      </c>
      <c r="K1328" s="7">
        <f t="shared" si="869"/>
        <v>3.679</v>
      </c>
      <c r="L1328" s="43">
        <f t="shared" si="870"/>
        <v>672.2149</v>
      </c>
      <c r="M1328" s="43">
        <f t="shared" si="871"/>
        <v>141.165129</v>
      </c>
      <c r="N1328" s="43">
        <f t="shared" si="872"/>
        <v>813.380029</v>
      </c>
    </row>
    <row r="1329" ht="15.75" customHeight="1">
      <c r="A1329" s="5" t="s">
        <v>31</v>
      </c>
      <c r="B1329" s="41">
        <v>6842.0</v>
      </c>
      <c r="C1329" s="41">
        <v>7495.0</v>
      </c>
      <c r="D1329" s="5">
        <f t="shared" si="863"/>
        <v>0.653</v>
      </c>
      <c r="E1329" s="5">
        <f t="shared" si="873"/>
        <v>39.14</v>
      </c>
      <c r="F1329" s="5">
        <v>55.0</v>
      </c>
      <c r="G1329" s="7">
        <f t="shared" si="865"/>
        <v>1684.29596</v>
      </c>
      <c r="H1329" s="7">
        <f t="shared" si="866"/>
        <v>65.11063</v>
      </c>
      <c r="I1329" s="7">
        <f t="shared" si="867"/>
        <v>323.235</v>
      </c>
      <c r="J1329" s="7">
        <f t="shared" si="868"/>
        <v>812.5932</v>
      </c>
      <c r="K1329" s="7">
        <f t="shared" si="869"/>
        <v>18.4799</v>
      </c>
      <c r="L1329" s="44">
        <f t="shared" si="870"/>
        <v>2997.85469</v>
      </c>
      <c r="M1329" s="43">
        <f t="shared" si="871"/>
        <v>629.5494849</v>
      </c>
      <c r="N1329" s="43">
        <f t="shared" si="872"/>
        <v>3627.404175</v>
      </c>
    </row>
    <row r="1330" ht="15.75" customHeight="1">
      <c r="A1330" s="5"/>
      <c r="B1330" s="4"/>
      <c r="C1330" s="4"/>
      <c r="D1330" s="5"/>
      <c r="G1330" s="5"/>
      <c r="L1330" s="45">
        <f>SUM(L1319:L1329)</f>
        <v>12248.15751</v>
      </c>
      <c r="M1330" s="46">
        <f t="shared" si="871"/>
        <v>2572.113077</v>
      </c>
      <c r="N1330" s="46">
        <f t="shared" si="872"/>
        <v>14820.27059</v>
      </c>
    </row>
    <row r="1331" ht="15.75" customHeight="1">
      <c r="A1331" s="5"/>
      <c r="B1331" s="4"/>
      <c r="C1331" s="4"/>
      <c r="D1331" s="5">
        <f>SUM(D1319:D1329)</f>
        <v>2.487</v>
      </c>
      <c r="G1331" s="5"/>
    </row>
    <row r="1332" ht="15.75" customHeight="1">
      <c r="A1332" s="5"/>
      <c r="B1332" s="4"/>
      <c r="C1332" s="4"/>
      <c r="D1332" s="5"/>
      <c r="G1332" s="5"/>
      <c r="I1332" s="15" t="s">
        <v>66</v>
      </c>
      <c r="L1332" s="15">
        <v>1700.0</v>
      </c>
    </row>
    <row r="1333" ht="15.75" customHeight="1">
      <c r="A1333" s="5" t="s">
        <v>68</v>
      </c>
      <c r="B1333" s="4">
        <v>100573.0</v>
      </c>
      <c r="C1333" s="4"/>
      <c r="D1333" s="5">
        <f>(C1333-B1333)/1000</f>
        <v>-100.573</v>
      </c>
      <c r="G1333" s="5"/>
      <c r="I1333" s="15" t="s">
        <v>67</v>
      </c>
      <c r="L1333" s="47">
        <f>L1330-L1332</f>
        <v>10548.15751</v>
      </c>
    </row>
    <row r="1334" ht="15.75" customHeight="1">
      <c r="A1334" s="5"/>
      <c r="C1334" s="4"/>
      <c r="D1334" s="5"/>
      <c r="G1334" s="5"/>
    </row>
    <row r="1335" ht="15.75" customHeight="1">
      <c r="A1335" s="5"/>
      <c r="C1335" s="4"/>
      <c r="D1335" s="5"/>
      <c r="G1335" s="5"/>
    </row>
    <row r="1336" ht="15.75" customHeight="1">
      <c r="A1336" s="5"/>
      <c r="C1336" s="4"/>
      <c r="D1336" s="5"/>
      <c r="G1336" s="5"/>
    </row>
    <row r="1337" ht="15.75" customHeight="1">
      <c r="A1337" s="5" t="s">
        <v>60</v>
      </c>
      <c r="C1337" s="4"/>
      <c r="D1337" s="5"/>
      <c r="G1337" s="5"/>
    </row>
    <row r="1338" ht="15.75" customHeight="1">
      <c r="A1338" s="1"/>
      <c r="C1338" s="4"/>
      <c r="D1338" s="5"/>
      <c r="G1338" s="5"/>
    </row>
    <row r="1339" ht="15.75" customHeight="1">
      <c r="A1339" s="5" t="s">
        <v>11</v>
      </c>
      <c r="B1339" s="41">
        <v>6197.0</v>
      </c>
      <c r="C1339" s="41">
        <v>6279.0</v>
      </c>
      <c r="D1339" s="5">
        <f t="shared" ref="D1339:D1349" si="874">(C1339-B1339)/1000</f>
        <v>0.082</v>
      </c>
      <c r="E1339" s="5">
        <f t="shared" ref="E1339:E1346" si="875">29.8+9.34</f>
        <v>39.14</v>
      </c>
      <c r="F1339" s="5">
        <v>55.0</v>
      </c>
      <c r="G1339" s="7">
        <f t="shared" ref="G1339:G1349" si="876">D1339*$G$2</f>
        <v>211.50424</v>
      </c>
      <c r="H1339" s="7">
        <f t="shared" ref="H1339:H1349" si="877">D1339*$H$2</f>
        <v>8.17622</v>
      </c>
      <c r="I1339" s="7">
        <f t="shared" ref="I1339:I1349" si="878">D1339*$I$2</f>
        <v>40.59</v>
      </c>
      <c r="J1339" s="7">
        <f t="shared" ref="J1339:J1349" si="879">D1339*$J$2</f>
        <v>102.0408</v>
      </c>
      <c r="K1339" s="7">
        <f t="shared" ref="K1339:K1349" si="880">D1339*$K$2</f>
        <v>2.3206</v>
      </c>
      <c r="L1339" s="43">
        <f t="shared" ref="L1339:L1349" si="881">SUM(E1339:K1339)</f>
        <v>458.77186</v>
      </c>
      <c r="M1339" s="43">
        <f t="shared" ref="M1339:M1350" si="882">L1339*0.21</f>
        <v>96.3420906</v>
      </c>
      <c r="N1339" s="43">
        <f t="shared" ref="N1339:N1350" si="883">L1339+M1339</f>
        <v>555.1139506</v>
      </c>
    </row>
    <row r="1340" ht="15.75" customHeight="1">
      <c r="A1340" s="5" t="s">
        <v>12</v>
      </c>
      <c r="B1340" s="41">
        <v>4701.0</v>
      </c>
      <c r="C1340" s="41">
        <v>4771.0</v>
      </c>
      <c r="D1340" s="5">
        <f t="shared" si="874"/>
        <v>0.07</v>
      </c>
      <c r="E1340" s="5">
        <f t="shared" si="875"/>
        <v>39.14</v>
      </c>
      <c r="F1340" s="5">
        <v>55.0</v>
      </c>
      <c r="G1340" s="7">
        <f t="shared" si="876"/>
        <v>180.5524</v>
      </c>
      <c r="H1340" s="7">
        <f t="shared" si="877"/>
        <v>6.9797</v>
      </c>
      <c r="I1340" s="7">
        <f t="shared" si="878"/>
        <v>34.65</v>
      </c>
      <c r="J1340" s="7">
        <f t="shared" si="879"/>
        <v>87.108</v>
      </c>
      <c r="K1340" s="7">
        <f t="shared" si="880"/>
        <v>1.981</v>
      </c>
      <c r="L1340" s="43">
        <f t="shared" si="881"/>
        <v>405.4111</v>
      </c>
      <c r="M1340" s="43">
        <f t="shared" si="882"/>
        <v>85.136331</v>
      </c>
      <c r="N1340" s="43">
        <f t="shared" si="883"/>
        <v>490.547431</v>
      </c>
    </row>
    <row r="1341" ht="15.75" customHeight="1">
      <c r="A1341" s="5" t="s">
        <v>13</v>
      </c>
      <c r="B1341" s="41">
        <v>6434.0</v>
      </c>
      <c r="C1341" s="41">
        <v>6537.0</v>
      </c>
      <c r="D1341" s="5">
        <f t="shared" si="874"/>
        <v>0.103</v>
      </c>
      <c r="E1341" s="5">
        <f t="shared" si="875"/>
        <v>39.14</v>
      </c>
      <c r="F1341" s="5">
        <v>55.0</v>
      </c>
      <c r="G1341" s="7">
        <f t="shared" si="876"/>
        <v>265.66996</v>
      </c>
      <c r="H1341" s="7">
        <f t="shared" si="877"/>
        <v>10.27013</v>
      </c>
      <c r="I1341" s="7">
        <f t="shared" si="878"/>
        <v>50.985</v>
      </c>
      <c r="J1341" s="7">
        <f t="shared" si="879"/>
        <v>128.1732</v>
      </c>
      <c r="K1341" s="7">
        <f t="shared" si="880"/>
        <v>2.9149</v>
      </c>
      <c r="L1341" s="43">
        <f t="shared" si="881"/>
        <v>552.15319</v>
      </c>
      <c r="M1341" s="43">
        <f t="shared" si="882"/>
        <v>115.9521699</v>
      </c>
      <c r="N1341" s="43">
        <f t="shared" si="883"/>
        <v>668.1053599</v>
      </c>
    </row>
    <row r="1342" ht="15.75" customHeight="1">
      <c r="A1342" s="5" t="s">
        <v>14</v>
      </c>
      <c r="B1342" s="41">
        <v>4529.0</v>
      </c>
      <c r="C1342" s="41">
        <v>4589.0</v>
      </c>
      <c r="D1342" s="5">
        <f t="shared" si="874"/>
        <v>0.06</v>
      </c>
      <c r="E1342" s="5">
        <f t="shared" si="875"/>
        <v>39.14</v>
      </c>
      <c r="F1342" s="5">
        <v>55.0</v>
      </c>
      <c r="G1342" s="7">
        <f t="shared" si="876"/>
        <v>154.7592</v>
      </c>
      <c r="H1342" s="7">
        <f t="shared" si="877"/>
        <v>5.9826</v>
      </c>
      <c r="I1342" s="7">
        <f t="shared" si="878"/>
        <v>29.7</v>
      </c>
      <c r="J1342" s="7">
        <f t="shared" si="879"/>
        <v>74.664</v>
      </c>
      <c r="K1342" s="7">
        <f t="shared" si="880"/>
        <v>1.698</v>
      </c>
      <c r="L1342" s="43">
        <f t="shared" si="881"/>
        <v>360.9438</v>
      </c>
      <c r="M1342" s="43">
        <f t="shared" si="882"/>
        <v>75.798198</v>
      </c>
      <c r="N1342" s="43">
        <f t="shared" si="883"/>
        <v>436.741998</v>
      </c>
    </row>
    <row r="1343" ht="15.75" customHeight="1">
      <c r="A1343" s="5" t="s">
        <v>15</v>
      </c>
      <c r="B1343" s="41">
        <v>5538.0</v>
      </c>
      <c r="C1343" s="41">
        <v>5629.0</v>
      </c>
      <c r="D1343" s="5">
        <f t="shared" si="874"/>
        <v>0.091</v>
      </c>
      <c r="E1343" s="5">
        <f t="shared" si="875"/>
        <v>39.14</v>
      </c>
      <c r="F1343" s="5">
        <v>55.0</v>
      </c>
      <c r="G1343" s="7">
        <f t="shared" si="876"/>
        <v>234.71812</v>
      </c>
      <c r="H1343" s="7">
        <f t="shared" si="877"/>
        <v>9.07361</v>
      </c>
      <c r="I1343" s="7">
        <f t="shared" si="878"/>
        <v>45.045</v>
      </c>
      <c r="J1343" s="7">
        <f t="shared" si="879"/>
        <v>113.2404</v>
      </c>
      <c r="K1343" s="7">
        <f t="shared" si="880"/>
        <v>2.5753</v>
      </c>
      <c r="L1343" s="43">
        <f t="shared" si="881"/>
        <v>498.79243</v>
      </c>
      <c r="M1343" s="43">
        <f t="shared" si="882"/>
        <v>104.7464103</v>
      </c>
      <c r="N1343" s="43">
        <f t="shared" si="883"/>
        <v>603.5388403</v>
      </c>
    </row>
    <row r="1344" ht="15.75" customHeight="1">
      <c r="A1344" s="5" t="s">
        <v>16</v>
      </c>
      <c r="B1344" s="41">
        <v>4022.0</v>
      </c>
      <c r="C1344" s="41">
        <v>4084.0</v>
      </c>
      <c r="D1344" s="5">
        <f t="shared" si="874"/>
        <v>0.062</v>
      </c>
      <c r="E1344" s="5">
        <f t="shared" si="875"/>
        <v>39.14</v>
      </c>
      <c r="F1344" s="5">
        <v>55.0</v>
      </c>
      <c r="G1344" s="7">
        <f t="shared" si="876"/>
        <v>159.91784</v>
      </c>
      <c r="H1344" s="7">
        <f t="shared" si="877"/>
        <v>6.18202</v>
      </c>
      <c r="I1344" s="7">
        <f t="shared" si="878"/>
        <v>30.69</v>
      </c>
      <c r="J1344" s="7">
        <f t="shared" si="879"/>
        <v>77.1528</v>
      </c>
      <c r="K1344" s="7">
        <f t="shared" si="880"/>
        <v>1.7546</v>
      </c>
      <c r="L1344" s="43">
        <f t="shared" si="881"/>
        <v>369.83726</v>
      </c>
      <c r="M1344" s="43">
        <f t="shared" si="882"/>
        <v>77.6658246</v>
      </c>
      <c r="N1344" s="43">
        <f t="shared" si="883"/>
        <v>447.5030846</v>
      </c>
    </row>
    <row r="1345" ht="15.75" customHeight="1">
      <c r="A1345" s="5" t="s">
        <v>17</v>
      </c>
      <c r="B1345" s="41">
        <v>5866.0</v>
      </c>
      <c r="C1345" s="41">
        <v>5916.0</v>
      </c>
      <c r="D1345" s="5">
        <f t="shared" si="874"/>
        <v>0.05</v>
      </c>
      <c r="E1345" s="5">
        <f t="shared" si="875"/>
        <v>39.14</v>
      </c>
      <c r="F1345" s="5">
        <v>55.0</v>
      </c>
      <c r="G1345" s="7">
        <f t="shared" si="876"/>
        <v>128.966</v>
      </c>
      <c r="H1345" s="7">
        <f t="shared" si="877"/>
        <v>4.9855</v>
      </c>
      <c r="I1345" s="7">
        <f t="shared" si="878"/>
        <v>24.75</v>
      </c>
      <c r="J1345" s="7">
        <f t="shared" si="879"/>
        <v>62.22</v>
      </c>
      <c r="K1345" s="7">
        <f t="shared" si="880"/>
        <v>1.415</v>
      </c>
      <c r="L1345" s="43">
        <f t="shared" si="881"/>
        <v>316.4765</v>
      </c>
      <c r="M1345" s="43">
        <f t="shared" si="882"/>
        <v>66.460065</v>
      </c>
      <c r="N1345" s="43">
        <f t="shared" si="883"/>
        <v>382.936565</v>
      </c>
    </row>
    <row r="1346" ht="15.75" customHeight="1">
      <c r="A1346" s="5" t="s">
        <v>18</v>
      </c>
      <c r="B1346" s="41">
        <v>5870.0</v>
      </c>
      <c r="C1346" s="41">
        <v>5997.0</v>
      </c>
      <c r="D1346" s="5">
        <f t="shared" si="874"/>
        <v>0.127</v>
      </c>
      <c r="E1346" s="5">
        <f t="shared" si="875"/>
        <v>39.14</v>
      </c>
      <c r="F1346" s="5">
        <v>55.0</v>
      </c>
      <c r="G1346" s="7">
        <f t="shared" si="876"/>
        <v>327.57364</v>
      </c>
      <c r="H1346" s="7">
        <f t="shared" si="877"/>
        <v>12.66317</v>
      </c>
      <c r="I1346" s="7">
        <f t="shared" si="878"/>
        <v>62.865</v>
      </c>
      <c r="J1346" s="7">
        <f t="shared" si="879"/>
        <v>158.0388</v>
      </c>
      <c r="K1346" s="7">
        <f t="shared" si="880"/>
        <v>3.5941</v>
      </c>
      <c r="L1346" s="43">
        <f t="shared" si="881"/>
        <v>658.87471</v>
      </c>
      <c r="M1346" s="43">
        <f t="shared" si="882"/>
        <v>138.3636891</v>
      </c>
      <c r="N1346" s="43">
        <f t="shared" si="883"/>
        <v>797.2383991</v>
      </c>
    </row>
    <row r="1347" ht="15.75" customHeight="1">
      <c r="A1347" s="40" t="s">
        <v>19</v>
      </c>
      <c r="B1347" s="41">
        <v>132712.0</v>
      </c>
      <c r="C1347" s="41">
        <v>134309.0</v>
      </c>
      <c r="D1347" s="5">
        <f t="shared" si="874"/>
        <v>1.597</v>
      </c>
      <c r="E1347" s="5">
        <v>169.69</v>
      </c>
      <c r="F1347" s="5">
        <v>78.05</v>
      </c>
      <c r="G1347" s="7">
        <f t="shared" si="876"/>
        <v>4119.17404</v>
      </c>
      <c r="H1347" s="7">
        <f t="shared" si="877"/>
        <v>159.23687</v>
      </c>
      <c r="I1347" s="7">
        <f t="shared" si="878"/>
        <v>790.515</v>
      </c>
      <c r="J1347" s="7">
        <f t="shared" si="879"/>
        <v>1987.3068</v>
      </c>
      <c r="K1347" s="7">
        <f t="shared" si="880"/>
        <v>45.1951</v>
      </c>
      <c r="L1347" s="43">
        <f t="shared" si="881"/>
        <v>7349.16781</v>
      </c>
      <c r="M1347" s="43">
        <f t="shared" si="882"/>
        <v>1543.32524</v>
      </c>
      <c r="N1347" s="43">
        <f t="shared" si="883"/>
        <v>8892.49305</v>
      </c>
    </row>
    <row r="1348" ht="15.75" customHeight="1">
      <c r="A1348" s="5" t="s">
        <v>30</v>
      </c>
      <c r="B1348" s="41">
        <v>1458.0</v>
      </c>
      <c r="C1348" s="41">
        <v>1618.0</v>
      </c>
      <c r="D1348" s="5">
        <f t="shared" si="874"/>
        <v>0.16</v>
      </c>
      <c r="E1348" s="5">
        <f t="shared" ref="E1348:E1349" si="884">29.8+9.34</f>
        <v>39.14</v>
      </c>
      <c r="F1348" s="5">
        <v>55.0</v>
      </c>
      <c r="G1348" s="7">
        <f t="shared" si="876"/>
        <v>412.6912</v>
      </c>
      <c r="H1348" s="7">
        <f t="shared" si="877"/>
        <v>15.9536</v>
      </c>
      <c r="I1348" s="7">
        <f t="shared" si="878"/>
        <v>79.2</v>
      </c>
      <c r="J1348" s="7">
        <f t="shared" si="879"/>
        <v>199.104</v>
      </c>
      <c r="K1348" s="7">
        <f t="shared" si="880"/>
        <v>4.528</v>
      </c>
      <c r="L1348" s="43">
        <f t="shared" si="881"/>
        <v>805.6168</v>
      </c>
      <c r="M1348" s="43">
        <f t="shared" si="882"/>
        <v>169.179528</v>
      </c>
      <c r="N1348" s="43">
        <f t="shared" si="883"/>
        <v>974.796328</v>
      </c>
    </row>
    <row r="1349" ht="15.75" customHeight="1">
      <c r="A1349" s="5" t="s">
        <v>31</v>
      </c>
      <c r="B1349" s="41">
        <v>7495.0</v>
      </c>
      <c r="C1349" s="41">
        <v>8309.0</v>
      </c>
      <c r="D1349" s="5">
        <f t="shared" si="874"/>
        <v>0.814</v>
      </c>
      <c r="E1349" s="5">
        <f t="shared" si="884"/>
        <v>39.14</v>
      </c>
      <c r="F1349" s="5">
        <v>55.0</v>
      </c>
      <c r="G1349" s="7">
        <f t="shared" si="876"/>
        <v>2099.56648</v>
      </c>
      <c r="H1349" s="7">
        <f t="shared" si="877"/>
        <v>81.16394</v>
      </c>
      <c r="I1349" s="7">
        <f t="shared" si="878"/>
        <v>402.93</v>
      </c>
      <c r="J1349" s="7">
        <f t="shared" si="879"/>
        <v>1012.9416</v>
      </c>
      <c r="K1349" s="7">
        <f t="shared" si="880"/>
        <v>23.0362</v>
      </c>
      <c r="L1349" s="44">
        <f t="shared" si="881"/>
        <v>3713.77822</v>
      </c>
      <c r="M1349" s="43">
        <f t="shared" si="882"/>
        <v>779.8934262</v>
      </c>
      <c r="N1349" s="43">
        <f t="shared" si="883"/>
        <v>4493.671646</v>
      </c>
    </row>
    <row r="1350" ht="15.75" customHeight="1">
      <c r="A1350" s="5"/>
      <c r="B1350" s="4"/>
      <c r="C1350" s="4"/>
      <c r="D1350" s="5"/>
      <c r="G1350" s="5"/>
      <c r="L1350" s="45">
        <f>SUM(L1339:L1349)</f>
        <v>15489.82368</v>
      </c>
      <c r="M1350" s="46">
        <f t="shared" si="882"/>
        <v>3252.862973</v>
      </c>
      <c r="N1350" s="46">
        <f t="shared" si="883"/>
        <v>18742.68665</v>
      </c>
    </row>
    <row r="1351" ht="15.75" customHeight="1">
      <c r="A1351" s="5"/>
      <c r="B1351" s="4"/>
      <c r="C1351" s="4"/>
      <c r="D1351" s="5">
        <f>SUM(D1339:D1349)</f>
        <v>3.216</v>
      </c>
      <c r="G1351" s="5"/>
    </row>
    <row r="1352" ht="15.75" customHeight="1">
      <c r="A1352" s="5"/>
      <c r="B1352" s="4"/>
      <c r="C1352" s="4"/>
      <c r="D1352" s="5"/>
      <c r="G1352" s="5"/>
      <c r="I1352" s="15" t="s">
        <v>66</v>
      </c>
      <c r="L1352" s="15">
        <v>1700.0</v>
      </c>
    </row>
    <row r="1353" ht="15.75" customHeight="1">
      <c r="A1353" s="5" t="s">
        <v>68</v>
      </c>
      <c r="B1353" s="4">
        <v>100573.0</v>
      </c>
      <c r="C1353" s="4"/>
      <c r="D1353" s="5">
        <f>(C1353-B1353)/1000</f>
        <v>-100.573</v>
      </c>
      <c r="G1353" s="5"/>
      <c r="I1353" s="15" t="s">
        <v>67</v>
      </c>
      <c r="L1353" s="47">
        <f>L1350-L1352</f>
        <v>13789.82368</v>
      </c>
    </row>
    <row r="1354" ht="15.75" customHeight="1">
      <c r="A1354" s="5"/>
      <c r="C1354" s="4"/>
      <c r="D1354" s="5"/>
      <c r="G1354" s="5"/>
    </row>
    <row r="1355" ht="15.75" customHeight="1">
      <c r="A1355" s="5"/>
      <c r="C1355" s="4"/>
      <c r="D1355" s="5"/>
      <c r="G1355" s="5"/>
    </row>
    <row r="1356" ht="15.75" customHeight="1">
      <c r="A1356" s="5" t="s">
        <v>61</v>
      </c>
      <c r="C1356" s="4"/>
      <c r="D1356" s="5"/>
      <c r="G1356" s="5"/>
    </row>
    <row r="1357" ht="15.75" customHeight="1">
      <c r="A1357" s="1"/>
      <c r="C1357" s="4"/>
      <c r="D1357" s="5"/>
      <c r="G1357" s="5"/>
    </row>
    <row r="1358" ht="15.75" customHeight="1">
      <c r="A1358" s="5" t="s">
        <v>11</v>
      </c>
      <c r="B1358" s="41">
        <v>6279.0</v>
      </c>
      <c r="C1358" s="41">
        <v>6360.0</v>
      </c>
      <c r="D1358" s="5">
        <f t="shared" ref="D1358:D1368" si="885">(C1358-B1358)/1000</f>
        <v>0.081</v>
      </c>
      <c r="E1358" s="5">
        <f t="shared" ref="E1358:E1365" si="886">29.8+9.34</f>
        <v>39.14</v>
      </c>
      <c r="F1358" s="5">
        <v>55.0</v>
      </c>
      <c r="G1358" s="7">
        <f t="shared" ref="G1358:G1368" si="887">D1358*$G$2</f>
        <v>208.92492</v>
      </c>
      <c r="H1358" s="7">
        <f t="shared" ref="H1358:H1368" si="888">D1358*$H$2</f>
        <v>8.07651</v>
      </c>
      <c r="I1358" s="7">
        <f t="shared" ref="I1358:I1368" si="889">D1358*$I$2</f>
        <v>40.095</v>
      </c>
      <c r="J1358" s="7">
        <f t="shared" ref="J1358:J1368" si="890">D1358*$J$2</f>
        <v>100.7964</v>
      </c>
      <c r="K1358" s="7">
        <f t="shared" ref="K1358:K1368" si="891">D1358*$K$2</f>
        <v>2.2923</v>
      </c>
      <c r="L1358" s="43">
        <f t="shared" ref="L1358:L1368" si="892">SUM(E1358:K1358)</f>
        <v>454.32513</v>
      </c>
      <c r="M1358" s="43">
        <f t="shared" ref="M1358:M1369" si="893">L1358*0.21</f>
        <v>95.4082773</v>
      </c>
      <c r="N1358" s="43">
        <f t="shared" ref="N1358:N1369" si="894">L1358+M1358</f>
        <v>549.7334073</v>
      </c>
    </row>
    <row r="1359" ht="15.75" customHeight="1">
      <c r="A1359" s="5" t="s">
        <v>12</v>
      </c>
      <c r="B1359" s="41">
        <v>4771.0</v>
      </c>
      <c r="C1359" s="41">
        <v>4831.0</v>
      </c>
      <c r="D1359" s="5">
        <f t="shared" si="885"/>
        <v>0.06</v>
      </c>
      <c r="E1359" s="5">
        <f t="shared" si="886"/>
        <v>39.14</v>
      </c>
      <c r="F1359" s="5">
        <v>55.0</v>
      </c>
      <c r="G1359" s="7">
        <f t="shared" si="887"/>
        <v>154.7592</v>
      </c>
      <c r="H1359" s="7">
        <f t="shared" si="888"/>
        <v>5.9826</v>
      </c>
      <c r="I1359" s="7">
        <f t="shared" si="889"/>
        <v>29.7</v>
      </c>
      <c r="J1359" s="7">
        <f t="shared" si="890"/>
        <v>74.664</v>
      </c>
      <c r="K1359" s="7">
        <f t="shared" si="891"/>
        <v>1.698</v>
      </c>
      <c r="L1359" s="43">
        <f t="shared" si="892"/>
        <v>360.9438</v>
      </c>
      <c r="M1359" s="43">
        <f t="shared" si="893"/>
        <v>75.798198</v>
      </c>
      <c r="N1359" s="43">
        <f t="shared" si="894"/>
        <v>436.741998</v>
      </c>
    </row>
    <row r="1360" ht="15.75" customHeight="1">
      <c r="A1360" s="5" t="s">
        <v>13</v>
      </c>
      <c r="B1360" s="41">
        <v>6537.0</v>
      </c>
      <c r="C1360" s="41">
        <v>6589.0</v>
      </c>
      <c r="D1360" s="5">
        <f t="shared" si="885"/>
        <v>0.052</v>
      </c>
      <c r="E1360" s="5">
        <f t="shared" si="886"/>
        <v>39.14</v>
      </c>
      <c r="F1360" s="5">
        <v>55.0</v>
      </c>
      <c r="G1360" s="7">
        <f t="shared" si="887"/>
        <v>134.12464</v>
      </c>
      <c r="H1360" s="7">
        <f t="shared" si="888"/>
        <v>5.18492</v>
      </c>
      <c r="I1360" s="7">
        <f t="shared" si="889"/>
        <v>25.74</v>
      </c>
      <c r="J1360" s="7">
        <f t="shared" si="890"/>
        <v>64.7088</v>
      </c>
      <c r="K1360" s="7">
        <f t="shared" si="891"/>
        <v>1.4716</v>
      </c>
      <c r="L1360" s="43">
        <f t="shared" si="892"/>
        <v>325.36996</v>
      </c>
      <c r="M1360" s="43">
        <f t="shared" si="893"/>
        <v>68.3276916</v>
      </c>
      <c r="N1360" s="43">
        <f t="shared" si="894"/>
        <v>393.6976516</v>
      </c>
    </row>
    <row r="1361" ht="15.75" customHeight="1">
      <c r="A1361" s="5" t="s">
        <v>14</v>
      </c>
      <c r="B1361" s="41">
        <v>4589.0</v>
      </c>
      <c r="C1361" s="41">
        <v>4660.0</v>
      </c>
      <c r="D1361" s="5">
        <f t="shared" si="885"/>
        <v>0.071</v>
      </c>
      <c r="E1361" s="5">
        <f t="shared" si="886"/>
        <v>39.14</v>
      </c>
      <c r="F1361" s="5">
        <v>55.0</v>
      </c>
      <c r="G1361" s="7">
        <f t="shared" si="887"/>
        <v>183.13172</v>
      </c>
      <c r="H1361" s="7">
        <f t="shared" si="888"/>
        <v>7.07941</v>
      </c>
      <c r="I1361" s="7">
        <f t="shared" si="889"/>
        <v>35.145</v>
      </c>
      <c r="J1361" s="7">
        <f t="shared" si="890"/>
        <v>88.3524</v>
      </c>
      <c r="K1361" s="7">
        <f t="shared" si="891"/>
        <v>2.0093</v>
      </c>
      <c r="L1361" s="43">
        <f t="shared" si="892"/>
        <v>409.85783</v>
      </c>
      <c r="M1361" s="43">
        <f t="shared" si="893"/>
        <v>86.0701443</v>
      </c>
      <c r="N1361" s="43">
        <f t="shared" si="894"/>
        <v>495.9279743</v>
      </c>
    </row>
    <row r="1362" ht="15.75" customHeight="1">
      <c r="A1362" s="5" t="s">
        <v>15</v>
      </c>
      <c r="B1362" s="41">
        <v>5629.0</v>
      </c>
      <c r="C1362" s="41">
        <v>5741.0</v>
      </c>
      <c r="D1362" s="5">
        <f t="shared" si="885"/>
        <v>0.112</v>
      </c>
      <c r="E1362" s="5">
        <f t="shared" si="886"/>
        <v>39.14</v>
      </c>
      <c r="F1362" s="5">
        <v>55.0</v>
      </c>
      <c r="G1362" s="7">
        <f t="shared" si="887"/>
        <v>288.88384</v>
      </c>
      <c r="H1362" s="7">
        <f t="shared" si="888"/>
        <v>11.16752</v>
      </c>
      <c r="I1362" s="7">
        <f t="shared" si="889"/>
        <v>55.44</v>
      </c>
      <c r="J1362" s="7">
        <f t="shared" si="890"/>
        <v>139.3728</v>
      </c>
      <c r="K1362" s="7">
        <f t="shared" si="891"/>
        <v>3.1696</v>
      </c>
      <c r="L1362" s="43">
        <f t="shared" si="892"/>
        <v>592.17376</v>
      </c>
      <c r="M1362" s="43">
        <f t="shared" si="893"/>
        <v>124.3564896</v>
      </c>
      <c r="N1362" s="43">
        <f t="shared" si="894"/>
        <v>716.5302496</v>
      </c>
    </row>
    <row r="1363" ht="15.75" customHeight="1">
      <c r="A1363" s="5" t="s">
        <v>16</v>
      </c>
      <c r="B1363" s="41">
        <v>4084.0</v>
      </c>
      <c r="C1363" s="41">
        <v>4137.0</v>
      </c>
      <c r="D1363" s="5">
        <f t="shared" si="885"/>
        <v>0.053</v>
      </c>
      <c r="E1363" s="5">
        <f t="shared" si="886"/>
        <v>39.14</v>
      </c>
      <c r="F1363" s="5">
        <v>55.0</v>
      </c>
      <c r="G1363" s="7">
        <f t="shared" si="887"/>
        <v>136.70396</v>
      </c>
      <c r="H1363" s="7">
        <f t="shared" si="888"/>
        <v>5.28463</v>
      </c>
      <c r="I1363" s="7">
        <f t="shared" si="889"/>
        <v>26.235</v>
      </c>
      <c r="J1363" s="7">
        <f t="shared" si="890"/>
        <v>65.9532</v>
      </c>
      <c r="K1363" s="7">
        <f t="shared" si="891"/>
        <v>1.4999</v>
      </c>
      <c r="L1363" s="43">
        <f t="shared" si="892"/>
        <v>329.81669</v>
      </c>
      <c r="M1363" s="43">
        <f t="shared" si="893"/>
        <v>69.2615049</v>
      </c>
      <c r="N1363" s="43">
        <f t="shared" si="894"/>
        <v>399.0781949</v>
      </c>
    </row>
    <row r="1364" ht="15.75" customHeight="1">
      <c r="A1364" s="5" t="s">
        <v>17</v>
      </c>
      <c r="B1364" s="41">
        <v>5916.0</v>
      </c>
      <c r="C1364" s="41">
        <v>5955.0</v>
      </c>
      <c r="D1364" s="5">
        <f t="shared" si="885"/>
        <v>0.039</v>
      </c>
      <c r="E1364" s="5">
        <f t="shared" si="886"/>
        <v>39.14</v>
      </c>
      <c r="F1364" s="5">
        <v>55.0</v>
      </c>
      <c r="G1364" s="7">
        <f t="shared" si="887"/>
        <v>100.59348</v>
      </c>
      <c r="H1364" s="7">
        <f t="shared" si="888"/>
        <v>3.88869</v>
      </c>
      <c r="I1364" s="7">
        <f t="shared" si="889"/>
        <v>19.305</v>
      </c>
      <c r="J1364" s="7">
        <f t="shared" si="890"/>
        <v>48.5316</v>
      </c>
      <c r="K1364" s="7">
        <f t="shared" si="891"/>
        <v>1.1037</v>
      </c>
      <c r="L1364" s="43">
        <f t="shared" si="892"/>
        <v>267.56247</v>
      </c>
      <c r="M1364" s="43">
        <f t="shared" si="893"/>
        <v>56.1881187</v>
      </c>
      <c r="N1364" s="43">
        <f t="shared" si="894"/>
        <v>323.7505887</v>
      </c>
    </row>
    <row r="1365" ht="15.75" customHeight="1">
      <c r="A1365" s="5" t="s">
        <v>18</v>
      </c>
      <c r="B1365" s="41">
        <v>5997.0</v>
      </c>
      <c r="C1365" s="41">
        <v>6071.0</v>
      </c>
      <c r="D1365" s="5">
        <f t="shared" si="885"/>
        <v>0.074</v>
      </c>
      <c r="E1365" s="5">
        <f t="shared" si="886"/>
        <v>39.14</v>
      </c>
      <c r="F1365" s="5">
        <v>55.0</v>
      </c>
      <c r="G1365" s="7">
        <f t="shared" si="887"/>
        <v>190.86968</v>
      </c>
      <c r="H1365" s="7">
        <f t="shared" si="888"/>
        <v>7.37854</v>
      </c>
      <c r="I1365" s="7">
        <f t="shared" si="889"/>
        <v>36.63</v>
      </c>
      <c r="J1365" s="7">
        <f t="shared" si="890"/>
        <v>92.0856</v>
      </c>
      <c r="K1365" s="7">
        <f t="shared" si="891"/>
        <v>2.0942</v>
      </c>
      <c r="L1365" s="43">
        <f t="shared" si="892"/>
        <v>423.19802</v>
      </c>
      <c r="M1365" s="43">
        <f t="shared" si="893"/>
        <v>88.8715842</v>
      </c>
      <c r="N1365" s="43">
        <f t="shared" si="894"/>
        <v>512.0696042</v>
      </c>
    </row>
    <row r="1366" ht="15.75" customHeight="1">
      <c r="A1366" s="40" t="s">
        <v>19</v>
      </c>
      <c r="B1366" s="41">
        <v>134309.0</v>
      </c>
      <c r="C1366" s="41">
        <v>135762.0</v>
      </c>
      <c r="D1366" s="5">
        <f t="shared" si="885"/>
        <v>1.453</v>
      </c>
      <c r="E1366" s="5">
        <v>169.69</v>
      </c>
      <c r="F1366" s="5">
        <v>78.05</v>
      </c>
      <c r="G1366" s="7">
        <f t="shared" si="887"/>
        <v>3747.75196</v>
      </c>
      <c r="H1366" s="7">
        <f t="shared" si="888"/>
        <v>144.87863</v>
      </c>
      <c r="I1366" s="7">
        <f t="shared" si="889"/>
        <v>719.235</v>
      </c>
      <c r="J1366" s="7">
        <f t="shared" si="890"/>
        <v>1808.1132</v>
      </c>
      <c r="K1366" s="7">
        <f t="shared" si="891"/>
        <v>41.1199</v>
      </c>
      <c r="L1366" s="43">
        <f t="shared" si="892"/>
        <v>6708.83869</v>
      </c>
      <c r="M1366" s="43">
        <f t="shared" si="893"/>
        <v>1408.856125</v>
      </c>
      <c r="N1366" s="43">
        <f t="shared" si="894"/>
        <v>8117.694815</v>
      </c>
    </row>
    <row r="1367" ht="15.75" customHeight="1">
      <c r="A1367" s="5" t="s">
        <v>30</v>
      </c>
      <c r="B1367" s="41">
        <v>1618.0</v>
      </c>
      <c r="C1367" s="41">
        <v>1761.0</v>
      </c>
      <c r="D1367" s="5">
        <f t="shared" si="885"/>
        <v>0.143</v>
      </c>
      <c r="E1367" s="5">
        <f t="shared" ref="E1367:E1368" si="895">29.8+9.34</f>
        <v>39.14</v>
      </c>
      <c r="F1367" s="5">
        <v>55.0</v>
      </c>
      <c r="G1367" s="7">
        <f t="shared" si="887"/>
        <v>368.84276</v>
      </c>
      <c r="H1367" s="7">
        <f t="shared" si="888"/>
        <v>14.25853</v>
      </c>
      <c r="I1367" s="7">
        <f t="shared" si="889"/>
        <v>70.785</v>
      </c>
      <c r="J1367" s="7">
        <f t="shared" si="890"/>
        <v>177.9492</v>
      </c>
      <c r="K1367" s="7">
        <f t="shared" si="891"/>
        <v>4.0469</v>
      </c>
      <c r="L1367" s="43">
        <f t="shared" si="892"/>
        <v>730.02239</v>
      </c>
      <c r="M1367" s="43">
        <f t="shared" si="893"/>
        <v>153.3047019</v>
      </c>
      <c r="N1367" s="43">
        <f t="shared" si="894"/>
        <v>883.3270919</v>
      </c>
    </row>
    <row r="1368" ht="15.75" customHeight="1">
      <c r="A1368" s="5" t="s">
        <v>31</v>
      </c>
      <c r="B1368" s="41">
        <v>8309.0</v>
      </c>
      <c r="C1368" s="41">
        <v>9063.0</v>
      </c>
      <c r="D1368" s="5">
        <f t="shared" si="885"/>
        <v>0.754</v>
      </c>
      <c r="E1368" s="5">
        <f t="shared" si="895"/>
        <v>39.14</v>
      </c>
      <c r="F1368" s="5">
        <v>55.0</v>
      </c>
      <c r="G1368" s="7">
        <f t="shared" si="887"/>
        <v>1944.80728</v>
      </c>
      <c r="H1368" s="7">
        <f t="shared" si="888"/>
        <v>75.18134</v>
      </c>
      <c r="I1368" s="7">
        <f t="shared" si="889"/>
        <v>373.23</v>
      </c>
      <c r="J1368" s="7">
        <f t="shared" si="890"/>
        <v>938.2776</v>
      </c>
      <c r="K1368" s="7">
        <f t="shared" si="891"/>
        <v>21.3382</v>
      </c>
      <c r="L1368" s="44">
        <f t="shared" si="892"/>
        <v>3446.97442</v>
      </c>
      <c r="M1368" s="43">
        <f t="shared" si="893"/>
        <v>723.8646282</v>
      </c>
      <c r="N1368" s="43">
        <f t="shared" si="894"/>
        <v>4170.839048</v>
      </c>
    </row>
    <row r="1369" ht="15.75" customHeight="1">
      <c r="A1369" s="5"/>
      <c r="B1369" s="4"/>
      <c r="C1369" s="4"/>
      <c r="D1369" s="5"/>
      <c r="G1369" s="5"/>
      <c r="L1369" s="45">
        <f>SUM(L1358:L1368)</f>
        <v>14049.08316</v>
      </c>
      <c r="M1369" s="46">
        <f t="shared" si="893"/>
        <v>2950.307464</v>
      </c>
      <c r="N1369" s="46">
        <f t="shared" si="894"/>
        <v>16999.39062</v>
      </c>
    </row>
    <row r="1370" ht="15.75" customHeight="1">
      <c r="A1370" s="5"/>
      <c r="B1370" s="4"/>
      <c r="C1370" s="4"/>
      <c r="D1370" s="5">
        <f>SUM(D1358:D1368)</f>
        <v>2.892</v>
      </c>
      <c r="G1370" s="5"/>
    </row>
    <row r="1371" ht="15.75" customHeight="1">
      <c r="A1371" s="5"/>
      <c r="B1371" s="4"/>
      <c r="C1371" s="4"/>
      <c r="D1371" s="5"/>
      <c r="G1371" s="5"/>
      <c r="I1371" s="15" t="s">
        <v>66</v>
      </c>
      <c r="L1371" s="15">
        <v>1700.0</v>
      </c>
    </row>
    <row r="1372" ht="15.75" customHeight="1">
      <c r="A1372" s="5" t="s">
        <v>68</v>
      </c>
      <c r="B1372" s="4">
        <v>100573.0</v>
      </c>
      <c r="C1372" s="4"/>
      <c r="D1372" s="5">
        <f>(C1372-B1372)/1000</f>
        <v>-100.573</v>
      </c>
      <c r="G1372" s="5"/>
      <c r="I1372" s="15" t="s">
        <v>67</v>
      </c>
      <c r="L1372" s="47">
        <f>L1369-L1371</f>
        <v>12349.08316</v>
      </c>
    </row>
    <row r="1373" ht="15.75" customHeight="1">
      <c r="A1373" s="5"/>
      <c r="C1373" s="4"/>
      <c r="D1373" s="5"/>
      <c r="G1373" s="5"/>
    </row>
    <row r="1374" ht="15.75" customHeight="1">
      <c r="A1374" s="5"/>
      <c r="C1374" s="4"/>
      <c r="D1374" s="5"/>
      <c r="G1374" s="5"/>
    </row>
    <row r="1375" ht="15.75" customHeight="1">
      <c r="A1375" s="50" t="s">
        <v>51</v>
      </c>
      <c r="B1375" s="51"/>
      <c r="C1375" s="52"/>
      <c r="D1375" s="51"/>
      <c r="E1375" s="51"/>
      <c r="F1375" s="51"/>
      <c r="G1375" s="51"/>
      <c r="H1375" s="51"/>
      <c r="I1375" s="51"/>
      <c r="J1375" s="51"/>
      <c r="K1375" s="51"/>
      <c r="L1375" s="51"/>
      <c r="M1375" s="51"/>
      <c r="N1375" s="51"/>
    </row>
    <row r="1376" ht="15.75" customHeight="1">
      <c r="A1376" s="51"/>
      <c r="B1376" s="51"/>
      <c r="C1376" s="52"/>
      <c r="D1376" s="51"/>
      <c r="E1376" s="51"/>
      <c r="F1376" s="51"/>
      <c r="G1376" s="51"/>
      <c r="H1376" s="51"/>
      <c r="I1376" s="51"/>
      <c r="J1376" s="51"/>
      <c r="K1376" s="51"/>
      <c r="L1376" s="51"/>
      <c r="M1376" s="51"/>
      <c r="N1376" s="51"/>
    </row>
    <row r="1377" ht="15.75" customHeight="1">
      <c r="A1377" s="51" t="s">
        <v>11</v>
      </c>
      <c r="B1377" s="41">
        <v>6360.0</v>
      </c>
      <c r="C1377" s="41">
        <v>6429.0</v>
      </c>
      <c r="D1377" s="48">
        <f t="shared" ref="D1377:D1387" si="896">(C1377-B1377)/1000</f>
        <v>0.069</v>
      </c>
      <c r="E1377" s="48">
        <f t="shared" ref="E1377:E1384" si="897">29.8+9.34</f>
        <v>39.14</v>
      </c>
      <c r="F1377" s="48">
        <v>55.0</v>
      </c>
      <c r="G1377" s="53">
        <f t="shared" ref="G1377:G1387" si="898">D1377*$G$2</f>
        <v>177.97308</v>
      </c>
      <c r="H1377" s="53">
        <f t="shared" ref="H1377:H1387" si="899">D1377*$H$2</f>
        <v>6.87999</v>
      </c>
      <c r="I1377" s="53">
        <f t="shared" ref="I1377:I1387" si="900">D1377*$I$2</f>
        <v>34.155</v>
      </c>
      <c r="J1377" s="53">
        <f t="shared" ref="J1377:J1387" si="901">D1377*$J$2</f>
        <v>85.8636</v>
      </c>
      <c r="K1377" s="53">
        <f t="shared" ref="K1377:K1387" si="902">D1377*$K$2</f>
        <v>1.9527</v>
      </c>
      <c r="L1377" s="54">
        <f t="shared" ref="L1377:L1387" si="903">SUM(E1377:K1377)</f>
        <v>400.96437</v>
      </c>
      <c r="M1377" s="54">
        <f t="shared" ref="M1377:M1388" si="904">L1377*0.21</f>
        <v>84.2025177</v>
      </c>
      <c r="N1377" s="54">
        <f t="shared" ref="N1377:N1388" si="905">L1377+M1377</f>
        <v>485.1668877</v>
      </c>
    </row>
    <row r="1378" ht="15.75" customHeight="1">
      <c r="A1378" s="51" t="s">
        <v>12</v>
      </c>
      <c r="B1378" s="41">
        <v>4831.0</v>
      </c>
      <c r="C1378" s="41">
        <v>4906.0</v>
      </c>
      <c r="D1378" s="48">
        <f t="shared" si="896"/>
        <v>0.075</v>
      </c>
      <c r="E1378" s="48">
        <f t="shared" si="897"/>
        <v>39.14</v>
      </c>
      <c r="F1378" s="48">
        <v>55.0</v>
      </c>
      <c r="G1378" s="53">
        <f t="shared" si="898"/>
        <v>193.449</v>
      </c>
      <c r="H1378" s="53">
        <f t="shared" si="899"/>
        <v>7.47825</v>
      </c>
      <c r="I1378" s="53">
        <f t="shared" si="900"/>
        <v>37.125</v>
      </c>
      <c r="J1378" s="53">
        <f t="shared" si="901"/>
        <v>93.33</v>
      </c>
      <c r="K1378" s="53">
        <f t="shared" si="902"/>
        <v>2.1225</v>
      </c>
      <c r="L1378" s="54">
        <f t="shared" si="903"/>
        <v>427.64475</v>
      </c>
      <c r="M1378" s="54">
        <f t="shared" si="904"/>
        <v>89.8053975</v>
      </c>
      <c r="N1378" s="54">
        <f t="shared" si="905"/>
        <v>517.4501475</v>
      </c>
    </row>
    <row r="1379" ht="15.75" customHeight="1">
      <c r="A1379" s="51" t="s">
        <v>13</v>
      </c>
      <c r="B1379" s="41">
        <v>6589.0</v>
      </c>
      <c r="C1379" s="41">
        <v>6681.0</v>
      </c>
      <c r="D1379" s="48">
        <f t="shared" si="896"/>
        <v>0.092</v>
      </c>
      <c r="E1379" s="48">
        <f t="shared" si="897"/>
        <v>39.14</v>
      </c>
      <c r="F1379" s="48">
        <v>55.0</v>
      </c>
      <c r="G1379" s="53">
        <f t="shared" si="898"/>
        <v>237.29744</v>
      </c>
      <c r="H1379" s="53">
        <f t="shared" si="899"/>
        <v>9.17332</v>
      </c>
      <c r="I1379" s="53">
        <f t="shared" si="900"/>
        <v>45.54</v>
      </c>
      <c r="J1379" s="53">
        <f t="shared" si="901"/>
        <v>114.4848</v>
      </c>
      <c r="K1379" s="53">
        <f t="shared" si="902"/>
        <v>2.6036</v>
      </c>
      <c r="L1379" s="54">
        <f t="shared" si="903"/>
        <v>503.23916</v>
      </c>
      <c r="M1379" s="54">
        <f t="shared" si="904"/>
        <v>105.6802236</v>
      </c>
      <c r="N1379" s="54">
        <f t="shared" si="905"/>
        <v>608.9193836</v>
      </c>
    </row>
    <row r="1380" ht="15.75" customHeight="1">
      <c r="A1380" s="51" t="s">
        <v>14</v>
      </c>
      <c r="B1380" s="41">
        <v>4660.0</v>
      </c>
      <c r="C1380" s="41">
        <v>4729.0</v>
      </c>
      <c r="D1380" s="48">
        <f t="shared" si="896"/>
        <v>0.069</v>
      </c>
      <c r="E1380" s="48">
        <f t="shared" si="897"/>
        <v>39.14</v>
      </c>
      <c r="F1380" s="48">
        <v>55.0</v>
      </c>
      <c r="G1380" s="53">
        <f t="shared" si="898"/>
        <v>177.97308</v>
      </c>
      <c r="H1380" s="53">
        <f t="shared" si="899"/>
        <v>6.87999</v>
      </c>
      <c r="I1380" s="53">
        <f t="shared" si="900"/>
        <v>34.155</v>
      </c>
      <c r="J1380" s="53">
        <f t="shared" si="901"/>
        <v>85.8636</v>
      </c>
      <c r="K1380" s="53">
        <f t="shared" si="902"/>
        <v>1.9527</v>
      </c>
      <c r="L1380" s="54">
        <f t="shared" si="903"/>
        <v>400.96437</v>
      </c>
      <c r="M1380" s="54">
        <f t="shared" si="904"/>
        <v>84.2025177</v>
      </c>
      <c r="N1380" s="54">
        <f t="shared" si="905"/>
        <v>485.1668877</v>
      </c>
    </row>
    <row r="1381" ht="15.75" customHeight="1">
      <c r="A1381" s="51" t="s">
        <v>15</v>
      </c>
      <c r="B1381" s="41">
        <v>5741.0</v>
      </c>
      <c r="C1381" s="41">
        <v>5836.0</v>
      </c>
      <c r="D1381" s="48">
        <f t="shared" si="896"/>
        <v>0.095</v>
      </c>
      <c r="E1381" s="48">
        <f t="shared" si="897"/>
        <v>39.14</v>
      </c>
      <c r="F1381" s="48">
        <v>55.0</v>
      </c>
      <c r="G1381" s="53">
        <f t="shared" si="898"/>
        <v>245.0354</v>
      </c>
      <c r="H1381" s="53">
        <f t="shared" si="899"/>
        <v>9.47245</v>
      </c>
      <c r="I1381" s="53">
        <f t="shared" si="900"/>
        <v>47.025</v>
      </c>
      <c r="J1381" s="53">
        <f t="shared" si="901"/>
        <v>118.218</v>
      </c>
      <c r="K1381" s="53">
        <f t="shared" si="902"/>
        <v>2.6885</v>
      </c>
      <c r="L1381" s="54">
        <f t="shared" si="903"/>
        <v>516.57935</v>
      </c>
      <c r="M1381" s="54">
        <f t="shared" si="904"/>
        <v>108.4816635</v>
      </c>
      <c r="N1381" s="54">
        <f t="shared" si="905"/>
        <v>625.0610135</v>
      </c>
    </row>
    <row r="1382" ht="15.75" customHeight="1">
      <c r="A1382" s="51" t="s">
        <v>16</v>
      </c>
      <c r="B1382" s="41">
        <v>4137.0</v>
      </c>
      <c r="C1382" s="41">
        <v>4205.0</v>
      </c>
      <c r="D1382" s="48">
        <f t="shared" si="896"/>
        <v>0.068</v>
      </c>
      <c r="E1382" s="48">
        <f t="shared" si="897"/>
        <v>39.14</v>
      </c>
      <c r="F1382" s="48">
        <v>55.0</v>
      </c>
      <c r="G1382" s="53">
        <f t="shared" si="898"/>
        <v>175.39376</v>
      </c>
      <c r="H1382" s="53">
        <f t="shared" si="899"/>
        <v>6.78028</v>
      </c>
      <c r="I1382" s="53">
        <f t="shared" si="900"/>
        <v>33.66</v>
      </c>
      <c r="J1382" s="53">
        <f t="shared" si="901"/>
        <v>84.6192</v>
      </c>
      <c r="K1382" s="53">
        <f t="shared" si="902"/>
        <v>1.9244</v>
      </c>
      <c r="L1382" s="54">
        <f t="shared" si="903"/>
        <v>396.51764</v>
      </c>
      <c r="M1382" s="54">
        <f t="shared" si="904"/>
        <v>83.2687044</v>
      </c>
      <c r="N1382" s="54">
        <f t="shared" si="905"/>
        <v>479.7863444</v>
      </c>
    </row>
    <row r="1383" ht="15.75" customHeight="1">
      <c r="A1383" s="51" t="s">
        <v>17</v>
      </c>
      <c r="B1383" s="41">
        <v>5955.0</v>
      </c>
      <c r="C1383" s="41">
        <v>6014.0</v>
      </c>
      <c r="D1383" s="48">
        <f t="shared" si="896"/>
        <v>0.059</v>
      </c>
      <c r="E1383" s="48">
        <f t="shared" si="897"/>
        <v>39.14</v>
      </c>
      <c r="F1383" s="48">
        <v>55.0</v>
      </c>
      <c r="G1383" s="53">
        <f t="shared" si="898"/>
        <v>152.17988</v>
      </c>
      <c r="H1383" s="53">
        <f t="shared" si="899"/>
        <v>5.88289</v>
      </c>
      <c r="I1383" s="53">
        <f t="shared" si="900"/>
        <v>29.205</v>
      </c>
      <c r="J1383" s="53">
        <f t="shared" si="901"/>
        <v>73.4196</v>
      </c>
      <c r="K1383" s="53">
        <f t="shared" si="902"/>
        <v>1.6697</v>
      </c>
      <c r="L1383" s="54">
        <f t="shared" si="903"/>
        <v>356.49707</v>
      </c>
      <c r="M1383" s="54">
        <f t="shared" si="904"/>
        <v>74.8643847</v>
      </c>
      <c r="N1383" s="54">
        <f t="shared" si="905"/>
        <v>431.3614547</v>
      </c>
    </row>
    <row r="1384" ht="15.75" customHeight="1">
      <c r="A1384" s="51" t="s">
        <v>18</v>
      </c>
      <c r="B1384" s="41">
        <v>6071.0</v>
      </c>
      <c r="C1384" s="41">
        <v>6137.0</v>
      </c>
      <c r="D1384" s="48">
        <f t="shared" si="896"/>
        <v>0.066</v>
      </c>
      <c r="E1384" s="48">
        <f t="shared" si="897"/>
        <v>39.14</v>
      </c>
      <c r="F1384" s="48">
        <v>55.0</v>
      </c>
      <c r="G1384" s="53">
        <f t="shared" si="898"/>
        <v>170.23512</v>
      </c>
      <c r="H1384" s="53">
        <f t="shared" si="899"/>
        <v>6.58086</v>
      </c>
      <c r="I1384" s="53">
        <f t="shared" si="900"/>
        <v>32.67</v>
      </c>
      <c r="J1384" s="53">
        <f t="shared" si="901"/>
        <v>82.1304</v>
      </c>
      <c r="K1384" s="53">
        <f t="shared" si="902"/>
        <v>1.8678</v>
      </c>
      <c r="L1384" s="54">
        <f t="shared" si="903"/>
        <v>387.62418</v>
      </c>
      <c r="M1384" s="54">
        <f t="shared" si="904"/>
        <v>81.4010778</v>
      </c>
      <c r="N1384" s="54">
        <f t="shared" si="905"/>
        <v>469.0252578</v>
      </c>
    </row>
    <row r="1385" ht="15.75" customHeight="1">
      <c r="A1385" s="55" t="s">
        <v>19</v>
      </c>
      <c r="B1385" s="41">
        <v>135762.0</v>
      </c>
      <c r="C1385" s="41">
        <v>137492.0</v>
      </c>
      <c r="D1385" s="48">
        <f t="shared" si="896"/>
        <v>1.73</v>
      </c>
      <c r="E1385" s="48">
        <v>169.69</v>
      </c>
      <c r="F1385" s="48">
        <v>78.05</v>
      </c>
      <c r="G1385" s="53">
        <f t="shared" si="898"/>
        <v>4462.2236</v>
      </c>
      <c r="H1385" s="53">
        <f t="shared" si="899"/>
        <v>172.4983</v>
      </c>
      <c r="I1385" s="53">
        <f t="shared" si="900"/>
        <v>856.35</v>
      </c>
      <c r="J1385" s="53">
        <f t="shared" si="901"/>
        <v>2152.812</v>
      </c>
      <c r="K1385" s="53">
        <f t="shared" si="902"/>
        <v>48.959</v>
      </c>
      <c r="L1385" s="54">
        <f t="shared" si="903"/>
        <v>7940.5829</v>
      </c>
      <c r="M1385" s="54">
        <f t="shared" si="904"/>
        <v>1667.522409</v>
      </c>
      <c r="N1385" s="54">
        <f t="shared" si="905"/>
        <v>9608.105309</v>
      </c>
    </row>
    <row r="1386" ht="15.75" customHeight="1">
      <c r="A1386" s="51" t="s">
        <v>30</v>
      </c>
      <c r="B1386" s="41">
        <v>1761.0</v>
      </c>
      <c r="C1386" s="41">
        <v>1930.0</v>
      </c>
      <c r="D1386" s="48">
        <f t="shared" si="896"/>
        <v>0.169</v>
      </c>
      <c r="E1386" s="48">
        <f t="shared" ref="E1386:E1387" si="906">29.8+9.34</f>
        <v>39.14</v>
      </c>
      <c r="F1386" s="48">
        <v>55.0</v>
      </c>
      <c r="G1386" s="53">
        <f t="shared" si="898"/>
        <v>435.90508</v>
      </c>
      <c r="H1386" s="53">
        <f t="shared" si="899"/>
        <v>16.85099</v>
      </c>
      <c r="I1386" s="53">
        <f t="shared" si="900"/>
        <v>83.655</v>
      </c>
      <c r="J1386" s="53">
        <f t="shared" si="901"/>
        <v>210.3036</v>
      </c>
      <c r="K1386" s="53">
        <f t="shared" si="902"/>
        <v>4.7827</v>
      </c>
      <c r="L1386" s="54">
        <f t="shared" si="903"/>
        <v>845.63737</v>
      </c>
      <c r="M1386" s="54">
        <f t="shared" si="904"/>
        <v>177.5838477</v>
      </c>
      <c r="N1386" s="54">
        <f t="shared" si="905"/>
        <v>1023.221218</v>
      </c>
    </row>
    <row r="1387" ht="15.75" customHeight="1">
      <c r="A1387" s="51" t="s">
        <v>31</v>
      </c>
      <c r="B1387" s="41">
        <v>9063.0</v>
      </c>
      <c r="C1387" s="41">
        <v>9915.0</v>
      </c>
      <c r="D1387" s="48">
        <f t="shared" si="896"/>
        <v>0.852</v>
      </c>
      <c r="E1387" s="48">
        <f t="shared" si="906"/>
        <v>39.14</v>
      </c>
      <c r="F1387" s="48">
        <v>55.0</v>
      </c>
      <c r="G1387" s="53">
        <f t="shared" si="898"/>
        <v>2197.58064</v>
      </c>
      <c r="H1387" s="53">
        <f t="shared" si="899"/>
        <v>84.95292</v>
      </c>
      <c r="I1387" s="53">
        <f t="shared" si="900"/>
        <v>421.74</v>
      </c>
      <c r="J1387" s="53">
        <f t="shared" si="901"/>
        <v>1060.2288</v>
      </c>
      <c r="K1387" s="53">
        <f t="shared" si="902"/>
        <v>24.1116</v>
      </c>
      <c r="L1387" s="56">
        <f t="shared" si="903"/>
        <v>3882.75396</v>
      </c>
      <c r="M1387" s="54">
        <f t="shared" si="904"/>
        <v>815.3783316</v>
      </c>
      <c r="N1387" s="54">
        <f t="shared" si="905"/>
        <v>4698.132292</v>
      </c>
    </row>
    <row r="1388" ht="15.75" customHeight="1">
      <c r="A1388" s="51"/>
      <c r="B1388" s="52"/>
      <c r="C1388" s="52"/>
      <c r="D1388" s="51"/>
      <c r="E1388" s="51"/>
      <c r="F1388" s="51"/>
      <c r="G1388" s="51"/>
      <c r="H1388" s="51"/>
      <c r="I1388" s="51"/>
      <c r="J1388" s="51"/>
      <c r="K1388" s="51"/>
      <c r="L1388" s="57">
        <f>SUM(L1377:L1387)</f>
        <v>16059.00512</v>
      </c>
      <c r="M1388" s="58">
        <f t="shared" si="904"/>
        <v>3372.391075</v>
      </c>
      <c r="N1388" s="58">
        <f t="shared" si="905"/>
        <v>19431.3962</v>
      </c>
    </row>
    <row r="1389" ht="15.75" customHeight="1">
      <c r="A1389" s="51"/>
      <c r="B1389" s="52"/>
      <c r="C1389" s="52"/>
      <c r="D1389" s="48">
        <f>SUM(D1377:D1387)</f>
        <v>3.344</v>
      </c>
      <c r="E1389" s="51"/>
      <c r="F1389" s="51"/>
      <c r="G1389" s="51"/>
      <c r="H1389" s="51"/>
      <c r="I1389" s="51"/>
      <c r="J1389" s="51"/>
      <c r="K1389" s="51"/>
      <c r="L1389" s="51"/>
      <c r="M1389" s="51"/>
      <c r="N1389" s="51"/>
    </row>
    <row r="1390" ht="15.75" customHeight="1">
      <c r="A1390" s="51"/>
      <c r="B1390" s="52"/>
      <c r="C1390" s="52"/>
      <c r="D1390" s="51"/>
      <c r="E1390" s="51"/>
      <c r="F1390" s="51"/>
      <c r="G1390" s="51"/>
      <c r="H1390" s="51"/>
      <c r="I1390" s="59" t="s">
        <v>66</v>
      </c>
      <c r="J1390" s="51"/>
      <c r="K1390" s="51"/>
      <c r="L1390" s="60">
        <v>1700.0</v>
      </c>
      <c r="M1390" s="51"/>
      <c r="N1390" s="51"/>
    </row>
    <row r="1391" ht="15.75" customHeight="1">
      <c r="A1391" s="50" t="s">
        <v>68</v>
      </c>
      <c r="B1391" s="61">
        <v>100573.0</v>
      </c>
      <c r="C1391" s="52"/>
      <c r="D1391" s="48">
        <f>(C1391-B1391)/1000</f>
        <v>-100.573</v>
      </c>
      <c r="E1391" s="51"/>
      <c r="F1391" s="51"/>
      <c r="G1391" s="51"/>
      <c r="H1391" s="51"/>
      <c r="I1391" s="59" t="s">
        <v>67</v>
      </c>
      <c r="J1391" s="51"/>
      <c r="K1391" s="51"/>
      <c r="L1391" s="62">
        <f>L1388-L1390</f>
        <v>14359.00512</v>
      </c>
      <c r="M1391" s="51"/>
      <c r="N1391" s="51"/>
    </row>
    <row r="1392" ht="15.75" customHeight="1">
      <c r="A1392" s="51"/>
      <c r="B1392" s="51"/>
      <c r="C1392" s="52"/>
      <c r="D1392" s="51"/>
      <c r="E1392" s="51"/>
      <c r="F1392" s="51"/>
      <c r="G1392" s="51"/>
      <c r="H1392" s="51"/>
      <c r="I1392" s="51"/>
      <c r="J1392" s="51"/>
      <c r="K1392" s="51"/>
      <c r="L1392" s="51"/>
      <c r="M1392" s="51"/>
      <c r="N1392" s="51"/>
    </row>
    <row r="1393" ht="15.75" customHeight="1">
      <c r="A1393" s="5"/>
      <c r="C1393" s="4"/>
      <c r="D1393" s="5"/>
      <c r="G1393" s="5"/>
    </row>
    <row r="1394" ht="15.75" customHeight="1">
      <c r="A1394" s="5"/>
      <c r="C1394" s="4"/>
      <c r="D1394" s="5"/>
      <c r="G1394" s="5"/>
    </row>
    <row r="1395" ht="15.75" customHeight="1">
      <c r="A1395" s="5"/>
      <c r="C1395" s="4"/>
      <c r="D1395" s="5"/>
      <c r="G1395" s="5"/>
    </row>
    <row r="1396" ht="15.75" customHeight="1">
      <c r="A1396" s="5"/>
      <c r="C1396" s="4"/>
      <c r="D1396" s="5"/>
      <c r="G1396" s="5"/>
    </row>
    <row r="1397" ht="15.75" customHeight="1">
      <c r="A1397" s="5"/>
      <c r="C1397" s="4"/>
      <c r="D1397" s="5"/>
      <c r="G1397" s="5"/>
    </row>
    <row r="1398" ht="15.75" customHeight="1">
      <c r="A1398" s="5"/>
      <c r="C1398" s="4"/>
      <c r="D1398" s="5"/>
      <c r="G1398" s="5"/>
    </row>
    <row r="1399" ht="15.75" customHeight="1">
      <c r="A1399" s="5"/>
      <c r="C1399" s="4"/>
      <c r="D1399" s="5"/>
      <c r="G1399" s="5"/>
    </row>
    <row r="1400" ht="15.75" customHeight="1">
      <c r="A1400" s="5"/>
      <c r="C1400" s="4"/>
      <c r="D1400" s="5"/>
      <c r="G1400" s="5"/>
    </row>
    <row r="1401" ht="15.75" customHeight="1">
      <c r="A1401" s="5"/>
      <c r="C1401" s="4"/>
      <c r="D1401" s="5"/>
      <c r="G1401" s="5"/>
    </row>
    <row r="1402" ht="15.75" customHeight="1">
      <c r="A1402" s="5"/>
      <c r="C1402" s="4"/>
      <c r="D1402" s="5"/>
      <c r="G1402" s="5"/>
    </row>
    <row r="1403" ht="15.75" customHeight="1">
      <c r="A1403" s="5"/>
      <c r="C1403" s="4"/>
      <c r="D1403" s="5"/>
      <c r="G1403" s="5"/>
    </row>
    <row r="1404" ht="15.75" customHeight="1">
      <c r="A1404" s="5"/>
      <c r="C1404" s="4"/>
      <c r="D1404" s="5"/>
      <c r="G1404" s="5"/>
    </row>
    <row r="1405" ht="15.75" customHeight="1">
      <c r="A1405" s="5"/>
      <c r="C1405" s="4"/>
      <c r="D1405" s="5"/>
      <c r="G1405" s="5"/>
    </row>
    <row r="1406" ht="15.75" customHeight="1">
      <c r="A1406" s="5"/>
      <c r="C1406" s="4"/>
      <c r="D1406" s="5"/>
      <c r="G1406" s="5"/>
    </row>
    <row r="1407" ht="15.75" customHeight="1">
      <c r="A1407" s="5"/>
      <c r="C1407" s="4"/>
      <c r="D1407" s="5"/>
      <c r="G1407" s="5"/>
    </row>
    <row r="1408" ht="15.75" customHeight="1">
      <c r="A1408" s="5"/>
      <c r="C1408" s="4"/>
      <c r="D1408" s="5"/>
      <c r="G1408" s="5"/>
    </row>
    <row r="1409" ht="15.75" customHeight="1">
      <c r="A1409" s="5"/>
      <c r="C1409" s="4"/>
      <c r="D1409" s="5"/>
      <c r="G1409" s="5"/>
    </row>
    <row r="1410" ht="15.75" customHeight="1">
      <c r="A1410" s="5"/>
      <c r="C1410" s="4"/>
      <c r="D1410" s="5"/>
      <c r="G1410" s="5"/>
    </row>
    <row r="1411" ht="15.75" customHeight="1">
      <c r="A1411" s="5"/>
      <c r="C1411" s="4"/>
      <c r="D1411" s="5"/>
      <c r="G1411" s="5"/>
    </row>
    <row r="1412" ht="15.75" customHeight="1">
      <c r="A1412" s="5"/>
      <c r="C1412" s="4"/>
      <c r="D1412" s="5"/>
      <c r="G1412" s="5"/>
    </row>
    <row r="1413" ht="15.75" customHeight="1">
      <c r="A1413" s="5"/>
      <c r="C1413" s="4"/>
      <c r="D1413" s="5"/>
      <c r="G1413" s="5"/>
    </row>
    <row r="1414" ht="15.75" customHeight="1">
      <c r="A1414" s="5"/>
      <c r="C1414" s="4"/>
      <c r="D1414" s="5"/>
      <c r="G1414" s="5"/>
    </row>
    <row r="1415" ht="15.75" customHeight="1">
      <c r="A1415" s="5"/>
      <c r="C1415" s="4"/>
      <c r="D1415" s="5"/>
      <c r="G1415" s="5"/>
    </row>
    <row r="1416" ht="15.75" customHeight="1">
      <c r="A1416" s="5"/>
      <c r="C1416" s="4"/>
      <c r="D1416" s="5"/>
      <c r="G1416" s="5"/>
    </row>
    <row r="1417" ht="15.75" customHeight="1">
      <c r="A1417" s="5"/>
      <c r="C1417" s="4"/>
      <c r="D1417" s="5"/>
      <c r="G1417" s="5"/>
    </row>
    <row r="1418" ht="15.75" customHeight="1">
      <c r="A1418" s="5"/>
      <c r="C1418" s="4"/>
      <c r="D1418" s="5"/>
      <c r="G1418" s="5"/>
    </row>
    <row r="1419" ht="15.75" customHeight="1">
      <c r="A1419" s="5"/>
      <c r="C1419" s="4"/>
      <c r="D1419" s="5"/>
      <c r="G1419" s="5"/>
    </row>
    <row r="1420" ht="15.75" customHeight="1">
      <c r="A1420" s="5"/>
      <c r="C1420" s="4"/>
      <c r="D1420" s="5"/>
      <c r="G1420" s="5"/>
    </row>
    <row r="1421" ht="15.75" customHeight="1">
      <c r="A1421" s="5"/>
      <c r="C1421" s="4"/>
      <c r="D1421" s="5"/>
      <c r="G1421" s="5"/>
    </row>
    <row r="1422" ht="15.75" customHeight="1">
      <c r="A1422" s="5"/>
      <c r="C1422" s="4"/>
      <c r="D1422" s="5"/>
      <c r="G1422" s="5"/>
    </row>
    <row r="1423" ht="15.75" customHeight="1">
      <c r="A1423" s="5"/>
      <c r="C1423" s="4"/>
      <c r="D1423" s="5"/>
      <c r="G1423" s="5"/>
    </row>
    <row r="1424" ht="15.75" customHeight="1">
      <c r="A1424" s="5"/>
      <c r="C1424" s="4"/>
      <c r="D1424" s="5"/>
      <c r="G1424" s="5"/>
    </row>
    <row r="1425" ht="15.75" customHeight="1">
      <c r="A1425" s="5"/>
      <c r="C1425" s="4"/>
      <c r="D1425" s="5"/>
      <c r="G1425" s="5"/>
    </row>
    <row r="1426" ht="15.75" customHeight="1">
      <c r="A1426" s="5"/>
      <c r="C1426" s="4"/>
      <c r="D1426" s="5"/>
      <c r="G1426" s="5"/>
    </row>
    <row r="1427" ht="15.75" customHeight="1">
      <c r="A1427" s="5"/>
      <c r="C1427" s="4"/>
      <c r="D1427" s="5"/>
      <c r="G1427" s="5"/>
    </row>
    <row r="1428" ht="15.75" customHeight="1">
      <c r="A1428" s="5"/>
      <c r="C1428" s="4"/>
      <c r="D1428" s="5"/>
      <c r="G1428" s="5"/>
    </row>
    <row r="1429" ht="15.75" customHeight="1">
      <c r="A1429" s="5"/>
      <c r="C1429" s="4"/>
      <c r="D1429" s="5"/>
      <c r="G1429" s="5"/>
    </row>
    <row r="1430" ht="15.75" customHeight="1">
      <c r="A1430" s="5"/>
      <c r="C1430" s="4"/>
      <c r="D1430" s="5"/>
      <c r="G1430" s="5"/>
    </row>
    <row r="1431" ht="15.75" customHeight="1">
      <c r="A1431" s="5"/>
      <c r="C1431" s="4"/>
      <c r="D1431" s="5"/>
      <c r="G1431" s="5"/>
    </row>
    <row r="1432" ht="15.75" customHeight="1">
      <c r="A1432" s="5"/>
      <c r="C1432" s="4"/>
      <c r="D1432" s="5"/>
      <c r="G1432" s="5"/>
    </row>
    <row r="1433" ht="15.75" customHeight="1">
      <c r="A1433" s="5"/>
      <c r="C1433" s="4"/>
      <c r="D1433" s="5"/>
      <c r="G1433" s="5"/>
    </row>
    <row r="1434" ht="15.75" customHeight="1">
      <c r="A1434" s="5"/>
      <c r="C1434" s="4"/>
      <c r="D1434" s="5"/>
      <c r="G1434" s="5"/>
    </row>
    <row r="1435" ht="15.75" customHeight="1">
      <c r="A1435" s="5"/>
      <c r="C1435" s="4"/>
      <c r="D1435" s="5"/>
      <c r="G1435" s="5"/>
    </row>
    <row r="1436" ht="15.75" customHeight="1">
      <c r="A1436" s="5"/>
      <c r="C1436" s="4"/>
      <c r="D1436" s="5"/>
      <c r="G1436" s="5"/>
    </row>
    <row r="1437" ht="15.75" customHeight="1">
      <c r="A1437" s="5"/>
      <c r="C1437" s="4"/>
      <c r="D1437" s="5"/>
      <c r="G1437" s="5"/>
    </row>
    <row r="1438" ht="15.75" customHeight="1">
      <c r="A1438" s="5"/>
      <c r="C1438" s="4"/>
      <c r="D1438" s="5"/>
      <c r="G1438" s="5"/>
    </row>
    <row r="1439" ht="15.75" customHeight="1">
      <c r="A1439" s="5"/>
      <c r="C1439" s="4"/>
      <c r="D1439" s="5"/>
      <c r="G1439" s="5"/>
    </row>
    <row r="1440" ht="15.75" customHeight="1">
      <c r="A1440" s="5"/>
      <c r="C1440" s="4"/>
      <c r="D1440" s="5"/>
      <c r="G1440" s="5"/>
    </row>
    <row r="1441" ht="15.75" customHeight="1">
      <c r="A1441" s="5"/>
      <c r="C1441" s="4"/>
      <c r="D1441" s="5"/>
      <c r="G1441" s="5"/>
    </row>
    <row r="1442" ht="15.75" customHeight="1">
      <c r="A1442" s="5"/>
      <c r="C1442" s="4"/>
      <c r="D1442" s="5"/>
      <c r="G1442" s="5"/>
    </row>
    <row r="1443" ht="15.75" customHeight="1">
      <c r="A1443" s="5"/>
      <c r="C1443" s="4"/>
      <c r="D1443" s="5"/>
      <c r="G1443" s="5"/>
    </row>
    <row r="1444" ht="15.75" customHeight="1">
      <c r="A1444" s="5"/>
      <c r="C1444" s="4"/>
      <c r="D1444" s="5"/>
      <c r="G1444" s="5"/>
    </row>
    <row r="1445" ht="15.75" customHeight="1">
      <c r="A1445" s="5"/>
      <c r="C1445" s="4"/>
      <c r="D1445" s="5"/>
      <c r="G1445" s="5"/>
    </row>
    <row r="1446" ht="15.75" customHeight="1">
      <c r="A1446" s="5"/>
      <c r="C1446" s="4"/>
      <c r="D1446" s="5"/>
      <c r="G1446" s="5"/>
    </row>
    <row r="1447" ht="15.75" customHeight="1">
      <c r="A1447" s="5"/>
      <c r="C1447" s="4"/>
      <c r="D1447" s="5"/>
      <c r="G1447" s="5"/>
    </row>
    <row r="1448" ht="15.75" customHeight="1">
      <c r="A1448" s="5"/>
      <c r="C1448" s="4"/>
      <c r="D1448" s="5"/>
      <c r="G1448" s="5"/>
    </row>
    <row r="1449" ht="15.75" customHeight="1">
      <c r="A1449" s="5"/>
      <c r="C1449" s="4"/>
      <c r="D1449" s="5"/>
      <c r="G1449" s="5"/>
    </row>
    <row r="1450" ht="15.75" customHeight="1">
      <c r="A1450" s="5"/>
      <c r="C1450" s="4"/>
      <c r="D1450" s="5"/>
      <c r="G1450" s="5"/>
    </row>
    <row r="1451" ht="15.75" customHeight="1">
      <c r="A1451" s="5"/>
      <c r="C1451" s="4"/>
      <c r="D1451" s="5"/>
      <c r="G1451" s="5"/>
    </row>
    <row r="1452" ht="15.75" customHeight="1">
      <c r="A1452" s="5"/>
      <c r="C1452" s="4"/>
      <c r="D1452" s="5"/>
      <c r="G1452" s="5"/>
    </row>
    <row r="1453" ht="15.75" customHeight="1">
      <c r="A1453" s="5"/>
      <c r="C1453" s="4"/>
      <c r="D1453" s="5"/>
      <c r="G1453" s="5"/>
    </row>
    <row r="1454" ht="15.75" customHeight="1">
      <c r="A1454" s="5"/>
      <c r="C1454" s="4"/>
      <c r="D1454" s="5"/>
      <c r="G1454" s="5"/>
    </row>
    <row r="1455" ht="15.75" customHeight="1">
      <c r="A1455" s="5"/>
      <c r="C1455" s="4"/>
      <c r="D1455" s="5"/>
      <c r="G1455" s="5"/>
    </row>
    <row r="1456" ht="15.75" customHeight="1">
      <c r="A1456" s="5"/>
      <c r="C1456" s="4"/>
      <c r="D1456" s="5"/>
      <c r="G1456" s="5"/>
    </row>
    <row r="1457" ht="15.75" customHeight="1">
      <c r="A1457" s="5"/>
      <c r="C1457" s="4"/>
      <c r="D1457" s="5"/>
      <c r="G1457" s="5"/>
    </row>
    <row r="1458" ht="15.75" customHeight="1">
      <c r="A1458" s="5"/>
      <c r="C1458" s="4"/>
      <c r="D1458" s="5"/>
      <c r="G1458" s="5"/>
    </row>
    <row r="1459" ht="15.75" customHeight="1">
      <c r="A1459" s="5"/>
      <c r="C1459" s="4"/>
      <c r="D1459" s="5"/>
      <c r="G1459" s="5"/>
    </row>
    <row r="1460" ht="15.75" customHeight="1">
      <c r="A1460" s="5"/>
      <c r="C1460" s="4"/>
      <c r="D1460" s="5"/>
      <c r="G1460" s="5"/>
    </row>
    <row r="1461" ht="15.75" customHeight="1">
      <c r="A1461" s="5"/>
      <c r="C1461" s="4"/>
      <c r="D1461" s="5"/>
      <c r="G1461" s="5"/>
    </row>
    <row r="1462" ht="15.75" customHeight="1">
      <c r="A1462" s="5"/>
      <c r="C1462" s="4"/>
      <c r="D1462" s="5"/>
      <c r="G1462" s="5"/>
    </row>
    <row r="1463" ht="15.75" customHeight="1">
      <c r="A1463" s="5"/>
      <c r="C1463" s="4"/>
      <c r="D1463" s="5"/>
      <c r="G1463" s="5"/>
    </row>
    <row r="1464" ht="15.75" customHeight="1">
      <c r="A1464" s="5"/>
      <c r="C1464" s="4"/>
      <c r="D1464" s="5"/>
      <c r="G1464" s="5"/>
    </row>
    <row r="1465" ht="15.75" customHeight="1">
      <c r="A1465" s="5"/>
      <c r="C1465" s="4"/>
      <c r="D1465" s="5"/>
      <c r="G1465" s="5"/>
    </row>
    <row r="1466" ht="15.75" customHeight="1">
      <c r="A1466" s="5"/>
      <c r="C1466" s="4"/>
      <c r="D1466" s="5"/>
      <c r="G1466" s="5"/>
    </row>
    <row r="1467" ht="15.75" customHeight="1">
      <c r="A1467" s="5"/>
      <c r="C1467" s="4"/>
      <c r="D1467" s="5"/>
      <c r="G1467" s="5"/>
    </row>
    <row r="1468" ht="15.75" customHeight="1">
      <c r="A1468" s="5"/>
      <c r="C1468" s="4"/>
      <c r="D1468" s="5"/>
      <c r="G1468" s="5"/>
    </row>
    <row r="1469" ht="15.75" customHeight="1">
      <c r="A1469" s="5"/>
      <c r="C1469" s="4"/>
      <c r="D1469" s="5"/>
      <c r="G1469" s="5"/>
    </row>
    <row r="1470" ht="15.75" customHeight="1">
      <c r="A1470" s="5"/>
      <c r="C1470" s="4"/>
      <c r="D1470" s="5"/>
      <c r="G1470" s="5"/>
    </row>
    <row r="1471" ht="15.75" customHeight="1">
      <c r="A1471" s="5"/>
      <c r="C1471" s="4"/>
      <c r="D1471" s="5"/>
      <c r="G1471" s="5"/>
    </row>
    <row r="1472" ht="15.75" customHeight="1">
      <c r="A1472" s="5"/>
      <c r="C1472" s="4"/>
      <c r="D1472" s="5"/>
      <c r="G1472" s="5"/>
    </row>
    <row r="1473" ht="15.75" customHeight="1">
      <c r="A1473" s="5"/>
      <c r="C1473" s="4"/>
      <c r="D1473" s="5"/>
      <c r="G1473" s="5"/>
    </row>
    <row r="1474" ht="15.75" customHeight="1">
      <c r="A1474" s="5"/>
      <c r="C1474" s="4"/>
      <c r="D1474" s="5"/>
      <c r="G1474" s="5"/>
    </row>
    <row r="1475" ht="15.75" customHeight="1">
      <c r="A1475" s="5"/>
      <c r="C1475" s="4"/>
      <c r="D1475" s="5"/>
      <c r="G1475" s="5"/>
    </row>
    <row r="1476" ht="15.75" customHeight="1">
      <c r="A1476" s="5"/>
      <c r="C1476" s="4"/>
      <c r="D1476" s="5"/>
      <c r="G1476" s="5"/>
    </row>
    <row r="1477" ht="15.75" customHeight="1">
      <c r="A1477" s="5"/>
      <c r="C1477" s="4"/>
      <c r="D1477" s="5"/>
      <c r="G1477" s="5"/>
    </row>
    <row r="1478" ht="15.75" customHeight="1">
      <c r="A1478" s="5"/>
      <c r="C1478" s="4"/>
      <c r="D1478" s="5"/>
      <c r="G1478" s="5"/>
    </row>
    <row r="1479" ht="15.75" customHeight="1">
      <c r="A1479" s="5"/>
      <c r="C1479" s="4"/>
      <c r="D1479" s="5"/>
      <c r="G1479" s="5"/>
    </row>
    <row r="1480" ht="15.75" customHeight="1">
      <c r="A1480" s="5"/>
      <c r="C1480" s="4"/>
      <c r="D1480" s="5"/>
      <c r="G1480" s="5"/>
    </row>
    <row r="1481" ht="15.75" customHeight="1">
      <c r="A1481" s="5"/>
      <c r="C1481" s="4"/>
      <c r="D1481" s="5"/>
      <c r="G1481" s="5"/>
    </row>
    <row r="1482" ht="15.75" customHeight="1">
      <c r="A1482" s="5"/>
      <c r="C1482" s="4"/>
      <c r="D1482" s="5"/>
      <c r="G1482" s="5"/>
    </row>
    <row r="1483" ht="15.75" customHeight="1">
      <c r="A1483" s="5"/>
      <c r="C1483" s="4"/>
      <c r="D1483" s="5"/>
      <c r="G1483" s="5"/>
    </row>
    <row r="1484" ht="15.75" customHeight="1">
      <c r="A1484" s="5"/>
      <c r="C1484" s="4"/>
      <c r="D1484" s="5"/>
      <c r="G1484" s="5"/>
    </row>
    <row r="1485" ht="15.75" customHeight="1">
      <c r="A1485" s="5"/>
      <c r="C1485" s="4"/>
      <c r="D1485" s="5"/>
      <c r="G1485" s="5"/>
    </row>
    <row r="1486" ht="15.75" customHeight="1">
      <c r="A1486" s="5"/>
      <c r="C1486" s="4"/>
      <c r="D1486" s="5"/>
      <c r="G1486" s="5"/>
    </row>
    <row r="1487" ht="15.75" customHeight="1">
      <c r="A1487" s="5"/>
      <c r="C1487" s="4"/>
      <c r="D1487" s="5"/>
      <c r="G1487" s="5"/>
    </row>
    <row r="1488" ht="15.75" customHeight="1">
      <c r="A1488" s="5"/>
      <c r="C1488" s="4"/>
      <c r="D1488" s="5"/>
      <c r="G1488" s="5"/>
    </row>
    <row r="1489" ht="15.75" customHeight="1">
      <c r="A1489" s="5"/>
      <c r="C1489" s="4"/>
      <c r="D1489" s="5"/>
      <c r="G1489" s="5"/>
    </row>
    <row r="1490" ht="15.75" customHeight="1">
      <c r="A1490" s="5"/>
      <c r="C1490" s="4"/>
      <c r="D1490" s="5"/>
      <c r="G1490" s="5"/>
    </row>
    <row r="1491" ht="15.75" customHeight="1">
      <c r="A1491" s="5"/>
      <c r="C1491" s="4"/>
      <c r="D1491" s="5"/>
      <c r="G1491" s="5"/>
    </row>
    <row r="1492" ht="15.75" customHeight="1">
      <c r="A1492" s="5"/>
      <c r="C1492" s="4"/>
      <c r="D1492" s="5"/>
      <c r="G1492" s="5"/>
    </row>
    <row r="1493" ht="15.75" customHeight="1">
      <c r="A1493" s="5"/>
      <c r="C1493" s="4"/>
      <c r="D1493" s="5"/>
      <c r="G1493" s="5"/>
    </row>
    <row r="1494" ht="15.75" customHeight="1">
      <c r="A1494" s="5"/>
      <c r="C1494" s="4"/>
      <c r="D1494" s="5"/>
      <c r="G1494" s="5"/>
    </row>
    <row r="1495" ht="15.75" customHeight="1">
      <c r="A1495" s="5"/>
      <c r="C1495" s="4"/>
      <c r="D1495" s="5"/>
      <c r="G1495" s="5"/>
    </row>
    <row r="1496" ht="15.75" customHeight="1">
      <c r="A1496" s="5"/>
      <c r="C1496" s="4"/>
      <c r="D1496" s="5"/>
      <c r="G1496" s="5"/>
    </row>
    <row r="1497" ht="15.75" customHeight="1">
      <c r="A1497" s="5"/>
      <c r="C1497" s="4"/>
      <c r="D1497" s="5"/>
      <c r="G1497" s="5"/>
    </row>
    <row r="1498" ht="15.75" customHeight="1">
      <c r="A1498" s="5"/>
      <c r="C1498" s="4"/>
      <c r="D1498" s="5"/>
      <c r="G1498" s="5"/>
    </row>
    <row r="1499" ht="15.75" customHeight="1">
      <c r="A1499" s="5"/>
      <c r="C1499" s="4"/>
      <c r="D1499" s="5"/>
      <c r="G1499" s="5"/>
    </row>
    <row r="1500" ht="15.75" customHeight="1">
      <c r="A1500" s="5"/>
      <c r="C1500" s="4"/>
      <c r="D1500" s="5"/>
      <c r="G1500" s="5"/>
    </row>
    <row r="1501" ht="15.75" customHeight="1">
      <c r="A1501" s="5"/>
      <c r="C1501" s="4"/>
      <c r="D1501" s="5"/>
      <c r="G1501" s="5"/>
    </row>
    <row r="1502" ht="15.75" customHeight="1">
      <c r="A1502" s="5"/>
      <c r="C1502" s="4"/>
      <c r="D1502" s="5"/>
      <c r="G1502" s="5"/>
    </row>
    <row r="1503" ht="15.75" customHeight="1">
      <c r="A1503" s="5"/>
      <c r="C1503" s="4"/>
      <c r="D1503" s="5"/>
      <c r="G1503" s="5"/>
    </row>
    <row r="1504" ht="15.75" customHeight="1">
      <c r="A1504" s="5"/>
      <c r="C1504" s="4"/>
      <c r="D1504" s="5"/>
      <c r="G1504" s="5"/>
    </row>
    <row r="1505" ht="15.75" customHeight="1">
      <c r="A1505" s="5"/>
      <c r="C1505" s="4"/>
      <c r="D1505" s="5"/>
      <c r="G1505" s="5"/>
    </row>
    <row r="1506" ht="15.75" customHeight="1">
      <c r="A1506" s="5"/>
      <c r="C1506" s="4"/>
      <c r="D1506" s="5"/>
      <c r="G1506" s="5"/>
    </row>
    <row r="1507" ht="15.75" customHeight="1">
      <c r="A1507" s="5"/>
      <c r="C1507" s="4"/>
      <c r="D1507" s="5"/>
      <c r="G1507" s="5"/>
    </row>
    <row r="1508" ht="15.75" customHeight="1">
      <c r="A1508" s="5"/>
      <c r="C1508" s="4"/>
      <c r="D1508" s="5"/>
      <c r="G1508" s="5"/>
    </row>
    <row r="1509" ht="15.75" customHeight="1">
      <c r="A1509" s="5"/>
      <c r="C1509" s="4"/>
      <c r="D1509" s="5"/>
      <c r="G1509" s="5"/>
    </row>
    <row r="1510" ht="15.75" customHeight="1">
      <c r="A1510" s="5"/>
      <c r="C1510" s="4"/>
      <c r="D1510" s="5"/>
      <c r="G1510" s="5"/>
    </row>
    <row r="1511" ht="15.75" customHeight="1">
      <c r="A1511" s="5"/>
      <c r="C1511" s="4"/>
      <c r="D1511" s="5"/>
      <c r="G1511" s="5"/>
    </row>
    <row r="1512" ht="15.75" customHeight="1">
      <c r="A1512" s="5"/>
      <c r="C1512" s="4"/>
      <c r="D1512" s="5"/>
      <c r="G1512" s="5"/>
    </row>
    <row r="1513" ht="15.75" customHeight="1">
      <c r="A1513" s="5"/>
      <c r="C1513" s="4"/>
      <c r="D1513" s="5"/>
      <c r="G1513" s="5"/>
    </row>
    <row r="1514" ht="15.75" customHeight="1">
      <c r="A1514" s="5"/>
      <c r="C1514" s="4"/>
      <c r="D1514" s="5"/>
      <c r="G1514" s="5"/>
    </row>
    <row r="1515" ht="15.75" customHeight="1">
      <c r="A1515" s="5"/>
      <c r="C1515" s="4"/>
      <c r="D1515" s="5"/>
      <c r="G1515" s="5"/>
    </row>
    <row r="1516" ht="15.75" customHeight="1">
      <c r="A1516" s="5"/>
      <c r="C1516" s="4"/>
      <c r="D1516" s="5"/>
      <c r="G1516" s="5"/>
    </row>
    <row r="1517" ht="15.75" customHeight="1">
      <c r="A1517" s="5"/>
      <c r="C1517" s="4"/>
      <c r="D1517" s="5"/>
      <c r="G1517" s="5"/>
    </row>
    <row r="1518" ht="15.75" customHeight="1">
      <c r="A1518" s="5"/>
      <c r="C1518" s="4"/>
      <c r="D1518" s="5"/>
      <c r="G1518" s="5"/>
    </row>
    <row r="1519" ht="15.75" customHeight="1">
      <c r="A1519" s="5"/>
      <c r="C1519" s="4"/>
      <c r="D1519" s="5"/>
      <c r="G1519" s="5"/>
    </row>
    <row r="1520" ht="15.75" customHeight="1">
      <c r="A1520" s="5"/>
      <c r="C1520" s="4"/>
      <c r="D1520" s="5"/>
      <c r="G1520" s="5"/>
    </row>
    <row r="1521" ht="15.75" customHeight="1">
      <c r="A1521" s="5"/>
      <c r="C1521" s="4"/>
      <c r="D1521" s="5"/>
      <c r="G1521" s="5"/>
    </row>
    <row r="1522" ht="15.75" customHeight="1">
      <c r="A1522" s="5"/>
      <c r="C1522" s="4"/>
      <c r="D1522" s="5"/>
      <c r="G1522" s="5"/>
    </row>
    <row r="1523" ht="15.75" customHeight="1">
      <c r="A1523" s="5"/>
      <c r="C1523" s="4"/>
      <c r="D1523" s="5"/>
      <c r="G1523" s="5"/>
    </row>
    <row r="1524" ht="15.75" customHeight="1">
      <c r="A1524" s="5"/>
      <c r="C1524" s="4"/>
      <c r="D1524" s="5"/>
      <c r="G1524" s="5"/>
    </row>
    <row r="1525" ht="15.75" customHeight="1">
      <c r="A1525" s="5"/>
      <c r="C1525" s="4"/>
      <c r="D1525" s="5"/>
      <c r="G1525" s="5"/>
    </row>
    <row r="1526" ht="15.75" customHeight="1">
      <c r="A1526" s="5"/>
      <c r="C1526" s="4"/>
      <c r="D1526" s="5"/>
      <c r="G1526" s="5"/>
    </row>
    <row r="1527" ht="15.75" customHeight="1">
      <c r="A1527" s="5"/>
      <c r="C1527" s="4"/>
      <c r="D1527" s="5"/>
      <c r="G1527" s="5"/>
    </row>
    <row r="1528" ht="15.75" customHeight="1">
      <c r="A1528" s="5"/>
      <c r="C1528" s="4"/>
      <c r="D1528" s="5"/>
      <c r="G1528" s="5"/>
    </row>
    <row r="1529" ht="15.75" customHeight="1">
      <c r="A1529" s="5"/>
      <c r="C1529" s="4"/>
      <c r="D1529" s="5"/>
      <c r="G1529" s="5"/>
    </row>
    <row r="1530" ht="15.75" customHeight="1">
      <c r="A1530" s="5"/>
      <c r="C1530" s="4"/>
      <c r="D1530" s="5"/>
      <c r="G1530" s="5"/>
    </row>
    <row r="1531" ht="15.75" customHeight="1">
      <c r="A1531" s="5"/>
      <c r="C1531" s="4"/>
      <c r="D1531" s="5"/>
      <c r="G1531" s="5"/>
    </row>
    <row r="1532" ht="15.75" customHeight="1">
      <c r="A1532" s="5"/>
      <c r="C1532" s="4"/>
      <c r="D1532" s="5"/>
      <c r="G1532" s="5"/>
    </row>
    <row r="1533" ht="15.75" customHeight="1">
      <c r="A1533" s="5"/>
      <c r="C1533" s="4"/>
      <c r="D1533" s="5"/>
      <c r="G1533" s="5"/>
    </row>
    <row r="1534" ht="15.75" customHeight="1">
      <c r="A1534" s="5"/>
      <c r="C1534" s="4"/>
      <c r="D1534" s="5"/>
      <c r="G1534" s="5"/>
    </row>
    <row r="1535" ht="15.75" customHeight="1">
      <c r="A1535" s="5"/>
      <c r="C1535" s="4"/>
      <c r="D1535" s="5"/>
      <c r="G1535" s="5"/>
    </row>
    <row r="1536" ht="15.75" customHeight="1">
      <c r="A1536" s="5"/>
      <c r="C1536" s="4"/>
      <c r="D1536" s="5"/>
      <c r="G1536" s="5"/>
    </row>
    <row r="1537" ht="15.75" customHeight="1">
      <c r="A1537" s="5"/>
      <c r="C1537" s="4"/>
      <c r="D1537" s="5"/>
      <c r="G1537" s="5"/>
    </row>
    <row r="1538" ht="15.75" customHeight="1">
      <c r="A1538" s="5"/>
      <c r="C1538" s="4"/>
      <c r="D1538" s="5"/>
      <c r="G1538" s="5"/>
    </row>
    <row r="1539" ht="15.75" customHeight="1">
      <c r="A1539" s="5"/>
      <c r="C1539" s="4"/>
      <c r="D1539" s="5"/>
      <c r="G1539" s="5"/>
    </row>
    <row r="1540" ht="15.75" customHeight="1">
      <c r="A1540" s="5"/>
      <c r="C1540" s="4"/>
      <c r="D1540" s="5"/>
      <c r="G1540" s="5"/>
    </row>
    <row r="1541" ht="15.75" customHeight="1">
      <c r="A1541" s="5"/>
      <c r="C1541" s="4"/>
      <c r="D1541" s="5"/>
      <c r="G1541" s="5"/>
    </row>
    <row r="1542" ht="15.75" customHeight="1">
      <c r="A1542" s="5"/>
      <c r="C1542" s="4"/>
      <c r="D1542" s="5"/>
      <c r="G1542" s="5"/>
    </row>
    <row r="1543" ht="15.75" customHeight="1">
      <c r="A1543" s="5"/>
      <c r="C1543" s="4"/>
      <c r="D1543" s="5"/>
      <c r="G1543" s="5"/>
    </row>
    <row r="1544" ht="15.75" customHeight="1">
      <c r="A1544" s="5"/>
      <c r="C1544" s="4"/>
      <c r="D1544" s="5"/>
      <c r="G1544" s="5"/>
    </row>
    <row r="1545" ht="15.75" customHeight="1">
      <c r="A1545" s="5"/>
      <c r="C1545" s="4"/>
      <c r="D1545" s="5"/>
      <c r="G1545" s="5"/>
    </row>
    <row r="1546" ht="15.75" customHeight="1">
      <c r="A1546" s="5"/>
      <c r="C1546" s="4"/>
      <c r="D1546" s="5"/>
      <c r="G1546" s="5"/>
    </row>
    <row r="1547" ht="15.75" customHeight="1">
      <c r="A1547" s="5"/>
      <c r="C1547" s="4"/>
      <c r="D1547" s="5"/>
      <c r="G1547" s="5"/>
    </row>
    <row r="1548" ht="15.75" customHeight="1">
      <c r="A1548" s="5"/>
      <c r="C1548" s="4"/>
      <c r="D1548" s="5"/>
      <c r="G1548" s="5"/>
    </row>
    <row r="1549" ht="15.75" customHeight="1">
      <c r="A1549" s="5"/>
      <c r="C1549" s="4"/>
      <c r="D1549" s="5"/>
      <c r="G1549" s="5"/>
    </row>
    <row r="1550" ht="15.75" customHeight="1">
      <c r="A1550" s="5"/>
      <c r="C1550" s="4"/>
      <c r="D1550" s="5"/>
      <c r="G1550" s="5"/>
    </row>
    <row r="1551" ht="15.75" customHeight="1">
      <c r="A1551" s="5"/>
      <c r="C1551" s="4"/>
      <c r="D1551" s="5"/>
      <c r="G1551" s="5"/>
    </row>
    <row r="1552" ht="15.75" customHeight="1">
      <c r="A1552" s="5"/>
      <c r="C1552" s="4"/>
      <c r="D1552" s="5"/>
      <c r="G1552" s="5"/>
    </row>
    <row r="1553" ht="15.75" customHeight="1">
      <c r="A1553" s="5"/>
      <c r="C1553" s="4"/>
      <c r="D1553" s="5"/>
      <c r="G1553" s="5"/>
    </row>
    <row r="1554" ht="15.75" customHeight="1">
      <c r="A1554" s="5"/>
      <c r="C1554" s="4"/>
      <c r="D1554" s="5"/>
      <c r="G1554" s="5"/>
    </row>
    <row r="1555" ht="15.75" customHeight="1">
      <c r="A1555" s="5"/>
      <c r="C1555" s="4"/>
      <c r="D1555" s="5"/>
      <c r="G1555" s="5"/>
    </row>
    <row r="1556" ht="15.75" customHeight="1">
      <c r="A1556" s="5"/>
      <c r="C1556" s="4"/>
      <c r="D1556" s="5"/>
      <c r="G1556" s="5"/>
    </row>
    <row r="1557" ht="15.75" customHeight="1">
      <c r="A1557" s="5"/>
      <c r="C1557" s="4"/>
      <c r="D1557" s="5"/>
      <c r="G1557" s="5"/>
    </row>
    <row r="1558" ht="15.75" customHeight="1">
      <c r="A1558" s="5"/>
      <c r="C1558" s="4"/>
      <c r="D1558" s="5"/>
      <c r="G1558" s="5"/>
    </row>
    <row r="1559" ht="15.75" customHeight="1">
      <c r="A1559" s="5"/>
      <c r="C1559" s="4"/>
      <c r="D1559" s="5"/>
      <c r="G1559" s="5"/>
    </row>
    <row r="1560" ht="15.75" customHeight="1">
      <c r="A1560" s="5"/>
      <c r="C1560" s="4"/>
      <c r="D1560" s="5"/>
      <c r="G1560" s="5"/>
    </row>
    <row r="1561" ht="15.75" customHeight="1">
      <c r="A1561" s="5"/>
      <c r="C1561" s="4"/>
      <c r="D1561" s="5"/>
      <c r="G1561" s="5"/>
    </row>
    <row r="1562" ht="15.75" customHeight="1">
      <c r="A1562" s="5"/>
      <c r="C1562" s="4"/>
      <c r="D1562" s="5"/>
      <c r="G1562" s="5"/>
    </row>
    <row r="1563" ht="15.75" customHeight="1">
      <c r="A1563" s="5"/>
      <c r="C1563" s="4"/>
      <c r="D1563" s="5"/>
      <c r="G1563" s="5"/>
    </row>
    <row r="1564" ht="15.75" customHeight="1">
      <c r="A1564" s="5"/>
      <c r="C1564" s="4"/>
      <c r="D1564" s="5"/>
      <c r="G1564" s="5"/>
    </row>
    <row r="1565" ht="15.75" customHeight="1">
      <c r="A1565" s="5"/>
      <c r="C1565" s="4"/>
      <c r="D1565" s="5"/>
      <c r="G1565" s="5"/>
    </row>
    <row r="1566" ht="15.75" customHeight="1">
      <c r="A1566" s="5"/>
      <c r="C1566" s="4"/>
      <c r="D1566" s="5"/>
      <c r="G1566" s="5"/>
    </row>
    <row r="1567" ht="15.75" customHeight="1">
      <c r="A1567" s="5"/>
      <c r="C1567" s="4"/>
      <c r="D1567" s="5"/>
      <c r="G1567" s="5"/>
    </row>
    <row r="1568" ht="15.75" customHeight="1">
      <c r="A1568" s="5"/>
      <c r="C1568" s="4"/>
      <c r="D1568" s="5"/>
      <c r="G1568" s="5"/>
    </row>
    <row r="1569" ht="15.75" customHeight="1">
      <c r="A1569" s="5"/>
      <c r="C1569" s="4"/>
      <c r="D1569" s="5"/>
      <c r="G1569" s="5"/>
    </row>
    <row r="1570" ht="15.75" customHeight="1">
      <c r="A1570" s="5"/>
      <c r="C1570" s="4"/>
      <c r="D1570" s="5"/>
      <c r="G1570" s="5"/>
    </row>
    <row r="1571" ht="15.75" customHeight="1">
      <c r="A1571" s="5"/>
      <c r="C1571" s="4"/>
      <c r="D1571" s="5"/>
      <c r="G1571" s="5"/>
    </row>
    <row r="1572" ht="15.75" customHeight="1">
      <c r="A1572" s="5"/>
      <c r="C1572" s="4"/>
      <c r="D1572" s="5"/>
      <c r="G1572" s="5"/>
    </row>
    <row r="1573" ht="15.75" customHeight="1">
      <c r="A1573" s="5"/>
      <c r="C1573" s="4"/>
      <c r="D1573" s="5"/>
      <c r="G1573" s="5"/>
    </row>
    <row r="1574" ht="15.75" customHeight="1">
      <c r="A1574" s="5"/>
      <c r="C1574" s="4"/>
      <c r="D1574" s="5"/>
      <c r="G1574" s="5"/>
    </row>
    <row r="1575" ht="15.75" customHeight="1">
      <c r="A1575" s="5"/>
      <c r="C1575" s="4"/>
      <c r="D1575" s="5"/>
      <c r="G1575" s="5"/>
    </row>
    <row r="1576" ht="15.75" customHeight="1">
      <c r="A1576" s="5"/>
      <c r="C1576" s="4"/>
      <c r="D1576" s="5"/>
      <c r="G1576" s="5"/>
    </row>
    <row r="1577" ht="15.75" customHeight="1">
      <c r="A1577" s="5"/>
      <c r="C1577" s="4"/>
      <c r="D1577" s="5"/>
      <c r="G1577" s="5"/>
    </row>
    <row r="1578" ht="15.75" customHeight="1">
      <c r="A1578" s="5"/>
      <c r="C1578" s="4"/>
      <c r="D1578" s="5"/>
      <c r="G1578" s="5"/>
    </row>
    <row r="1579" ht="15.75" customHeight="1">
      <c r="A1579" s="5"/>
      <c r="C1579" s="4"/>
      <c r="D1579" s="5"/>
      <c r="G1579" s="5"/>
    </row>
    <row r="1580" ht="15.75" customHeight="1">
      <c r="A1580" s="5"/>
      <c r="C1580" s="4"/>
      <c r="D1580" s="5"/>
      <c r="G1580" s="5"/>
    </row>
    <row r="1581" ht="15.75" customHeight="1">
      <c r="A1581" s="5"/>
      <c r="C1581" s="4"/>
      <c r="D1581" s="5"/>
      <c r="G1581" s="5"/>
    </row>
    <row r="1582" ht="15.75" customHeight="1">
      <c r="A1582" s="5"/>
      <c r="C1582" s="4"/>
      <c r="D1582" s="5"/>
      <c r="G1582" s="5"/>
    </row>
    <row r="1583" ht="15.75" customHeight="1">
      <c r="A1583" s="5"/>
      <c r="C1583" s="4"/>
      <c r="D1583" s="5"/>
      <c r="G1583" s="5"/>
    </row>
    <row r="1584" ht="15.75" customHeight="1">
      <c r="A1584" s="5"/>
      <c r="C1584" s="4"/>
      <c r="D1584" s="5"/>
      <c r="G1584" s="5"/>
    </row>
    <row r="1585" ht="15.75" customHeight="1">
      <c r="A1585" s="5"/>
      <c r="C1585" s="4"/>
      <c r="D1585" s="5"/>
      <c r="G1585" s="5"/>
    </row>
    <row r="1586" ht="15.75" customHeight="1">
      <c r="A1586" s="5"/>
      <c r="C1586" s="4"/>
      <c r="D1586" s="5"/>
      <c r="G1586" s="5"/>
    </row>
    <row r="1587" ht="15.75" customHeight="1">
      <c r="A1587" s="5"/>
      <c r="C1587" s="4"/>
      <c r="D1587" s="5"/>
      <c r="G1587" s="5"/>
    </row>
    <row r="1588" ht="15.75" customHeight="1">
      <c r="A1588" s="5"/>
      <c r="C1588" s="4"/>
      <c r="D1588" s="5"/>
      <c r="G1588" s="5"/>
    </row>
    <row r="1589" ht="15.75" customHeight="1">
      <c r="A1589" s="5"/>
      <c r="C1589" s="4"/>
      <c r="D1589" s="5"/>
      <c r="G1589" s="5"/>
    </row>
    <row r="1590" ht="15.75" customHeight="1">
      <c r="A1590" s="5"/>
      <c r="C1590" s="4"/>
      <c r="D1590" s="5"/>
      <c r="G1590" s="5"/>
    </row>
    <row r="1591" ht="15.75" customHeight="1">
      <c r="A1591" s="5"/>
      <c r="C1591" s="4"/>
      <c r="D1591" s="5"/>
      <c r="G1591" s="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6" width="11.22"/>
  </cols>
  <sheetData>
    <row r="1">
      <c r="A1" s="1" t="s">
        <v>0</v>
      </c>
      <c r="B1" s="1" t="s">
        <v>1</v>
      </c>
      <c r="C1" s="2" t="s">
        <v>2</v>
      </c>
      <c r="D1" s="63" t="s">
        <v>83</v>
      </c>
      <c r="E1" s="64" t="s">
        <v>84</v>
      </c>
      <c r="G1" s="5"/>
    </row>
    <row r="2">
      <c r="A2" s="5" t="s">
        <v>85</v>
      </c>
      <c r="C2" s="4"/>
      <c r="D2" s="5"/>
      <c r="E2" s="65"/>
      <c r="G2" s="5"/>
    </row>
    <row r="3">
      <c r="A3" s="1"/>
      <c r="C3" s="4"/>
      <c r="D3" s="5"/>
      <c r="E3" s="65"/>
      <c r="G3" s="5"/>
    </row>
    <row r="4">
      <c r="A4" s="5" t="s">
        <v>11</v>
      </c>
      <c r="B4" s="41">
        <v>6429.0</v>
      </c>
      <c r="C4" s="41">
        <v>6519.0</v>
      </c>
      <c r="D4" s="5">
        <f t="shared" ref="D4:D14" si="1">C4-B4</f>
        <v>90</v>
      </c>
      <c r="E4" s="66">
        <f t="shared" ref="E4:E14" si="2">D4*9.88</f>
        <v>889.2</v>
      </c>
      <c r="F4" s="5"/>
      <c r="G4" s="7"/>
      <c r="H4" s="7"/>
      <c r="I4" s="7"/>
      <c r="J4" s="7"/>
      <c r="K4" s="7"/>
      <c r="L4" s="43"/>
      <c r="M4" s="43"/>
      <c r="N4" s="43"/>
    </row>
    <row r="5">
      <c r="A5" s="5" t="s">
        <v>12</v>
      </c>
      <c r="B5" s="41">
        <v>4906.0</v>
      </c>
      <c r="C5" s="41">
        <v>4964.0</v>
      </c>
      <c r="D5" s="5">
        <f t="shared" si="1"/>
        <v>58</v>
      </c>
      <c r="E5" s="66">
        <f t="shared" si="2"/>
        <v>573.04</v>
      </c>
      <c r="F5" s="5"/>
      <c r="G5" s="7"/>
      <c r="H5" s="7"/>
      <c r="I5" s="7"/>
      <c r="J5" s="7"/>
      <c r="K5" s="7"/>
      <c r="L5" s="43"/>
      <c r="M5" s="43"/>
      <c r="N5" s="43"/>
    </row>
    <row r="6">
      <c r="A6" s="5" t="s">
        <v>13</v>
      </c>
      <c r="B6" s="41">
        <v>6681.0</v>
      </c>
      <c r="C6" s="41">
        <v>6779.0</v>
      </c>
      <c r="D6" s="5">
        <f t="shared" si="1"/>
        <v>98</v>
      </c>
      <c r="E6" s="66">
        <f t="shared" si="2"/>
        <v>968.24</v>
      </c>
      <c r="F6" s="5"/>
      <c r="G6" s="7"/>
      <c r="H6" s="7"/>
      <c r="I6" s="7"/>
      <c r="J6" s="7"/>
      <c r="K6" s="7"/>
      <c r="L6" s="43"/>
      <c r="M6" s="43"/>
      <c r="N6" s="43"/>
    </row>
    <row r="7">
      <c r="A7" s="5" t="s">
        <v>14</v>
      </c>
      <c r="B7" s="41">
        <v>4729.0</v>
      </c>
      <c r="C7" s="41">
        <v>4803.0</v>
      </c>
      <c r="D7" s="5">
        <f t="shared" si="1"/>
        <v>74</v>
      </c>
      <c r="E7" s="66">
        <f t="shared" si="2"/>
        <v>731.12</v>
      </c>
      <c r="F7" s="5"/>
      <c r="G7" s="7"/>
      <c r="H7" s="7"/>
      <c r="I7" s="7"/>
      <c r="J7" s="7"/>
      <c r="K7" s="7"/>
      <c r="L7" s="43"/>
      <c r="M7" s="43"/>
      <c r="N7" s="43"/>
    </row>
    <row r="8">
      <c r="A8" s="5" t="s">
        <v>15</v>
      </c>
      <c r="B8" s="41">
        <v>5836.0</v>
      </c>
      <c r="C8" s="41">
        <v>5882.0</v>
      </c>
      <c r="D8" s="5">
        <f t="shared" si="1"/>
        <v>46</v>
      </c>
      <c r="E8" s="66">
        <f t="shared" si="2"/>
        <v>454.48</v>
      </c>
      <c r="F8" s="5"/>
      <c r="G8" s="7"/>
      <c r="H8" s="7"/>
      <c r="I8" s="7"/>
      <c r="J8" s="7"/>
      <c r="K8" s="7"/>
      <c r="L8" s="43"/>
      <c r="M8" s="43"/>
      <c r="N8" s="43"/>
    </row>
    <row r="9">
      <c r="A9" s="5" t="s">
        <v>16</v>
      </c>
      <c r="B9" s="41">
        <v>4205.0</v>
      </c>
      <c r="C9" s="41">
        <v>4274.0</v>
      </c>
      <c r="D9" s="5">
        <f t="shared" si="1"/>
        <v>69</v>
      </c>
      <c r="E9" s="66">
        <f t="shared" si="2"/>
        <v>681.72</v>
      </c>
      <c r="F9" s="5"/>
      <c r="G9" s="7"/>
      <c r="H9" s="7"/>
      <c r="I9" s="7"/>
      <c r="J9" s="7"/>
      <c r="K9" s="7"/>
      <c r="L9" s="43"/>
      <c r="M9" s="43"/>
      <c r="N9" s="43"/>
    </row>
    <row r="10">
      <c r="A10" s="5" t="s">
        <v>17</v>
      </c>
      <c r="B10" s="41">
        <v>6014.0</v>
      </c>
      <c r="C10" s="41">
        <v>6068.0</v>
      </c>
      <c r="D10" s="5">
        <f t="shared" si="1"/>
        <v>54</v>
      </c>
      <c r="E10" s="66">
        <f t="shared" si="2"/>
        <v>533.52</v>
      </c>
      <c r="F10" s="5"/>
      <c r="G10" s="7"/>
      <c r="H10" s="7"/>
      <c r="I10" s="7"/>
      <c r="J10" s="7"/>
      <c r="K10" s="7"/>
      <c r="L10" s="43"/>
      <c r="M10" s="43"/>
      <c r="N10" s="43"/>
    </row>
    <row r="11">
      <c r="A11" s="5" t="s">
        <v>18</v>
      </c>
      <c r="B11" s="41">
        <v>6137.0</v>
      </c>
      <c r="C11" s="41">
        <v>6229.0</v>
      </c>
      <c r="D11" s="5">
        <f t="shared" si="1"/>
        <v>92</v>
      </c>
      <c r="E11" s="66">
        <f t="shared" si="2"/>
        <v>908.96</v>
      </c>
      <c r="F11" s="5"/>
      <c r="G11" s="7"/>
      <c r="H11" s="7"/>
      <c r="I11" s="7"/>
      <c r="J11" s="7"/>
      <c r="K11" s="7"/>
      <c r="L11" s="43"/>
      <c r="M11" s="43"/>
      <c r="N11" s="43"/>
    </row>
    <row r="12">
      <c r="A12" s="40" t="s">
        <v>19</v>
      </c>
      <c r="B12" s="41">
        <v>137492.0</v>
      </c>
      <c r="C12" s="41">
        <v>139080.0</v>
      </c>
      <c r="D12" s="5">
        <f t="shared" si="1"/>
        <v>1588</v>
      </c>
      <c r="E12" s="66">
        <f t="shared" si="2"/>
        <v>15689.44</v>
      </c>
      <c r="F12" s="5"/>
      <c r="G12" s="7"/>
      <c r="H12" s="7"/>
      <c r="I12" s="7"/>
      <c r="J12" s="7"/>
      <c r="K12" s="7"/>
      <c r="L12" s="43"/>
      <c r="M12" s="43"/>
      <c r="N12" s="43"/>
    </row>
    <row r="13">
      <c r="A13" s="5" t="s">
        <v>30</v>
      </c>
      <c r="B13" s="41">
        <v>1930.0</v>
      </c>
      <c r="C13" s="41">
        <v>2084.0</v>
      </c>
      <c r="D13" s="5">
        <f t="shared" si="1"/>
        <v>154</v>
      </c>
      <c r="E13" s="66">
        <f t="shared" si="2"/>
        <v>1521.52</v>
      </c>
      <c r="F13" s="5"/>
      <c r="G13" s="7"/>
      <c r="H13" s="7"/>
      <c r="I13" s="7"/>
      <c r="J13" s="7"/>
      <c r="K13" s="7"/>
      <c r="L13" s="43"/>
      <c r="M13" s="43"/>
      <c r="N13" s="43"/>
    </row>
    <row r="14">
      <c r="A14" s="67" t="s">
        <v>86</v>
      </c>
      <c r="B14" s="41">
        <v>9915.0</v>
      </c>
      <c r="C14" s="41">
        <v>10753.0</v>
      </c>
      <c r="D14" s="5">
        <f t="shared" si="1"/>
        <v>838</v>
      </c>
      <c r="E14" s="66">
        <f t="shared" si="2"/>
        <v>8279.44</v>
      </c>
      <c r="F14" s="5"/>
      <c r="G14" s="7"/>
      <c r="H14" s="7"/>
      <c r="I14" s="7"/>
      <c r="J14" s="7"/>
      <c r="K14" s="7"/>
      <c r="L14" s="68"/>
      <c r="M14" s="43"/>
      <c r="N14" s="43"/>
    </row>
    <row r="15">
      <c r="A15" s="69" t="s">
        <v>87</v>
      </c>
      <c r="B15" s="41"/>
      <c r="C15" s="41">
        <v>30874.0</v>
      </c>
      <c r="D15" s="5"/>
      <c r="E15" s="66"/>
      <c r="F15" s="5"/>
      <c r="G15" s="7"/>
      <c r="H15" s="7"/>
      <c r="I15" s="7"/>
      <c r="J15" s="7"/>
      <c r="K15" s="7"/>
      <c r="L15" s="68"/>
      <c r="M15" s="43"/>
      <c r="N15" s="43"/>
    </row>
    <row r="16">
      <c r="A16" s="70" t="s">
        <v>88</v>
      </c>
      <c r="B16" s="41"/>
      <c r="C16" s="41"/>
      <c r="D16" s="5"/>
      <c r="E16" s="66"/>
      <c r="F16" s="71">
        <v>1000.0</v>
      </c>
      <c r="G16" s="72" t="s">
        <v>89</v>
      </c>
      <c r="H16" s="7"/>
      <c r="I16" s="7"/>
      <c r="J16" s="7"/>
      <c r="K16" s="7"/>
      <c r="L16" s="68"/>
      <c r="M16" s="43"/>
      <c r="N16" s="43"/>
    </row>
    <row r="17">
      <c r="A17" s="73" t="s">
        <v>90</v>
      </c>
      <c r="B17" s="41"/>
      <c r="C17" s="41"/>
      <c r="D17" s="5"/>
      <c r="E17" s="66"/>
      <c r="F17" s="5"/>
      <c r="G17" s="7"/>
      <c r="H17" s="7"/>
      <c r="I17" s="7"/>
      <c r="J17" s="7"/>
      <c r="K17" s="7"/>
      <c r="L17" s="68"/>
      <c r="M17" s="43"/>
      <c r="N17" s="43"/>
    </row>
    <row r="18">
      <c r="A18" s="5"/>
      <c r="B18" s="49"/>
      <c r="C18" s="49"/>
      <c r="D18" s="5">
        <f t="shared" ref="D18:E18" si="3">SUM(D2:D14)</f>
        <v>3161</v>
      </c>
      <c r="E18" s="65">
        <f t="shared" si="3"/>
        <v>31230.68</v>
      </c>
      <c r="G18" s="5"/>
    </row>
    <row r="19">
      <c r="A19" s="5"/>
      <c r="B19" s="49"/>
      <c r="C19" s="49"/>
      <c r="D19" s="5"/>
      <c r="E19" s="65"/>
      <c r="G19" s="5"/>
    </row>
    <row r="20">
      <c r="A20" s="5" t="s">
        <v>91</v>
      </c>
      <c r="C20" s="4"/>
      <c r="D20" s="5"/>
      <c r="E20" s="65"/>
      <c r="G20" s="5"/>
    </row>
    <row r="21" ht="15.75" customHeight="1">
      <c r="A21" s="1"/>
      <c r="C21" s="4"/>
      <c r="D21" s="5"/>
      <c r="E21" s="65"/>
      <c r="G21" s="5"/>
    </row>
    <row r="22" ht="15.75" customHeight="1">
      <c r="A22" s="5" t="s">
        <v>11</v>
      </c>
      <c r="B22" s="41">
        <v>6519.0</v>
      </c>
      <c r="C22" s="41">
        <v>6601.0</v>
      </c>
      <c r="D22" s="5">
        <f t="shared" ref="D22:D33" si="4">C22-B22</f>
        <v>82</v>
      </c>
      <c r="E22" s="66">
        <f t="shared" ref="E22:E34" si="5">D22*9.88</f>
        <v>810.16</v>
      </c>
    </row>
    <row r="23" ht="15.75" customHeight="1">
      <c r="A23" s="5" t="s">
        <v>12</v>
      </c>
      <c r="B23" s="41">
        <v>4964.0</v>
      </c>
      <c r="C23" s="41">
        <v>5019.0</v>
      </c>
      <c r="D23" s="5">
        <f t="shared" si="4"/>
        <v>55</v>
      </c>
      <c r="E23" s="66">
        <f t="shared" si="5"/>
        <v>543.4</v>
      </c>
    </row>
    <row r="24" ht="15.75" customHeight="1">
      <c r="A24" s="5" t="s">
        <v>13</v>
      </c>
      <c r="B24" s="41">
        <v>6779.0</v>
      </c>
      <c r="C24" s="41">
        <v>6853.0</v>
      </c>
      <c r="D24" s="5">
        <f t="shared" si="4"/>
        <v>74</v>
      </c>
      <c r="E24" s="66">
        <f t="shared" si="5"/>
        <v>731.12</v>
      </c>
    </row>
    <row r="25" ht="15.75" customHeight="1">
      <c r="A25" s="5" t="s">
        <v>14</v>
      </c>
      <c r="B25" s="41">
        <v>4803.0</v>
      </c>
      <c r="C25" s="41">
        <v>4874.0</v>
      </c>
      <c r="D25" s="5">
        <f t="shared" si="4"/>
        <v>71</v>
      </c>
      <c r="E25" s="66">
        <f t="shared" si="5"/>
        <v>701.48</v>
      </c>
    </row>
    <row r="26" ht="15.75" customHeight="1">
      <c r="A26" s="5" t="s">
        <v>15</v>
      </c>
      <c r="B26" s="41">
        <v>5882.0</v>
      </c>
      <c r="C26" s="41">
        <v>5942.0</v>
      </c>
      <c r="D26" s="5">
        <f t="shared" si="4"/>
        <v>60</v>
      </c>
      <c r="E26" s="66">
        <f t="shared" si="5"/>
        <v>592.8</v>
      </c>
    </row>
    <row r="27" ht="15.75" customHeight="1">
      <c r="A27" s="5" t="s">
        <v>16</v>
      </c>
      <c r="B27" s="41">
        <v>4274.0</v>
      </c>
      <c r="C27" s="41">
        <v>4332.0</v>
      </c>
      <c r="D27" s="5">
        <f t="shared" si="4"/>
        <v>58</v>
      </c>
      <c r="E27" s="66">
        <f t="shared" si="5"/>
        <v>573.04</v>
      </c>
    </row>
    <row r="28" ht="15.75" customHeight="1">
      <c r="A28" s="5" t="s">
        <v>17</v>
      </c>
      <c r="B28" s="41">
        <v>6068.0</v>
      </c>
      <c r="C28" s="41">
        <v>6148.0</v>
      </c>
      <c r="D28" s="5">
        <f t="shared" si="4"/>
        <v>80</v>
      </c>
      <c r="E28" s="66">
        <f t="shared" si="5"/>
        <v>790.4</v>
      </c>
    </row>
    <row r="29" ht="15.75" customHeight="1">
      <c r="A29" s="5" t="s">
        <v>18</v>
      </c>
      <c r="B29" s="41">
        <v>6229.0</v>
      </c>
      <c r="C29" s="41">
        <v>6323.0</v>
      </c>
      <c r="D29" s="5">
        <f t="shared" si="4"/>
        <v>94</v>
      </c>
      <c r="E29" s="66">
        <f t="shared" si="5"/>
        <v>928.72</v>
      </c>
    </row>
    <row r="30" ht="15.75" customHeight="1">
      <c r="A30" s="40" t="s">
        <v>19</v>
      </c>
      <c r="B30" s="41">
        <v>139080.0</v>
      </c>
      <c r="C30" s="41">
        <v>140597.0</v>
      </c>
      <c r="D30" s="5">
        <f t="shared" si="4"/>
        <v>1517</v>
      </c>
      <c r="E30" s="66">
        <f t="shared" si="5"/>
        <v>14987.96</v>
      </c>
    </row>
    <row r="31" ht="15.75" customHeight="1">
      <c r="A31" s="5" t="s">
        <v>30</v>
      </c>
      <c r="B31" s="41">
        <v>2084.0</v>
      </c>
      <c r="C31" s="41">
        <v>2236.0</v>
      </c>
      <c r="D31" s="5">
        <f t="shared" si="4"/>
        <v>152</v>
      </c>
      <c r="E31" s="66">
        <f t="shared" si="5"/>
        <v>1501.76</v>
      </c>
    </row>
    <row r="32" ht="15.75" customHeight="1">
      <c r="A32" s="67" t="s">
        <v>86</v>
      </c>
      <c r="B32" s="41">
        <v>10753.0</v>
      </c>
      <c r="C32" s="41">
        <v>11549.0</v>
      </c>
      <c r="D32" s="5">
        <f t="shared" si="4"/>
        <v>796</v>
      </c>
      <c r="E32" s="66">
        <f t="shared" si="5"/>
        <v>7864.48</v>
      </c>
    </row>
    <row r="33" ht="15.75" customHeight="1">
      <c r="A33" s="69" t="s">
        <v>87</v>
      </c>
      <c r="B33" s="41">
        <v>30874.0</v>
      </c>
      <c r="C33" s="41">
        <v>31021.0</v>
      </c>
      <c r="D33" s="5">
        <f t="shared" si="4"/>
        <v>147</v>
      </c>
      <c r="E33" s="66">
        <f t="shared" si="5"/>
        <v>1452.36</v>
      </c>
    </row>
    <row r="34" ht="15.75" customHeight="1">
      <c r="A34" s="70" t="s">
        <v>88</v>
      </c>
      <c r="B34" s="74"/>
      <c r="C34" s="74"/>
      <c r="D34" s="75">
        <f>D32-D33</f>
        <v>649</v>
      </c>
      <c r="E34" s="76">
        <f t="shared" si="5"/>
        <v>6412.12</v>
      </c>
      <c r="G34" s="77">
        <v>1000.0</v>
      </c>
      <c r="H34" s="77" t="s">
        <v>92</v>
      </c>
      <c r="I34" s="78">
        <f>E34-G34</f>
        <v>5412.12</v>
      </c>
      <c r="J34" s="77" t="s">
        <v>93</v>
      </c>
    </row>
    <row r="35" ht="15.75" customHeight="1">
      <c r="A35" s="73" t="s">
        <v>90</v>
      </c>
      <c r="B35" s="79"/>
      <c r="C35" s="79"/>
      <c r="D35" s="80">
        <f>SUM(D22:D32)-D33</f>
        <v>2892</v>
      </c>
      <c r="E35" s="81">
        <f>SUM(E22:E33)-E34</f>
        <v>25065.56</v>
      </c>
    </row>
    <row r="36" ht="15.75" customHeight="1">
      <c r="A36" s="5"/>
      <c r="B36" s="49"/>
      <c r="C36" s="49"/>
      <c r="D36" s="5"/>
      <c r="E36" s="65"/>
    </row>
    <row r="37" ht="15.75" customHeight="1">
      <c r="E37" s="65"/>
    </row>
    <row r="38" ht="15.75" customHeight="1">
      <c r="A38" s="5" t="s">
        <v>94</v>
      </c>
      <c r="C38" s="4"/>
      <c r="D38" s="5"/>
      <c r="E38" s="65"/>
    </row>
    <row r="39" ht="15.75" customHeight="1">
      <c r="A39" s="1"/>
      <c r="C39" s="4"/>
      <c r="D39" s="5"/>
      <c r="E39" s="65"/>
    </row>
    <row r="40" ht="15.75" customHeight="1">
      <c r="A40" s="5" t="s">
        <v>11</v>
      </c>
      <c r="B40" s="41">
        <v>6601.0</v>
      </c>
      <c r="C40" s="41">
        <v>6651.0</v>
      </c>
      <c r="D40" s="5">
        <f t="shared" ref="D40:D51" si="6">C40-B40</f>
        <v>50</v>
      </c>
      <c r="E40" s="66">
        <f t="shared" ref="E40:E52" si="7">D40*9.88</f>
        <v>494</v>
      </c>
    </row>
    <row r="41" ht="15.75" customHeight="1">
      <c r="A41" s="5" t="s">
        <v>12</v>
      </c>
      <c r="B41" s="41">
        <v>5019.0</v>
      </c>
      <c r="C41" s="41">
        <v>5088.0</v>
      </c>
      <c r="D41" s="5">
        <f t="shared" si="6"/>
        <v>69</v>
      </c>
      <c r="E41" s="66">
        <f t="shared" si="7"/>
        <v>681.72</v>
      </c>
    </row>
    <row r="42" ht="15.75" customHeight="1">
      <c r="A42" s="5" t="s">
        <v>13</v>
      </c>
      <c r="B42" s="41">
        <v>6853.0</v>
      </c>
      <c r="C42" s="41">
        <v>6915.0</v>
      </c>
      <c r="D42" s="5">
        <f t="shared" si="6"/>
        <v>62</v>
      </c>
      <c r="E42" s="66">
        <f t="shared" si="7"/>
        <v>612.56</v>
      </c>
    </row>
    <row r="43" ht="15.75" customHeight="1">
      <c r="A43" s="5" t="s">
        <v>14</v>
      </c>
      <c r="B43" s="41">
        <v>4874.0</v>
      </c>
      <c r="C43" s="41">
        <v>4973.0</v>
      </c>
      <c r="D43" s="5">
        <f t="shared" si="6"/>
        <v>99</v>
      </c>
      <c r="E43" s="66">
        <f t="shared" si="7"/>
        <v>978.12</v>
      </c>
    </row>
    <row r="44" ht="15.75" customHeight="1">
      <c r="A44" s="5" t="s">
        <v>15</v>
      </c>
      <c r="B44" s="41">
        <v>5942.0</v>
      </c>
      <c r="C44" s="41">
        <v>5996.0</v>
      </c>
      <c r="D44" s="5">
        <f t="shared" si="6"/>
        <v>54</v>
      </c>
      <c r="E44" s="66">
        <f t="shared" si="7"/>
        <v>533.52</v>
      </c>
    </row>
    <row r="45" ht="15.75" customHeight="1">
      <c r="A45" s="5" t="s">
        <v>16</v>
      </c>
      <c r="B45" s="41">
        <v>4332.0</v>
      </c>
      <c r="C45" s="41">
        <v>4397.0</v>
      </c>
      <c r="D45" s="5">
        <f t="shared" si="6"/>
        <v>65</v>
      </c>
      <c r="E45" s="66">
        <f t="shared" si="7"/>
        <v>642.2</v>
      </c>
    </row>
    <row r="46" ht="15.75" customHeight="1">
      <c r="A46" s="5" t="s">
        <v>17</v>
      </c>
      <c r="B46" s="41">
        <v>6148.0</v>
      </c>
      <c r="C46" s="41">
        <v>6210.0</v>
      </c>
      <c r="D46" s="5">
        <f t="shared" si="6"/>
        <v>62</v>
      </c>
      <c r="E46" s="66">
        <f t="shared" si="7"/>
        <v>612.56</v>
      </c>
    </row>
    <row r="47" ht="15.75" customHeight="1">
      <c r="A47" s="5" t="s">
        <v>18</v>
      </c>
      <c r="B47" s="41">
        <v>6323.0</v>
      </c>
      <c r="C47" s="41">
        <v>6390.0</v>
      </c>
      <c r="D47" s="5">
        <f t="shared" si="6"/>
        <v>67</v>
      </c>
      <c r="E47" s="66">
        <f t="shared" si="7"/>
        <v>661.96</v>
      </c>
    </row>
    <row r="48" ht="15.75" customHeight="1">
      <c r="A48" s="40" t="s">
        <v>19</v>
      </c>
      <c r="B48" s="41">
        <v>140597.0</v>
      </c>
      <c r="C48" s="41">
        <v>142163.0</v>
      </c>
      <c r="D48" s="5">
        <f t="shared" si="6"/>
        <v>1566</v>
      </c>
      <c r="E48" s="66">
        <f t="shared" si="7"/>
        <v>15472.08</v>
      </c>
    </row>
    <row r="49" ht="15.75" customHeight="1">
      <c r="A49" s="5" t="s">
        <v>30</v>
      </c>
      <c r="B49" s="41">
        <v>2236.0</v>
      </c>
      <c r="C49" s="41">
        <v>2383.0</v>
      </c>
      <c r="D49" s="5">
        <f t="shared" si="6"/>
        <v>147</v>
      </c>
      <c r="E49" s="66">
        <f t="shared" si="7"/>
        <v>1452.36</v>
      </c>
    </row>
    <row r="50" ht="15.75" customHeight="1">
      <c r="A50" s="67" t="s">
        <v>86</v>
      </c>
      <c r="B50" s="41">
        <v>11549.0</v>
      </c>
      <c r="C50" s="41">
        <v>12315.0</v>
      </c>
      <c r="D50" s="5">
        <f t="shared" si="6"/>
        <v>766</v>
      </c>
      <c r="E50" s="66">
        <f t="shared" si="7"/>
        <v>7568.08</v>
      </c>
    </row>
    <row r="51" ht="15.75" customHeight="1">
      <c r="A51" s="69" t="s">
        <v>87</v>
      </c>
      <c r="B51" s="49">
        <v>31021.0</v>
      </c>
      <c r="C51" s="49">
        <v>31227.0</v>
      </c>
      <c r="D51" s="5">
        <f t="shared" si="6"/>
        <v>206</v>
      </c>
      <c r="E51" s="66">
        <f t="shared" si="7"/>
        <v>2035.28</v>
      </c>
    </row>
    <row r="52" ht="15.75" customHeight="1">
      <c r="A52" s="70" t="s">
        <v>88</v>
      </c>
      <c r="B52" s="82"/>
      <c r="C52" s="82"/>
      <c r="D52" s="75">
        <f>D50-D51</f>
        <v>560</v>
      </c>
      <c r="E52" s="76">
        <f t="shared" si="7"/>
        <v>5532.8</v>
      </c>
      <c r="G52" s="77">
        <v>1000.0</v>
      </c>
      <c r="H52" s="77" t="s">
        <v>92</v>
      </c>
      <c r="I52" s="78">
        <f>E52-G52</f>
        <v>4532.8</v>
      </c>
      <c r="J52" s="77" t="s">
        <v>93</v>
      </c>
    </row>
    <row r="53" ht="15.75" customHeight="1">
      <c r="A53" s="73" t="s">
        <v>90</v>
      </c>
      <c r="B53" s="83"/>
      <c r="C53" s="83"/>
      <c r="D53" s="84">
        <f t="shared" ref="D53:E53" si="8">SUM(D40:D51)-D52</f>
        <v>2653</v>
      </c>
      <c r="E53" s="85">
        <f t="shared" si="8"/>
        <v>26211.64</v>
      </c>
    </row>
    <row r="54" ht="15.75" customHeight="1">
      <c r="E54" s="65"/>
    </row>
    <row r="55" ht="15.75" customHeight="1">
      <c r="A55" s="5" t="s">
        <v>95</v>
      </c>
      <c r="C55" s="4"/>
      <c r="D55" s="5"/>
      <c r="E55" s="65"/>
    </row>
    <row r="56" ht="15.75" customHeight="1">
      <c r="A56" s="1"/>
      <c r="C56" s="4"/>
      <c r="D56" s="5"/>
      <c r="E56" s="65"/>
    </row>
    <row r="57" ht="15.75" customHeight="1">
      <c r="A57" s="5" t="s">
        <v>11</v>
      </c>
      <c r="B57" s="41">
        <v>6651.0</v>
      </c>
      <c r="C57" s="41">
        <v>6709.0</v>
      </c>
      <c r="D57" s="5">
        <f t="shared" ref="D57:D68" si="9">C57-B57</f>
        <v>58</v>
      </c>
      <c r="E57" s="66">
        <f t="shared" ref="E57:E69" si="10">D57*9.88</f>
        <v>573.04</v>
      </c>
    </row>
    <row r="58" ht="15.75" customHeight="1">
      <c r="A58" s="5" t="s">
        <v>12</v>
      </c>
      <c r="B58" s="41">
        <v>5088.0</v>
      </c>
      <c r="C58" s="41">
        <v>5151.0</v>
      </c>
      <c r="D58" s="5">
        <f t="shared" si="9"/>
        <v>63</v>
      </c>
      <c r="E58" s="66">
        <f t="shared" si="10"/>
        <v>622.44</v>
      </c>
    </row>
    <row r="59" ht="15.75" customHeight="1">
      <c r="A59" s="5" t="s">
        <v>13</v>
      </c>
      <c r="B59" s="41">
        <v>6915.0</v>
      </c>
      <c r="C59" s="41">
        <v>6979.0</v>
      </c>
      <c r="D59" s="5">
        <f t="shared" si="9"/>
        <v>64</v>
      </c>
      <c r="E59" s="66">
        <f t="shared" si="10"/>
        <v>632.32</v>
      </c>
    </row>
    <row r="60" ht="15.75" customHeight="1">
      <c r="A60" s="5" t="s">
        <v>14</v>
      </c>
      <c r="B60" s="41">
        <v>4973.0</v>
      </c>
      <c r="C60" s="41">
        <v>5034.0</v>
      </c>
      <c r="D60" s="5">
        <f t="shared" si="9"/>
        <v>61</v>
      </c>
      <c r="E60" s="66">
        <f t="shared" si="10"/>
        <v>602.68</v>
      </c>
    </row>
    <row r="61" ht="15.75" customHeight="1">
      <c r="A61" s="5" t="s">
        <v>15</v>
      </c>
      <c r="B61" s="41">
        <v>5996.0</v>
      </c>
      <c r="C61" s="41">
        <v>6053.0</v>
      </c>
      <c r="D61" s="5">
        <f t="shared" si="9"/>
        <v>57</v>
      </c>
      <c r="E61" s="66">
        <f t="shared" si="10"/>
        <v>563.16</v>
      </c>
    </row>
    <row r="62" ht="15.75" customHeight="1">
      <c r="A62" s="5" t="s">
        <v>16</v>
      </c>
      <c r="B62" s="41">
        <v>4397.0</v>
      </c>
      <c r="C62" s="41">
        <v>4451.0</v>
      </c>
      <c r="D62" s="5">
        <f t="shared" si="9"/>
        <v>54</v>
      </c>
      <c r="E62" s="66">
        <f t="shared" si="10"/>
        <v>533.52</v>
      </c>
    </row>
    <row r="63" ht="15.75" customHeight="1">
      <c r="A63" s="5" t="s">
        <v>17</v>
      </c>
      <c r="B63" s="41">
        <v>6210.0</v>
      </c>
      <c r="C63" s="41">
        <v>6263.0</v>
      </c>
      <c r="D63" s="5">
        <f t="shared" si="9"/>
        <v>53</v>
      </c>
      <c r="E63" s="66">
        <f t="shared" si="10"/>
        <v>523.64</v>
      </c>
    </row>
    <row r="64" ht="15.75" customHeight="1">
      <c r="A64" s="5" t="s">
        <v>18</v>
      </c>
      <c r="B64" s="41">
        <v>6390.0</v>
      </c>
      <c r="C64" s="41">
        <v>6467.0</v>
      </c>
      <c r="D64" s="5">
        <f t="shared" si="9"/>
        <v>77</v>
      </c>
      <c r="E64" s="66">
        <f t="shared" si="10"/>
        <v>760.76</v>
      </c>
    </row>
    <row r="65" ht="15.75" customHeight="1">
      <c r="A65" s="40" t="s">
        <v>19</v>
      </c>
      <c r="B65" s="41">
        <v>142163.0</v>
      </c>
      <c r="C65" s="41">
        <v>143631.0</v>
      </c>
      <c r="D65" s="5">
        <f t="shared" si="9"/>
        <v>1468</v>
      </c>
      <c r="E65" s="66">
        <f t="shared" si="10"/>
        <v>14503.84</v>
      </c>
    </row>
    <row r="66" ht="15.75" customHeight="1">
      <c r="A66" s="5" t="s">
        <v>30</v>
      </c>
      <c r="B66" s="41">
        <v>2383.0</v>
      </c>
      <c r="C66" s="41">
        <v>2688.0</v>
      </c>
      <c r="D66" s="5">
        <f t="shared" si="9"/>
        <v>305</v>
      </c>
      <c r="E66" s="66">
        <f t="shared" si="10"/>
        <v>3013.4</v>
      </c>
    </row>
    <row r="67" ht="15.75" customHeight="1">
      <c r="A67" s="67" t="s">
        <v>86</v>
      </c>
      <c r="B67" s="41">
        <v>12315.0</v>
      </c>
      <c r="C67" s="41">
        <v>13885.0</v>
      </c>
      <c r="D67" s="5">
        <f t="shared" si="9"/>
        <v>1570</v>
      </c>
      <c r="E67" s="66">
        <f t="shared" si="10"/>
        <v>15511.6</v>
      </c>
    </row>
    <row r="68" ht="15.75" customHeight="1">
      <c r="A68" s="69" t="s">
        <v>87</v>
      </c>
      <c r="B68" s="49">
        <v>31227.0</v>
      </c>
      <c r="C68" s="49">
        <v>31395.0</v>
      </c>
      <c r="D68" s="5">
        <f t="shared" si="9"/>
        <v>168</v>
      </c>
      <c r="E68" s="65">
        <f t="shared" si="10"/>
        <v>1659.84</v>
      </c>
    </row>
    <row r="69" ht="15.75" customHeight="1">
      <c r="A69" s="70" t="s">
        <v>88</v>
      </c>
      <c r="B69" s="82"/>
      <c r="C69" s="82"/>
      <c r="D69" s="75">
        <f>D67-D68</f>
        <v>1402</v>
      </c>
      <c r="E69" s="86">
        <f t="shared" si="10"/>
        <v>13851.76</v>
      </c>
      <c r="G69" s="77">
        <v>1000.0</v>
      </c>
      <c r="H69" s="77" t="s">
        <v>92</v>
      </c>
      <c r="I69" s="78">
        <f>E69-G69</f>
        <v>12851.76</v>
      </c>
      <c r="J69" s="77" t="s">
        <v>93</v>
      </c>
    </row>
    <row r="70" ht="15.75" customHeight="1">
      <c r="A70" s="73" t="s">
        <v>90</v>
      </c>
      <c r="B70" s="83"/>
      <c r="C70" s="83"/>
      <c r="D70" s="84">
        <f t="shared" ref="D70:E70" si="11">SUM(D57:D68)-D69</f>
        <v>2596</v>
      </c>
      <c r="E70" s="85">
        <f t="shared" si="11"/>
        <v>25648.48</v>
      </c>
    </row>
    <row r="71" ht="15.75" customHeight="1">
      <c r="E71" s="65"/>
    </row>
    <row r="72" ht="15.75" customHeight="1">
      <c r="A72" s="5" t="s">
        <v>96</v>
      </c>
      <c r="C72" s="4"/>
      <c r="D72" s="5"/>
      <c r="E72" s="65"/>
    </row>
    <row r="73" ht="15.75" customHeight="1">
      <c r="A73" s="1"/>
      <c r="C73" s="4"/>
      <c r="D73" s="5"/>
      <c r="E73" s="65"/>
    </row>
    <row r="74" ht="15.75" customHeight="1">
      <c r="A74" s="5" t="s">
        <v>11</v>
      </c>
      <c r="B74" s="41">
        <v>6709.0</v>
      </c>
      <c r="C74" s="41">
        <v>6769.0</v>
      </c>
      <c r="D74" s="5">
        <f t="shared" ref="D74:D85" si="12">C74-B74</f>
        <v>60</v>
      </c>
      <c r="E74" s="66">
        <f t="shared" ref="E74:E85" si="13">D74*9.88</f>
        <v>592.8</v>
      </c>
    </row>
    <row r="75" ht="15.75" customHeight="1">
      <c r="A75" s="5" t="s">
        <v>12</v>
      </c>
      <c r="B75" s="41">
        <v>5151.0</v>
      </c>
      <c r="C75" s="41">
        <v>5208.0</v>
      </c>
      <c r="D75" s="5">
        <f t="shared" si="12"/>
        <v>57</v>
      </c>
      <c r="E75" s="66">
        <f t="shared" si="13"/>
        <v>563.16</v>
      </c>
    </row>
    <row r="76" ht="15.75" customHeight="1">
      <c r="A76" s="5" t="s">
        <v>13</v>
      </c>
      <c r="B76" s="41">
        <v>6979.0</v>
      </c>
      <c r="C76" s="41">
        <v>7048.0</v>
      </c>
      <c r="D76" s="5">
        <f t="shared" si="12"/>
        <v>69</v>
      </c>
      <c r="E76" s="66">
        <f t="shared" si="13"/>
        <v>681.72</v>
      </c>
    </row>
    <row r="77" ht="15.75" customHeight="1">
      <c r="A77" s="5" t="s">
        <v>14</v>
      </c>
      <c r="B77" s="41">
        <v>5034.0</v>
      </c>
      <c r="C77" s="41">
        <v>5074.0</v>
      </c>
      <c r="D77" s="5">
        <f t="shared" si="12"/>
        <v>40</v>
      </c>
      <c r="E77" s="66">
        <f t="shared" si="13"/>
        <v>395.2</v>
      </c>
    </row>
    <row r="78" ht="15.75" customHeight="1">
      <c r="A78" s="5" t="s">
        <v>15</v>
      </c>
      <c r="B78" s="41">
        <v>6053.0</v>
      </c>
      <c r="C78" s="41">
        <v>6104.0</v>
      </c>
      <c r="D78" s="5">
        <f t="shared" si="12"/>
        <v>51</v>
      </c>
      <c r="E78" s="66">
        <f t="shared" si="13"/>
        <v>503.88</v>
      </c>
    </row>
    <row r="79" ht="15.75" customHeight="1">
      <c r="A79" s="5" t="s">
        <v>16</v>
      </c>
      <c r="B79" s="41">
        <v>4451.0</v>
      </c>
      <c r="C79" s="41">
        <v>4498.0</v>
      </c>
      <c r="D79" s="5">
        <f t="shared" si="12"/>
        <v>47</v>
      </c>
      <c r="E79" s="66">
        <f t="shared" si="13"/>
        <v>464.36</v>
      </c>
    </row>
    <row r="80" ht="15.75" customHeight="1">
      <c r="A80" s="5" t="s">
        <v>17</v>
      </c>
      <c r="B80" s="41">
        <v>6263.0</v>
      </c>
      <c r="C80" s="41">
        <v>6329.0</v>
      </c>
      <c r="D80" s="5">
        <f t="shared" si="12"/>
        <v>66</v>
      </c>
      <c r="E80" s="66">
        <f t="shared" si="13"/>
        <v>652.08</v>
      </c>
    </row>
    <row r="81" ht="15.75" customHeight="1">
      <c r="A81" s="5" t="s">
        <v>18</v>
      </c>
      <c r="B81" s="41">
        <v>6467.0</v>
      </c>
      <c r="C81" s="41">
        <v>6546.0</v>
      </c>
      <c r="D81" s="5">
        <f t="shared" si="12"/>
        <v>79</v>
      </c>
      <c r="E81" s="66">
        <f t="shared" si="13"/>
        <v>780.52</v>
      </c>
    </row>
    <row r="82" ht="15.75" customHeight="1">
      <c r="A82" s="40" t="s">
        <v>97</v>
      </c>
      <c r="B82" s="41">
        <v>143631.0</v>
      </c>
      <c r="C82" s="41">
        <v>145032.0</v>
      </c>
      <c r="D82" s="5">
        <f t="shared" si="12"/>
        <v>1401</v>
      </c>
      <c r="E82" s="66">
        <f t="shared" si="13"/>
        <v>13841.88</v>
      </c>
    </row>
    <row r="83" ht="15.75" customHeight="1">
      <c r="A83" s="5" t="s">
        <v>30</v>
      </c>
      <c r="B83" s="41">
        <v>2688.0</v>
      </c>
      <c r="C83" s="41">
        <v>3062.0</v>
      </c>
      <c r="D83" s="5">
        <f t="shared" si="12"/>
        <v>374</v>
      </c>
      <c r="E83" s="66">
        <f t="shared" si="13"/>
        <v>3695.12</v>
      </c>
    </row>
    <row r="84" ht="15.75" customHeight="1">
      <c r="A84" s="67" t="s">
        <v>86</v>
      </c>
      <c r="B84" s="41">
        <v>13885.0</v>
      </c>
      <c r="C84" s="41">
        <v>15814.0</v>
      </c>
      <c r="D84" s="5">
        <f t="shared" si="12"/>
        <v>1929</v>
      </c>
      <c r="E84" s="66">
        <f t="shared" si="13"/>
        <v>19058.52</v>
      </c>
    </row>
    <row r="85" ht="15.75" customHeight="1">
      <c r="A85" s="69" t="s">
        <v>87</v>
      </c>
      <c r="B85" s="49">
        <v>31395.0</v>
      </c>
      <c r="C85" s="49">
        <v>31531.0</v>
      </c>
      <c r="D85" s="5">
        <f t="shared" si="12"/>
        <v>136</v>
      </c>
      <c r="E85" s="65">
        <f t="shared" si="13"/>
        <v>1343.68</v>
      </c>
    </row>
    <row r="86" ht="15.75" customHeight="1">
      <c r="A86" s="70" t="s">
        <v>88</v>
      </c>
      <c r="B86" s="82"/>
      <c r="C86" s="82"/>
      <c r="D86" s="82">
        <f t="shared" ref="D86:E86" si="14">D84-D85</f>
        <v>1793</v>
      </c>
      <c r="E86" s="86">
        <f t="shared" si="14"/>
        <v>17714.84</v>
      </c>
      <c r="G86" s="77">
        <v>1000.0</v>
      </c>
      <c r="H86" s="77" t="s">
        <v>92</v>
      </c>
      <c r="I86" s="78">
        <f>E86-G86</f>
        <v>16714.84</v>
      </c>
      <c r="J86" s="77" t="s">
        <v>93</v>
      </c>
    </row>
    <row r="87" ht="15.75" customHeight="1">
      <c r="A87" s="73" t="s">
        <v>90</v>
      </c>
      <c r="B87" s="83"/>
      <c r="C87" s="83"/>
      <c r="D87" s="80">
        <f t="shared" ref="D87:E87" si="15">SUM(D74:D85)-D86</f>
        <v>2516</v>
      </c>
      <c r="E87" s="85">
        <f t="shared" si="15"/>
        <v>24858.08</v>
      </c>
      <c r="F87" s="15" t="s">
        <v>98</v>
      </c>
    </row>
    <row r="88" ht="15.75" customHeight="1">
      <c r="A88" s="87"/>
      <c r="E88" s="65"/>
    </row>
    <row r="89" ht="15.75" customHeight="1">
      <c r="E89" s="65"/>
    </row>
    <row r="90" ht="15.75" customHeight="1">
      <c r="A90" s="5" t="s">
        <v>99</v>
      </c>
      <c r="C90" s="4"/>
      <c r="D90" s="5"/>
      <c r="E90" s="65"/>
    </row>
    <row r="91" ht="15.75" customHeight="1">
      <c r="A91" s="1"/>
      <c r="C91" s="4"/>
      <c r="D91" s="5"/>
      <c r="E91" s="65"/>
    </row>
    <row r="92" ht="15.75" customHeight="1">
      <c r="A92" s="5" t="s">
        <v>11</v>
      </c>
      <c r="B92" s="41">
        <v>6769.0</v>
      </c>
      <c r="C92" s="41">
        <v>6810.0</v>
      </c>
      <c r="D92" s="5">
        <f t="shared" ref="D92:D103" si="16">C92-B92</f>
        <v>41</v>
      </c>
      <c r="E92" s="66">
        <f t="shared" ref="E92:E103" si="17">D92*9.88</f>
        <v>405.08</v>
      </c>
    </row>
    <row r="93" ht="15.75" customHeight="1">
      <c r="A93" s="5" t="s">
        <v>12</v>
      </c>
      <c r="B93" s="41">
        <v>5208.0</v>
      </c>
      <c r="C93" s="41">
        <v>5243.0</v>
      </c>
      <c r="D93" s="5">
        <f t="shared" si="16"/>
        <v>35</v>
      </c>
      <c r="E93" s="66">
        <f t="shared" si="17"/>
        <v>345.8</v>
      </c>
      <c r="I93" s="78">
        <f>I86+I69+I52+I34</f>
        <v>39511.52</v>
      </c>
    </row>
    <row r="94" ht="15.75" customHeight="1">
      <c r="A94" s="5" t="s">
        <v>13</v>
      </c>
      <c r="B94" s="41">
        <v>7048.0</v>
      </c>
      <c r="C94" s="41">
        <v>7095.0</v>
      </c>
      <c r="D94" s="5">
        <f t="shared" si="16"/>
        <v>47</v>
      </c>
      <c r="E94" s="66">
        <f t="shared" si="17"/>
        <v>464.36</v>
      </c>
    </row>
    <row r="95" ht="15.75" customHeight="1">
      <c r="A95" s="5" t="s">
        <v>14</v>
      </c>
      <c r="B95" s="41">
        <v>5074.0</v>
      </c>
      <c r="C95" s="41">
        <v>5119.0</v>
      </c>
      <c r="D95" s="5">
        <f t="shared" si="16"/>
        <v>45</v>
      </c>
      <c r="E95" s="66">
        <f t="shared" si="17"/>
        <v>444.6</v>
      </c>
    </row>
    <row r="96" ht="15.75" customHeight="1">
      <c r="A96" s="5" t="s">
        <v>15</v>
      </c>
      <c r="B96" s="41">
        <v>6104.0</v>
      </c>
      <c r="C96" s="41">
        <v>6155.0</v>
      </c>
      <c r="D96" s="5">
        <f t="shared" si="16"/>
        <v>51</v>
      </c>
      <c r="E96" s="66">
        <f t="shared" si="17"/>
        <v>503.88</v>
      </c>
    </row>
    <row r="97" ht="15.75" customHeight="1">
      <c r="A97" s="5" t="s">
        <v>16</v>
      </c>
      <c r="B97" s="41">
        <v>4498.0</v>
      </c>
      <c r="C97" s="41">
        <v>4543.0</v>
      </c>
      <c r="D97" s="5">
        <f t="shared" si="16"/>
        <v>45</v>
      </c>
      <c r="E97" s="66">
        <f t="shared" si="17"/>
        <v>444.6</v>
      </c>
    </row>
    <row r="98" ht="15.75" customHeight="1">
      <c r="A98" s="5" t="s">
        <v>17</v>
      </c>
      <c r="B98" s="41">
        <v>6329.0</v>
      </c>
      <c r="C98" s="41">
        <v>6376.0</v>
      </c>
      <c r="D98" s="5">
        <f t="shared" si="16"/>
        <v>47</v>
      </c>
      <c r="E98" s="66">
        <f t="shared" si="17"/>
        <v>464.36</v>
      </c>
    </row>
    <row r="99" ht="15.75" customHeight="1">
      <c r="A99" s="5" t="s">
        <v>18</v>
      </c>
      <c r="B99" s="41">
        <v>6546.0</v>
      </c>
      <c r="C99" s="41">
        <v>6604.0</v>
      </c>
      <c r="D99" s="5">
        <f t="shared" si="16"/>
        <v>58</v>
      </c>
      <c r="E99" s="66">
        <f t="shared" si="17"/>
        <v>573.04</v>
      </c>
    </row>
    <row r="100" ht="15.75" customHeight="1">
      <c r="A100" s="40" t="s">
        <v>97</v>
      </c>
      <c r="B100" s="41">
        <v>145032.0</v>
      </c>
      <c r="C100" s="41">
        <v>146207.0</v>
      </c>
      <c r="D100" s="5">
        <f t="shared" si="16"/>
        <v>1175</v>
      </c>
      <c r="E100" s="66">
        <f t="shared" si="17"/>
        <v>11609</v>
      </c>
    </row>
    <row r="101" ht="15.75" customHeight="1">
      <c r="A101" s="5" t="s">
        <v>30</v>
      </c>
      <c r="B101" s="41">
        <v>3062.0</v>
      </c>
      <c r="C101" s="41">
        <v>3391.0</v>
      </c>
      <c r="D101" s="5">
        <f t="shared" si="16"/>
        <v>329</v>
      </c>
      <c r="E101" s="66">
        <f t="shared" si="17"/>
        <v>3250.52</v>
      </c>
    </row>
    <row r="102" ht="15.75" customHeight="1">
      <c r="A102" s="67" t="s">
        <v>86</v>
      </c>
      <c r="B102" s="41">
        <v>15814.0</v>
      </c>
      <c r="C102" s="41">
        <v>17496.0</v>
      </c>
      <c r="D102" s="5">
        <f t="shared" si="16"/>
        <v>1682</v>
      </c>
      <c r="E102" s="66">
        <f t="shared" si="17"/>
        <v>16618.16</v>
      </c>
    </row>
    <row r="103" ht="15.75" customHeight="1">
      <c r="A103" s="69" t="s">
        <v>87</v>
      </c>
      <c r="B103" s="49">
        <v>31531.0</v>
      </c>
      <c r="C103" s="49">
        <v>31634.0</v>
      </c>
      <c r="D103" s="5">
        <f t="shared" si="16"/>
        <v>103</v>
      </c>
      <c r="E103" s="65">
        <f t="shared" si="17"/>
        <v>1017.64</v>
      </c>
    </row>
    <row r="104" ht="15.75" customHeight="1">
      <c r="A104" s="70" t="s">
        <v>88</v>
      </c>
      <c r="B104" s="82"/>
      <c r="C104" s="82"/>
      <c r="D104" s="82">
        <f t="shared" ref="D104:E104" si="18">D102-D103</f>
        <v>1579</v>
      </c>
      <c r="E104" s="86">
        <f t="shared" si="18"/>
        <v>15600.52</v>
      </c>
      <c r="G104" s="15">
        <v>1000.0</v>
      </c>
      <c r="H104" s="15" t="s">
        <v>92</v>
      </c>
      <c r="I104" s="65">
        <f>E104-G104</f>
        <v>14600.52</v>
      </c>
      <c r="J104" s="15" t="s">
        <v>93</v>
      </c>
    </row>
    <row r="105" ht="15.75" customHeight="1">
      <c r="A105" s="73" t="s">
        <v>90</v>
      </c>
      <c r="B105" s="83"/>
      <c r="C105" s="83"/>
      <c r="D105" s="80">
        <f t="shared" ref="D105:E105" si="19">SUM(D92:D103)-D104</f>
        <v>2079</v>
      </c>
      <c r="E105" s="85">
        <f t="shared" si="19"/>
        <v>20540.52</v>
      </c>
    </row>
    <row r="106" ht="15.75" customHeight="1">
      <c r="E106" s="65"/>
    </row>
    <row r="107" ht="15.75" customHeight="1">
      <c r="A107" s="5" t="s">
        <v>100</v>
      </c>
      <c r="C107" s="4"/>
      <c r="D107" s="5"/>
      <c r="E107" s="65"/>
    </row>
    <row r="108" ht="15.75" customHeight="1">
      <c r="A108" s="1"/>
      <c r="C108" s="4"/>
      <c r="D108" s="5"/>
      <c r="E108" s="65"/>
    </row>
    <row r="109" ht="15.75" customHeight="1">
      <c r="A109" s="5" t="s">
        <v>11</v>
      </c>
      <c r="B109" s="41">
        <v>6810.0</v>
      </c>
      <c r="C109" s="41">
        <v>6882.0</v>
      </c>
      <c r="D109" s="5">
        <f t="shared" ref="D109:D120" si="20">C109-B109</f>
        <v>72</v>
      </c>
      <c r="E109" s="66">
        <f t="shared" ref="E109:E120" si="21">D109*9.88</f>
        <v>711.36</v>
      </c>
    </row>
    <row r="110" ht="15.75" customHeight="1">
      <c r="A110" s="5" t="s">
        <v>12</v>
      </c>
      <c r="B110" s="41">
        <v>5243.0</v>
      </c>
      <c r="C110" s="41">
        <v>5335.0</v>
      </c>
      <c r="D110" s="5">
        <f t="shared" si="20"/>
        <v>92</v>
      </c>
      <c r="E110" s="66">
        <f t="shared" si="21"/>
        <v>908.96</v>
      </c>
    </row>
    <row r="111" ht="15.75" customHeight="1">
      <c r="A111" s="5" t="s">
        <v>13</v>
      </c>
      <c r="B111" s="41">
        <v>7095.0</v>
      </c>
      <c r="C111" s="41">
        <v>7268.0</v>
      </c>
      <c r="D111" s="5">
        <f t="shared" si="20"/>
        <v>173</v>
      </c>
      <c r="E111" s="66">
        <f t="shared" si="21"/>
        <v>1709.24</v>
      </c>
    </row>
    <row r="112" ht="15.75" customHeight="1">
      <c r="A112" s="5" t="s">
        <v>14</v>
      </c>
      <c r="B112" s="41">
        <v>5119.0</v>
      </c>
      <c r="C112" s="41">
        <v>5178.0</v>
      </c>
      <c r="D112" s="5">
        <f t="shared" si="20"/>
        <v>59</v>
      </c>
      <c r="E112" s="66">
        <f t="shared" si="21"/>
        <v>582.92</v>
      </c>
    </row>
    <row r="113" ht="15.75" customHeight="1">
      <c r="A113" s="5" t="s">
        <v>15</v>
      </c>
      <c r="B113" s="41">
        <v>6155.0</v>
      </c>
      <c r="C113" s="41">
        <v>6293.0</v>
      </c>
      <c r="D113" s="5">
        <f t="shared" si="20"/>
        <v>138</v>
      </c>
      <c r="E113" s="66">
        <f t="shared" si="21"/>
        <v>1363.44</v>
      </c>
    </row>
    <row r="114" ht="15.75" customHeight="1">
      <c r="A114" s="5" t="s">
        <v>16</v>
      </c>
      <c r="B114" s="41">
        <v>4543.0</v>
      </c>
      <c r="C114" s="41">
        <v>4601.0</v>
      </c>
      <c r="D114" s="5">
        <f t="shared" si="20"/>
        <v>58</v>
      </c>
      <c r="E114" s="66">
        <f t="shared" si="21"/>
        <v>573.04</v>
      </c>
    </row>
    <row r="115" ht="15.75" customHeight="1">
      <c r="A115" s="5" t="s">
        <v>17</v>
      </c>
      <c r="B115" s="41">
        <v>6376.0</v>
      </c>
      <c r="C115" s="41">
        <v>6451.0</v>
      </c>
      <c r="D115" s="5">
        <f t="shared" si="20"/>
        <v>75</v>
      </c>
      <c r="E115" s="66">
        <f t="shared" si="21"/>
        <v>741</v>
      </c>
    </row>
    <row r="116" ht="15.75" customHeight="1">
      <c r="A116" s="5" t="s">
        <v>18</v>
      </c>
      <c r="B116" s="41">
        <v>6604.0</v>
      </c>
      <c r="C116" s="41">
        <v>6732.0</v>
      </c>
      <c r="D116" s="5">
        <f t="shared" si="20"/>
        <v>128</v>
      </c>
      <c r="E116" s="66">
        <f t="shared" si="21"/>
        <v>1264.64</v>
      </c>
    </row>
    <row r="117" ht="15.75" customHeight="1">
      <c r="A117" s="40" t="s">
        <v>97</v>
      </c>
      <c r="B117" s="41">
        <v>146207.0</v>
      </c>
      <c r="C117" s="41">
        <v>147630.0</v>
      </c>
      <c r="D117" s="5">
        <f t="shared" si="20"/>
        <v>1423</v>
      </c>
      <c r="E117" s="66">
        <f t="shared" si="21"/>
        <v>14059.24</v>
      </c>
    </row>
    <row r="118" ht="15.75" customHeight="1">
      <c r="A118" s="5" t="s">
        <v>30</v>
      </c>
      <c r="B118" s="41">
        <v>3391.0</v>
      </c>
      <c r="C118" s="41">
        <v>3660.0</v>
      </c>
      <c r="D118" s="5">
        <f t="shared" si="20"/>
        <v>269</v>
      </c>
      <c r="E118" s="66">
        <f t="shared" si="21"/>
        <v>2657.72</v>
      </c>
    </row>
    <row r="119" ht="15.75" customHeight="1">
      <c r="A119" s="67" t="s">
        <v>86</v>
      </c>
      <c r="B119" s="41">
        <v>17496.0</v>
      </c>
      <c r="C119" s="41">
        <v>18848.0</v>
      </c>
      <c r="D119" s="5">
        <f t="shared" si="20"/>
        <v>1352</v>
      </c>
      <c r="E119" s="66">
        <f t="shared" si="21"/>
        <v>13357.76</v>
      </c>
    </row>
    <row r="120" ht="15.75" customHeight="1">
      <c r="A120" s="69" t="s">
        <v>87</v>
      </c>
      <c r="B120" s="49">
        <v>31634.0</v>
      </c>
      <c r="C120" s="49">
        <v>31634.0</v>
      </c>
      <c r="D120" s="5">
        <f t="shared" si="20"/>
        <v>0</v>
      </c>
      <c r="E120" s="65">
        <f t="shared" si="21"/>
        <v>0</v>
      </c>
    </row>
    <row r="121" ht="15.75" customHeight="1">
      <c r="A121" s="70" t="s">
        <v>88</v>
      </c>
      <c r="B121" s="82"/>
      <c r="C121" s="82"/>
      <c r="D121" s="82">
        <f t="shared" ref="D121:E121" si="22">D119-D120</f>
        <v>1352</v>
      </c>
      <c r="E121" s="86">
        <f t="shared" si="22"/>
        <v>13357.76</v>
      </c>
      <c r="G121" s="15">
        <v>1000.0</v>
      </c>
      <c r="H121" s="15" t="s">
        <v>92</v>
      </c>
      <c r="I121" s="65">
        <f>E121-G121</f>
        <v>12357.76</v>
      </c>
      <c r="J121" s="15" t="s">
        <v>93</v>
      </c>
    </row>
    <row r="122" ht="15.75" customHeight="1">
      <c r="A122" s="73" t="s">
        <v>90</v>
      </c>
      <c r="B122" s="83"/>
      <c r="C122" s="83"/>
      <c r="D122" s="80">
        <f t="shared" ref="D122:E122" si="23">SUM(D109:D120)-D121</f>
        <v>2487</v>
      </c>
      <c r="E122" s="85">
        <f t="shared" si="23"/>
        <v>24571.56</v>
      </c>
    </row>
    <row r="123" ht="15.75" customHeight="1">
      <c r="E123" s="65"/>
    </row>
    <row r="124" ht="15.75" customHeight="1">
      <c r="A124" s="5" t="s">
        <v>101</v>
      </c>
      <c r="C124" s="4"/>
      <c r="D124" s="5"/>
      <c r="E124" s="65"/>
    </row>
    <row r="125" ht="15.75" customHeight="1">
      <c r="A125" s="1"/>
      <c r="C125" s="4"/>
      <c r="D125" s="5"/>
      <c r="E125" s="65"/>
    </row>
    <row r="126" ht="15.75" customHeight="1">
      <c r="A126" s="5" t="s">
        <v>11</v>
      </c>
      <c r="B126" s="41">
        <v>6882.0</v>
      </c>
      <c r="C126" s="41">
        <v>6964.0</v>
      </c>
      <c r="D126" s="5">
        <f t="shared" ref="D126:D137" si="24">C126-B126</f>
        <v>82</v>
      </c>
      <c r="E126" s="66">
        <f t="shared" ref="E126:E137" si="25">D126*9.88</f>
        <v>810.16</v>
      </c>
    </row>
    <row r="127" ht="15.75" customHeight="1">
      <c r="A127" s="5" t="s">
        <v>12</v>
      </c>
      <c r="B127" s="41">
        <v>5335.0</v>
      </c>
      <c r="C127" s="41">
        <v>5420.0</v>
      </c>
      <c r="D127" s="5">
        <f t="shared" si="24"/>
        <v>85</v>
      </c>
      <c r="E127" s="66">
        <f t="shared" si="25"/>
        <v>839.8</v>
      </c>
    </row>
    <row r="128" ht="15.75" customHeight="1">
      <c r="A128" s="5" t="s">
        <v>13</v>
      </c>
      <c r="B128" s="41">
        <v>7268.0</v>
      </c>
      <c r="C128" s="41">
        <v>7365.0</v>
      </c>
      <c r="D128" s="5">
        <f t="shared" si="24"/>
        <v>97</v>
      </c>
      <c r="E128" s="66">
        <f t="shared" si="25"/>
        <v>958.36</v>
      </c>
    </row>
    <row r="129" ht="15.75" customHeight="1">
      <c r="A129" s="5" t="s">
        <v>14</v>
      </c>
      <c r="B129" s="41">
        <v>5178.0</v>
      </c>
      <c r="C129" s="41">
        <v>5244.0</v>
      </c>
      <c r="D129" s="5">
        <f t="shared" si="24"/>
        <v>66</v>
      </c>
      <c r="E129" s="66">
        <f t="shared" si="25"/>
        <v>652.08</v>
      </c>
    </row>
    <row r="130" ht="15.75" customHeight="1">
      <c r="A130" s="5" t="s">
        <v>15</v>
      </c>
      <c r="B130" s="41">
        <v>6293.0</v>
      </c>
      <c r="C130" s="41">
        <v>6364.0</v>
      </c>
      <c r="D130" s="5">
        <f t="shared" si="24"/>
        <v>71</v>
      </c>
      <c r="E130" s="66">
        <f t="shared" si="25"/>
        <v>701.48</v>
      </c>
    </row>
    <row r="131" ht="15.75" customHeight="1">
      <c r="A131" s="5" t="s">
        <v>16</v>
      </c>
      <c r="B131" s="41">
        <v>4601.0</v>
      </c>
      <c r="C131" s="41">
        <v>4676.0</v>
      </c>
      <c r="D131" s="5">
        <f t="shared" si="24"/>
        <v>75</v>
      </c>
      <c r="E131" s="66">
        <f t="shared" si="25"/>
        <v>741</v>
      </c>
    </row>
    <row r="132" ht="15.75" customHeight="1">
      <c r="A132" s="5" t="s">
        <v>17</v>
      </c>
      <c r="B132" s="41">
        <v>6451.0</v>
      </c>
      <c r="C132" s="41">
        <v>6554.0</v>
      </c>
      <c r="D132" s="5">
        <f t="shared" si="24"/>
        <v>103</v>
      </c>
      <c r="E132" s="66">
        <f t="shared" si="25"/>
        <v>1017.64</v>
      </c>
    </row>
    <row r="133" ht="15.75" customHeight="1">
      <c r="A133" s="5" t="s">
        <v>18</v>
      </c>
      <c r="B133" s="41">
        <v>6732.0</v>
      </c>
      <c r="C133" s="41">
        <v>6902.0</v>
      </c>
      <c r="D133" s="5">
        <f t="shared" si="24"/>
        <v>170</v>
      </c>
      <c r="E133" s="66">
        <f t="shared" si="25"/>
        <v>1679.6</v>
      </c>
    </row>
    <row r="134" ht="15.75" customHeight="1">
      <c r="A134" s="40" t="s">
        <v>97</v>
      </c>
      <c r="B134" s="41">
        <v>147630.0</v>
      </c>
      <c r="C134" s="41">
        <v>149098.0</v>
      </c>
      <c r="D134" s="5">
        <f t="shared" si="24"/>
        <v>1468</v>
      </c>
      <c r="E134" s="66">
        <f t="shared" si="25"/>
        <v>14503.84</v>
      </c>
    </row>
    <row r="135" ht="15.75" customHeight="1">
      <c r="A135" s="5" t="s">
        <v>30</v>
      </c>
      <c r="B135" s="41">
        <v>3660.0</v>
      </c>
      <c r="C135" s="41">
        <v>3828.0</v>
      </c>
      <c r="D135" s="5">
        <f t="shared" si="24"/>
        <v>168</v>
      </c>
      <c r="E135" s="66">
        <f t="shared" si="25"/>
        <v>1659.84</v>
      </c>
    </row>
    <row r="136" ht="15.75" customHeight="1">
      <c r="A136" s="67" t="s">
        <v>86</v>
      </c>
      <c r="B136" s="41">
        <v>18848.0</v>
      </c>
      <c r="C136" s="41">
        <v>19697.0</v>
      </c>
      <c r="D136" s="5">
        <f t="shared" si="24"/>
        <v>849</v>
      </c>
      <c r="E136" s="66">
        <f t="shared" si="25"/>
        <v>8388.12</v>
      </c>
    </row>
    <row r="137" ht="15.75" customHeight="1">
      <c r="A137" s="69" t="s">
        <v>87</v>
      </c>
      <c r="B137" s="49">
        <v>31634.0</v>
      </c>
      <c r="C137" s="49">
        <v>31922.0</v>
      </c>
      <c r="D137" s="5">
        <f t="shared" si="24"/>
        <v>288</v>
      </c>
      <c r="E137" s="65">
        <f t="shared" si="25"/>
        <v>2845.44</v>
      </c>
    </row>
    <row r="138" ht="15.75" customHeight="1">
      <c r="A138" s="70" t="s">
        <v>88</v>
      </c>
      <c r="B138" s="82"/>
      <c r="C138" s="82"/>
      <c r="D138" s="82">
        <f t="shared" ref="D138:E138" si="26">D136-D137</f>
        <v>561</v>
      </c>
      <c r="E138" s="86">
        <f t="shared" si="26"/>
        <v>5542.68</v>
      </c>
      <c r="G138" s="15">
        <v>1000.0</v>
      </c>
      <c r="H138" s="15" t="s">
        <v>92</v>
      </c>
      <c r="I138" s="65">
        <f>E138-G138</f>
        <v>4542.68</v>
      </c>
    </row>
    <row r="139" ht="15.75" customHeight="1">
      <c r="A139" s="73" t="s">
        <v>90</v>
      </c>
      <c r="B139" s="83"/>
      <c r="C139" s="83"/>
      <c r="D139" s="80">
        <f t="shared" ref="D139:E139" si="27">SUM(D126:D137)-D138</f>
        <v>2961</v>
      </c>
      <c r="E139" s="85">
        <f t="shared" si="27"/>
        <v>29254.68</v>
      </c>
    </row>
    <row r="140" ht="15.75" customHeight="1">
      <c r="E140" s="65"/>
    </row>
    <row r="141" ht="15.75" customHeight="1">
      <c r="A141" s="5" t="s">
        <v>102</v>
      </c>
      <c r="C141" s="4"/>
      <c r="D141" s="5"/>
      <c r="E141" s="65"/>
    </row>
    <row r="142" ht="15.75" customHeight="1">
      <c r="A142" s="1"/>
      <c r="C142" s="4"/>
      <c r="D142" s="5"/>
      <c r="E142" s="65"/>
    </row>
    <row r="143" ht="15.75" customHeight="1">
      <c r="A143" s="5" t="s">
        <v>11</v>
      </c>
      <c r="B143" s="41">
        <v>6964.0</v>
      </c>
      <c r="C143" s="41">
        <v>7012.0</v>
      </c>
      <c r="D143" s="5">
        <f t="shared" ref="D143:D154" si="28">C143-B143</f>
        <v>48</v>
      </c>
      <c r="E143" s="66">
        <f>D143*7</f>
        <v>336</v>
      </c>
    </row>
    <row r="144" ht="15.75" customHeight="1">
      <c r="A144" s="5" t="s">
        <v>12</v>
      </c>
      <c r="B144" s="41">
        <v>5420.0</v>
      </c>
      <c r="C144" s="41">
        <v>5462.0</v>
      </c>
      <c r="D144" s="5">
        <f t="shared" si="28"/>
        <v>42</v>
      </c>
      <c r="E144" s="66">
        <f t="shared" ref="E144:E154" si="29">D144*9.88</f>
        <v>414.96</v>
      </c>
    </row>
    <row r="145" ht="15.75" customHeight="1">
      <c r="A145" s="5" t="s">
        <v>13</v>
      </c>
      <c r="B145" s="41">
        <v>7365.0</v>
      </c>
      <c r="C145" s="41">
        <v>7423.0</v>
      </c>
      <c r="D145" s="5">
        <f t="shared" si="28"/>
        <v>58</v>
      </c>
      <c r="E145" s="66">
        <f t="shared" si="29"/>
        <v>573.04</v>
      </c>
    </row>
    <row r="146" ht="15.75" customHeight="1">
      <c r="A146" s="5" t="s">
        <v>14</v>
      </c>
      <c r="B146" s="41">
        <v>5244.0</v>
      </c>
      <c r="C146" s="41">
        <v>5309.0</v>
      </c>
      <c r="D146" s="5">
        <f t="shared" si="28"/>
        <v>65</v>
      </c>
      <c r="E146" s="66">
        <f t="shared" si="29"/>
        <v>642.2</v>
      </c>
    </row>
    <row r="147" ht="15.75" customHeight="1">
      <c r="A147" s="5" t="s">
        <v>15</v>
      </c>
      <c r="B147" s="41">
        <v>6364.0</v>
      </c>
      <c r="C147" s="41">
        <v>6424.0</v>
      </c>
      <c r="D147" s="5">
        <f t="shared" si="28"/>
        <v>60</v>
      </c>
      <c r="E147" s="66">
        <f t="shared" si="29"/>
        <v>592.8</v>
      </c>
    </row>
    <row r="148" ht="15.75" customHeight="1">
      <c r="A148" s="5" t="s">
        <v>16</v>
      </c>
      <c r="B148" s="41">
        <v>4676.0</v>
      </c>
      <c r="C148" s="41">
        <v>4733.0</v>
      </c>
      <c r="D148" s="5">
        <f t="shared" si="28"/>
        <v>57</v>
      </c>
      <c r="E148" s="66">
        <f t="shared" si="29"/>
        <v>563.16</v>
      </c>
    </row>
    <row r="149" ht="15.75" customHeight="1">
      <c r="A149" s="5" t="s">
        <v>17</v>
      </c>
      <c r="B149" s="41">
        <v>6554.0</v>
      </c>
      <c r="C149" s="41">
        <v>6604.0</v>
      </c>
      <c r="D149" s="5">
        <f t="shared" si="28"/>
        <v>50</v>
      </c>
      <c r="E149" s="66">
        <f t="shared" si="29"/>
        <v>494</v>
      </c>
    </row>
    <row r="150" ht="15.75" customHeight="1">
      <c r="A150" s="5" t="s">
        <v>18</v>
      </c>
      <c r="B150" s="41">
        <v>6902.0</v>
      </c>
      <c r="C150" s="41">
        <v>6955.0</v>
      </c>
      <c r="D150" s="5">
        <f t="shared" si="28"/>
        <v>53</v>
      </c>
      <c r="E150" s="66">
        <f t="shared" si="29"/>
        <v>523.64</v>
      </c>
    </row>
    <row r="151" ht="15.75" customHeight="1">
      <c r="A151" s="40" t="s">
        <v>97</v>
      </c>
      <c r="B151" s="41">
        <v>149098.0</v>
      </c>
      <c r="C151" s="41">
        <v>150313.0</v>
      </c>
      <c r="D151" s="5">
        <f t="shared" si="28"/>
        <v>1215</v>
      </c>
      <c r="E151" s="66">
        <f t="shared" si="29"/>
        <v>12004.2</v>
      </c>
    </row>
    <row r="152" ht="15.75" customHeight="1">
      <c r="A152" s="5" t="s">
        <v>30</v>
      </c>
      <c r="B152" s="41">
        <v>3828.0</v>
      </c>
      <c r="C152" s="41">
        <v>3966.0</v>
      </c>
      <c r="D152" s="5">
        <f t="shared" si="28"/>
        <v>138</v>
      </c>
      <c r="E152" s="66">
        <f t="shared" si="29"/>
        <v>1363.44</v>
      </c>
    </row>
    <row r="153" ht="15.75" customHeight="1">
      <c r="A153" s="67" t="s">
        <v>86</v>
      </c>
      <c r="B153" s="41">
        <v>19697.0</v>
      </c>
      <c r="C153" s="41">
        <v>20411.0</v>
      </c>
      <c r="D153" s="5">
        <f t="shared" si="28"/>
        <v>714</v>
      </c>
      <c r="E153" s="66">
        <f t="shared" si="29"/>
        <v>7054.32</v>
      </c>
    </row>
    <row r="154" ht="15.75" customHeight="1">
      <c r="A154" s="69" t="s">
        <v>87</v>
      </c>
      <c r="B154" s="49">
        <v>31922.0</v>
      </c>
      <c r="C154" s="49">
        <v>32030.0</v>
      </c>
      <c r="D154" s="5">
        <f t="shared" si="28"/>
        <v>108</v>
      </c>
      <c r="E154" s="65">
        <f t="shared" si="29"/>
        <v>1067.04</v>
      </c>
    </row>
    <row r="155" ht="15.75" customHeight="1">
      <c r="A155" s="70" t="s">
        <v>88</v>
      </c>
      <c r="B155" s="82"/>
      <c r="C155" s="82"/>
      <c r="D155" s="82">
        <f t="shared" ref="D155:E155" si="30">D153-D154</f>
        <v>606</v>
      </c>
      <c r="E155" s="86">
        <f t="shared" si="30"/>
        <v>5987.28</v>
      </c>
      <c r="G155" s="15">
        <v>1000.0</v>
      </c>
      <c r="H155" s="15" t="s">
        <v>92</v>
      </c>
      <c r="I155" s="65">
        <f>E155-G155</f>
        <v>4987.28</v>
      </c>
    </row>
    <row r="156" ht="15.75" customHeight="1">
      <c r="A156" s="73" t="s">
        <v>90</v>
      </c>
      <c r="B156" s="83"/>
      <c r="C156" s="83"/>
      <c r="D156" s="80">
        <f t="shared" ref="D156:E156" si="31">SUM(D143:D154)-D155</f>
        <v>2002</v>
      </c>
      <c r="E156" s="85">
        <f t="shared" si="31"/>
        <v>19641.52</v>
      </c>
    </row>
    <row r="157" ht="15.75" customHeight="1">
      <c r="E157" s="65"/>
    </row>
    <row r="158" ht="15.75" customHeight="1">
      <c r="A158" s="5" t="s">
        <v>103</v>
      </c>
      <c r="C158" s="4"/>
      <c r="D158" s="5"/>
      <c r="E158" s="65"/>
    </row>
    <row r="159" ht="15.75" customHeight="1">
      <c r="A159" s="1"/>
      <c r="C159" s="4"/>
      <c r="D159" s="5"/>
      <c r="E159" s="65"/>
    </row>
    <row r="160" ht="15.75" customHeight="1">
      <c r="A160" s="5" t="s">
        <v>11</v>
      </c>
      <c r="B160" s="41">
        <v>7012.0</v>
      </c>
      <c r="C160" s="41">
        <v>7064.0</v>
      </c>
      <c r="D160" s="5">
        <f t="shared" ref="D160:D171" si="32">C160-B160</f>
        <v>52</v>
      </c>
      <c r="E160" s="66">
        <f t="shared" ref="E160:E171" si="33">D160*9.88</f>
        <v>513.76</v>
      </c>
    </row>
    <row r="161" ht="15.75" customHeight="1">
      <c r="A161" s="5" t="s">
        <v>12</v>
      </c>
      <c r="B161" s="41">
        <v>5462.0</v>
      </c>
      <c r="C161" s="41">
        <v>5561.0</v>
      </c>
      <c r="D161" s="5">
        <f t="shared" si="32"/>
        <v>99</v>
      </c>
      <c r="E161" s="66">
        <f t="shared" si="33"/>
        <v>978.12</v>
      </c>
    </row>
    <row r="162" ht="15.75" customHeight="1">
      <c r="A162" s="5" t="s">
        <v>13</v>
      </c>
      <c r="B162" s="41">
        <v>7423.0</v>
      </c>
      <c r="C162" s="41">
        <v>7521.0</v>
      </c>
      <c r="D162" s="5">
        <f t="shared" si="32"/>
        <v>98</v>
      </c>
      <c r="E162" s="66">
        <f t="shared" si="33"/>
        <v>968.24</v>
      </c>
    </row>
    <row r="163" ht="15.75" customHeight="1">
      <c r="A163" s="5" t="s">
        <v>14</v>
      </c>
      <c r="B163" s="41">
        <v>5309.0</v>
      </c>
      <c r="C163" s="41">
        <v>5425.0</v>
      </c>
      <c r="D163" s="5">
        <f t="shared" si="32"/>
        <v>116</v>
      </c>
      <c r="E163" s="66">
        <f t="shared" si="33"/>
        <v>1146.08</v>
      </c>
    </row>
    <row r="164" ht="15.75" customHeight="1">
      <c r="A164" s="5" t="s">
        <v>15</v>
      </c>
      <c r="B164" s="41">
        <v>6424.0</v>
      </c>
      <c r="C164" s="41">
        <v>6506.0</v>
      </c>
      <c r="D164" s="5">
        <f t="shared" si="32"/>
        <v>82</v>
      </c>
      <c r="E164" s="66">
        <f t="shared" si="33"/>
        <v>810.16</v>
      </c>
    </row>
    <row r="165" ht="15.75" customHeight="1">
      <c r="A165" s="5" t="s">
        <v>16</v>
      </c>
      <c r="B165" s="41">
        <v>4733.0</v>
      </c>
      <c r="C165" s="41">
        <v>4793.0</v>
      </c>
      <c r="D165" s="5">
        <f t="shared" si="32"/>
        <v>60</v>
      </c>
      <c r="E165" s="66">
        <f t="shared" si="33"/>
        <v>592.8</v>
      </c>
    </row>
    <row r="166" ht="15.75" customHeight="1">
      <c r="A166" s="5" t="s">
        <v>17</v>
      </c>
      <c r="B166" s="41">
        <v>6604.0</v>
      </c>
      <c r="C166" s="41">
        <v>6670.0</v>
      </c>
      <c r="D166" s="5">
        <f t="shared" si="32"/>
        <v>66</v>
      </c>
      <c r="E166" s="66">
        <f t="shared" si="33"/>
        <v>652.08</v>
      </c>
    </row>
    <row r="167" ht="15.75" customHeight="1">
      <c r="A167" s="5" t="s">
        <v>18</v>
      </c>
      <c r="B167" s="41">
        <v>6955.0</v>
      </c>
      <c r="C167" s="41">
        <v>7018.0</v>
      </c>
      <c r="D167" s="5">
        <f t="shared" si="32"/>
        <v>63</v>
      </c>
      <c r="E167" s="66">
        <f t="shared" si="33"/>
        <v>622.44</v>
      </c>
    </row>
    <row r="168" ht="15.75" customHeight="1">
      <c r="A168" s="40" t="s">
        <v>97</v>
      </c>
      <c r="B168" s="41">
        <v>150313.0</v>
      </c>
      <c r="C168" s="41">
        <v>151729.0</v>
      </c>
      <c r="D168" s="5">
        <f t="shared" si="32"/>
        <v>1416</v>
      </c>
      <c r="E168" s="66">
        <f t="shared" si="33"/>
        <v>13990.08</v>
      </c>
    </row>
    <row r="169" ht="15.75" customHeight="1">
      <c r="A169" s="5" t="s">
        <v>30</v>
      </c>
      <c r="B169" s="41">
        <v>3966.0</v>
      </c>
      <c r="C169" s="41">
        <v>4182.0</v>
      </c>
      <c r="D169" s="5">
        <f t="shared" si="32"/>
        <v>216</v>
      </c>
      <c r="E169" s="66">
        <f t="shared" si="33"/>
        <v>2134.08</v>
      </c>
    </row>
    <row r="170" ht="15.75" customHeight="1">
      <c r="A170" s="67" t="s">
        <v>86</v>
      </c>
      <c r="B170" s="41">
        <v>20411.0</v>
      </c>
      <c r="C170" s="41">
        <v>21475.0</v>
      </c>
      <c r="D170" s="5">
        <f t="shared" si="32"/>
        <v>1064</v>
      </c>
      <c r="E170" s="66">
        <f t="shared" si="33"/>
        <v>10512.32</v>
      </c>
    </row>
    <row r="171" ht="15.75" customHeight="1">
      <c r="A171" s="69" t="s">
        <v>87</v>
      </c>
      <c r="B171" s="49">
        <v>32030.0</v>
      </c>
      <c r="C171" s="49">
        <v>32204.0</v>
      </c>
      <c r="D171" s="5">
        <f t="shared" si="32"/>
        <v>174</v>
      </c>
      <c r="E171" s="65">
        <f t="shared" si="33"/>
        <v>1719.12</v>
      </c>
    </row>
    <row r="172" ht="15.75" customHeight="1">
      <c r="A172" s="70" t="s">
        <v>88</v>
      </c>
      <c r="B172" s="82"/>
      <c r="C172" s="82"/>
      <c r="D172" s="82">
        <f t="shared" ref="D172:E172" si="34">D170-D171</f>
        <v>890</v>
      </c>
      <c r="E172" s="86">
        <f t="shared" si="34"/>
        <v>8793.2</v>
      </c>
      <c r="G172" s="15">
        <v>1000.0</v>
      </c>
      <c r="H172" s="15" t="s">
        <v>92</v>
      </c>
      <c r="I172" s="65">
        <f>E172-G172</f>
        <v>7793.2</v>
      </c>
    </row>
    <row r="173" ht="15.75" customHeight="1">
      <c r="A173" s="73" t="s">
        <v>90</v>
      </c>
      <c r="B173" s="83"/>
      <c r="C173" s="83"/>
      <c r="D173" s="80">
        <f t="shared" ref="D173:E173" si="35">SUM(D160:D171)-D172</f>
        <v>2616</v>
      </c>
      <c r="E173" s="85">
        <f t="shared" si="35"/>
        <v>25846.08</v>
      </c>
    </row>
    <row r="174" ht="15.75" customHeight="1">
      <c r="E174" s="65"/>
    </row>
    <row r="175" ht="15.75" customHeight="1">
      <c r="E175" s="65"/>
    </row>
    <row r="176" ht="15.75" customHeight="1">
      <c r="A176" s="5" t="s">
        <v>104</v>
      </c>
      <c r="C176" s="4"/>
      <c r="D176" s="5"/>
      <c r="E176" s="65"/>
    </row>
    <row r="177" ht="15.75" customHeight="1">
      <c r="A177" s="1"/>
      <c r="C177" s="4"/>
      <c r="D177" s="5"/>
      <c r="E177" s="65"/>
    </row>
    <row r="178" ht="15.75" customHeight="1">
      <c r="A178" s="5" t="s">
        <v>11</v>
      </c>
      <c r="B178" s="41">
        <v>7064.0</v>
      </c>
      <c r="C178" s="41">
        <v>7102.0</v>
      </c>
      <c r="D178" s="5">
        <f t="shared" ref="D178:D189" si="36">C178-B178</f>
        <v>38</v>
      </c>
      <c r="E178" s="66">
        <f t="shared" ref="E178:E189" si="37">D178*9.88</f>
        <v>375.44</v>
      </c>
    </row>
    <row r="179" ht="15.75" customHeight="1">
      <c r="A179" s="5" t="s">
        <v>12</v>
      </c>
      <c r="B179" s="41">
        <v>5561.0</v>
      </c>
      <c r="C179" s="41">
        <v>5617.0</v>
      </c>
      <c r="D179" s="5">
        <f t="shared" si="36"/>
        <v>56</v>
      </c>
      <c r="E179" s="66">
        <f t="shared" si="37"/>
        <v>553.28</v>
      </c>
    </row>
    <row r="180" ht="15.75" customHeight="1">
      <c r="A180" s="5" t="s">
        <v>13</v>
      </c>
      <c r="B180" s="41">
        <v>7521.0</v>
      </c>
      <c r="C180" s="41">
        <v>7613.0</v>
      </c>
      <c r="D180" s="5">
        <f t="shared" si="36"/>
        <v>92</v>
      </c>
      <c r="E180" s="66">
        <f t="shared" si="37"/>
        <v>908.96</v>
      </c>
    </row>
    <row r="181" ht="15.75" customHeight="1">
      <c r="A181" s="5" t="s">
        <v>14</v>
      </c>
      <c r="B181" s="41">
        <v>5425.0</v>
      </c>
      <c r="C181" s="41">
        <v>5467.0</v>
      </c>
      <c r="D181" s="5">
        <f t="shared" si="36"/>
        <v>42</v>
      </c>
      <c r="E181" s="66">
        <f t="shared" si="37"/>
        <v>414.96</v>
      </c>
    </row>
    <row r="182" ht="15.75" customHeight="1">
      <c r="A182" s="5" t="s">
        <v>15</v>
      </c>
      <c r="B182" s="41">
        <v>6506.0</v>
      </c>
      <c r="C182" s="41">
        <v>6565.0</v>
      </c>
      <c r="D182" s="5">
        <f t="shared" si="36"/>
        <v>59</v>
      </c>
      <c r="E182" s="66">
        <f t="shared" si="37"/>
        <v>582.92</v>
      </c>
    </row>
    <row r="183" ht="15.75" customHeight="1">
      <c r="A183" s="5" t="s">
        <v>16</v>
      </c>
      <c r="B183" s="41">
        <v>4793.0</v>
      </c>
      <c r="C183" s="41">
        <v>4852.0</v>
      </c>
      <c r="D183" s="5">
        <f t="shared" si="36"/>
        <v>59</v>
      </c>
      <c r="E183" s="66">
        <f t="shared" si="37"/>
        <v>582.92</v>
      </c>
    </row>
    <row r="184" ht="15.75" customHeight="1">
      <c r="A184" s="5" t="s">
        <v>17</v>
      </c>
      <c r="B184" s="41">
        <v>6670.0</v>
      </c>
      <c r="C184" s="41">
        <v>6719.0</v>
      </c>
      <c r="D184" s="5">
        <f t="shared" si="36"/>
        <v>49</v>
      </c>
      <c r="E184" s="66">
        <f t="shared" si="37"/>
        <v>484.12</v>
      </c>
    </row>
    <row r="185" ht="15.75" customHeight="1">
      <c r="A185" s="5" t="s">
        <v>18</v>
      </c>
      <c r="B185" s="41">
        <v>7018.0</v>
      </c>
      <c r="C185" s="41">
        <v>7089.0</v>
      </c>
      <c r="D185" s="5">
        <f t="shared" si="36"/>
        <v>71</v>
      </c>
      <c r="E185" s="66">
        <f t="shared" si="37"/>
        <v>701.48</v>
      </c>
    </row>
    <row r="186" ht="15.75" customHeight="1">
      <c r="A186" s="40" t="s">
        <v>97</v>
      </c>
      <c r="B186" s="41">
        <v>151729.0</v>
      </c>
      <c r="C186" s="41">
        <v>152988.0</v>
      </c>
      <c r="D186" s="5">
        <f t="shared" si="36"/>
        <v>1259</v>
      </c>
      <c r="E186" s="66">
        <f t="shared" si="37"/>
        <v>12438.92</v>
      </c>
    </row>
    <row r="187" ht="15.75" customHeight="1">
      <c r="A187" s="5" t="s">
        <v>30</v>
      </c>
      <c r="B187" s="41">
        <v>4182.0</v>
      </c>
      <c r="C187" s="41">
        <v>4404.0</v>
      </c>
      <c r="D187" s="5">
        <f t="shared" si="36"/>
        <v>222</v>
      </c>
      <c r="E187" s="66">
        <f t="shared" si="37"/>
        <v>2193.36</v>
      </c>
    </row>
    <row r="188" ht="15.75" customHeight="1">
      <c r="A188" s="67" t="s">
        <v>86</v>
      </c>
      <c r="B188" s="41">
        <v>21475.0</v>
      </c>
      <c r="C188" s="41">
        <v>22554.0</v>
      </c>
      <c r="D188" s="5">
        <f t="shared" si="36"/>
        <v>1079</v>
      </c>
      <c r="E188" s="66">
        <f t="shared" si="37"/>
        <v>10660.52</v>
      </c>
    </row>
    <row r="189" ht="15.75" customHeight="1">
      <c r="A189" s="69" t="s">
        <v>87</v>
      </c>
      <c r="B189" s="49">
        <v>32204.0</v>
      </c>
      <c r="C189" s="49">
        <v>32557.0</v>
      </c>
      <c r="D189" s="5">
        <f t="shared" si="36"/>
        <v>353</v>
      </c>
      <c r="E189" s="65">
        <f t="shared" si="37"/>
        <v>3487.64</v>
      </c>
    </row>
    <row r="190" ht="15.75" customHeight="1">
      <c r="A190" s="70" t="s">
        <v>88</v>
      </c>
      <c r="B190" s="82"/>
      <c r="C190" s="82"/>
      <c r="D190" s="82">
        <f t="shared" ref="D190:E190" si="38">D188-D189</f>
        <v>726</v>
      </c>
      <c r="E190" s="86">
        <f t="shared" si="38"/>
        <v>7172.88</v>
      </c>
      <c r="G190" s="15">
        <v>1000.0</v>
      </c>
      <c r="H190" s="15" t="s">
        <v>92</v>
      </c>
      <c r="I190" s="65">
        <f>E190-G190</f>
        <v>6172.88</v>
      </c>
    </row>
    <row r="191" ht="15.75" customHeight="1">
      <c r="A191" s="73" t="s">
        <v>90</v>
      </c>
      <c r="B191" s="83"/>
      <c r="C191" s="83"/>
      <c r="D191" s="80">
        <f t="shared" ref="D191:E191" si="39">SUM(D178:D189)-D190</f>
        <v>2653</v>
      </c>
      <c r="E191" s="85">
        <f t="shared" si="39"/>
        <v>26211.64</v>
      </c>
    </row>
    <row r="192" ht="15.75" customHeight="1">
      <c r="E192" s="65"/>
    </row>
    <row r="193" ht="15.75" customHeight="1">
      <c r="A193" s="5" t="s">
        <v>105</v>
      </c>
      <c r="C193" s="4"/>
      <c r="D193" s="5"/>
      <c r="E193" s="65"/>
    </row>
    <row r="194" ht="15.75" customHeight="1">
      <c r="A194" s="1"/>
      <c r="C194" s="4"/>
      <c r="D194" s="5"/>
      <c r="E194" s="65"/>
    </row>
    <row r="195" ht="15.75" customHeight="1">
      <c r="A195" s="5" t="s">
        <v>11</v>
      </c>
      <c r="B195" s="41">
        <v>7102.0</v>
      </c>
      <c r="C195" s="41">
        <v>7156.0</v>
      </c>
      <c r="D195" s="5">
        <f t="shared" ref="D195:D206" si="40">C195-B195</f>
        <v>54</v>
      </c>
      <c r="E195" s="66">
        <f t="shared" ref="E195:E206" si="41">D195*9.88</f>
        <v>533.52</v>
      </c>
    </row>
    <row r="196" ht="15.75" customHeight="1">
      <c r="A196" s="5" t="s">
        <v>12</v>
      </c>
      <c r="B196" s="41">
        <v>5617.0</v>
      </c>
      <c r="C196" s="41">
        <v>5674.0</v>
      </c>
      <c r="D196" s="5">
        <f t="shared" si="40"/>
        <v>57</v>
      </c>
      <c r="E196" s="66">
        <f t="shared" si="41"/>
        <v>563.16</v>
      </c>
    </row>
    <row r="197" ht="15.75" customHeight="1">
      <c r="A197" s="5" t="s">
        <v>13</v>
      </c>
      <c r="B197" s="41">
        <v>7613.0</v>
      </c>
      <c r="C197" s="41">
        <v>7722.0</v>
      </c>
      <c r="D197" s="5">
        <f t="shared" si="40"/>
        <v>109</v>
      </c>
      <c r="E197" s="66">
        <f t="shared" si="41"/>
        <v>1076.92</v>
      </c>
    </row>
    <row r="198" ht="15.75" customHeight="1">
      <c r="A198" s="5" t="s">
        <v>14</v>
      </c>
      <c r="B198" s="41">
        <v>5467.0</v>
      </c>
      <c r="C198" s="41">
        <v>5539.0</v>
      </c>
      <c r="D198" s="5">
        <f t="shared" si="40"/>
        <v>72</v>
      </c>
      <c r="E198" s="66">
        <f t="shared" si="41"/>
        <v>711.36</v>
      </c>
    </row>
    <row r="199" ht="15.75" customHeight="1">
      <c r="A199" s="5" t="s">
        <v>15</v>
      </c>
      <c r="B199" s="41">
        <v>6565.0</v>
      </c>
      <c r="C199" s="41">
        <v>6671.0</v>
      </c>
      <c r="D199" s="5">
        <f t="shared" si="40"/>
        <v>106</v>
      </c>
      <c r="E199" s="66">
        <f t="shared" si="41"/>
        <v>1047.28</v>
      </c>
    </row>
    <row r="200" ht="15.75" customHeight="1">
      <c r="A200" s="5" t="s">
        <v>16</v>
      </c>
      <c r="B200" s="41">
        <v>4852.0</v>
      </c>
      <c r="C200" s="41">
        <v>4929.0</v>
      </c>
      <c r="D200" s="5">
        <f t="shared" si="40"/>
        <v>77</v>
      </c>
      <c r="E200" s="66">
        <f t="shared" si="41"/>
        <v>760.76</v>
      </c>
    </row>
    <row r="201" ht="15.75" customHeight="1">
      <c r="A201" s="5" t="s">
        <v>17</v>
      </c>
      <c r="B201" s="41">
        <v>6719.0</v>
      </c>
      <c r="C201" s="41">
        <v>6804.0</v>
      </c>
      <c r="D201" s="5">
        <f t="shared" si="40"/>
        <v>85</v>
      </c>
      <c r="E201" s="66">
        <f t="shared" si="41"/>
        <v>839.8</v>
      </c>
    </row>
    <row r="202" ht="15.75" customHeight="1">
      <c r="A202" s="5" t="s">
        <v>18</v>
      </c>
      <c r="B202" s="41">
        <v>7089.0</v>
      </c>
      <c r="C202" s="41">
        <v>7143.0</v>
      </c>
      <c r="D202" s="5">
        <f t="shared" si="40"/>
        <v>54</v>
      </c>
      <c r="E202" s="66">
        <f t="shared" si="41"/>
        <v>533.52</v>
      </c>
    </row>
    <row r="203" ht="15.75" customHeight="1">
      <c r="A203" s="40" t="s">
        <v>97</v>
      </c>
      <c r="B203" s="41">
        <v>152988.0</v>
      </c>
      <c r="C203" s="41">
        <v>154531.0</v>
      </c>
      <c r="D203" s="5">
        <f t="shared" si="40"/>
        <v>1543</v>
      </c>
      <c r="E203" s="66">
        <f t="shared" si="41"/>
        <v>15244.84</v>
      </c>
    </row>
    <row r="204" ht="15.75" customHeight="1">
      <c r="A204" s="5" t="s">
        <v>30</v>
      </c>
      <c r="B204" s="41">
        <v>4404.0</v>
      </c>
      <c r="C204" s="41">
        <v>4645.0</v>
      </c>
      <c r="D204" s="5">
        <f t="shared" si="40"/>
        <v>241</v>
      </c>
      <c r="E204" s="66">
        <f t="shared" si="41"/>
        <v>2381.08</v>
      </c>
    </row>
    <row r="205" ht="15.75" customHeight="1">
      <c r="A205" s="67" t="s">
        <v>86</v>
      </c>
      <c r="B205" s="41">
        <v>22554.0</v>
      </c>
      <c r="C205" s="41">
        <v>23744.0</v>
      </c>
      <c r="D205" s="5">
        <f t="shared" si="40"/>
        <v>1190</v>
      </c>
      <c r="E205" s="66">
        <f t="shared" si="41"/>
        <v>11757.2</v>
      </c>
    </row>
    <row r="206" ht="15.75" customHeight="1">
      <c r="A206" s="69" t="s">
        <v>87</v>
      </c>
      <c r="B206" s="49">
        <v>32557.0</v>
      </c>
      <c r="C206" s="49">
        <v>32962.0</v>
      </c>
      <c r="D206" s="5">
        <f t="shared" si="40"/>
        <v>405</v>
      </c>
      <c r="E206" s="65">
        <f t="shared" si="41"/>
        <v>4001.4</v>
      </c>
    </row>
    <row r="207" ht="15.75" customHeight="1">
      <c r="A207" s="70" t="s">
        <v>88</v>
      </c>
      <c r="B207" s="82"/>
      <c r="C207" s="82"/>
      <c r="D207" s="82">
        <f t="shared" ref="D207:E207" si="42">D205-D206</f>
        <v>785</v>
      </c>
      <c r="E207" s="86">
        <f t="shared" si="42"/>
        <v>7755.8</v>
      </c>
      <c r="G207" s="15">
        <v>1000.0</v>
      </c>
      <c r="H207" s="15" t="s">
        <v>92</v>
      </c>
      <c r="I207" s="65">
        <f>E207-G207</f>
        <v>6755.8</v>
      </c>
    </row>
    <row r="208" ht="15.75" customHeight="1">
      <c r="A208" s="73" t="s">
        <v>90</v>
      </c>
      <c r="B208" s="83"/>
      <c r="C208" s="83"/>
      <c r="D208" s="80">
        <f t="shared" ref="D208:E208" si="43">SUM(D195:D206)-D207</f>
        <v>3208</v>
      </c>
      <c r="E208" s="85">
        <f t="shared" si="43"/>
        <v>31695.04</v>
      </c>
    </row>
    <row r="209" ht="15.75" customHeight="1">
      <c r="E209" s="65"/>
    </row>
    <row r="210" ht="15.75" customHeight="1">
      <c r="A210" s="5" t="s">
        <v>106</v>
      </c>
      <c r="C210" s="4"/>
      <c r="D210" s="5"/>
      <c r="E210" s="65"/>
    </row>
    <row r="211" ht="15.75" customHeight="1">
      <c r="A211" s="1"/>
      <c r="C211" s="4"/>
      <c r="D211" s="5"/>
      <c r="E211" s="65"/>
    </row>
    <row r="212" ht="15.75" customHeight="1">
      <c r="A212" s="5" t="s">
        <v>11</v>
      </c>
      <c r="B212" s="41">
        <v>7156.0</v>
      </c>
      <c r="C212" s="41">
        <v>7195.0</v>
      </c>
      <c r="D212" s="5">
        <f t="shared" ref="D212:D223" si="44">C212-B212</f>
        <v>39</v>
      </c>
      <c r="E212" s="66">
        <f t="shared" ref="E212:E223" si="45">D212*9.88</f>
        <v>385.32</v>
      </c>
    </row>
    <row r="213" ht="15.75" customHeight="1">
      <c r="A213" s="5" t="s">
        <v>12</v>
      </c>
      <c r="B213" s="41">
        <v>5674.0</v>
      </c>
      <c r="C213" s="41">
        <v>5698.0</v>
      </c>
      <c r="D213" s="5">
        <f t="shared" si="44"/>
        <v>24</v>
      </c>
      <c r="E213" s="66">
        <f t="shared" si="45"/>
        <v>237.12</v>
      </c>
    </row>
    <row r="214" ht="15.75" customHeight="1">
      <c r="A214" s="5" t="s">
        <v>13</v>
      </c>
      <c r="B214" s="41">
        <v>7722.0</v>
      </c>
      <c r="C214" s="41">
        <v>7804.0</v>
      </c>
      <c r="D214" s="5">
        <f t="shared" si="44"/>
        <v>82</v>
      </c>
      <c r="E214" s="66">
        <f t="shared" si="45"/>
        <v>810.16</v>
      </c>
    </row>
    <row r="215" ht="15.75" customHeight="1">
      <c r="A215" s="5" t="s">
        <v>14</v>
      </c>
      <c r="B215" s="41">
        <v>5539.0</v>
      </c>
      <c r="C215" s="41">
        <v>5608.0</v>
      </c>
      <c r="D215" s="5">
        <f t="shared" si="44"/>
        <v>69</v>
      </c>
      <c r="E215" s="66">
        <f t="shared" si="45"/>
        <v>681.72</v>
      </c>
    </row>
    <row r="216" ht="15.75" customHeight="1">
      <c r="A216" s="5" t="s">
        <v>15</v>
      </c>
      <c r="B216" s="41">
        <v>6671.0</v>
      </c>
      <c r="C216" s="41">
        <v>6719.0</v>
      </c>
      <c r="D216" s="5">
        <f t="shared" si="44"/>
        <v>48</v>
      </c>
      <c r="E216" s="66">
        <f t="shared" si="45"/>
        <v>474.24</v>
      </c>
    </row>
    <row r="217" ht="15.75" customHeight="1">
      <c r="A217" s="5" t="s">
        <v>16</v>
      </c>
      <c r="B217" s="41">
        <v>4929.0</v>
      </c>
      <c r="C217" s="41">
        <v>4978.0</v>
      </c>
      <c r="D217" s="5">
        <f t="shared" si="44"/>
        <v>49</v>
      </c>
      <c r="E217" s="66">
        <f t="shared" si="45"/>
        <v>484.12</v>
      </c>
    </row>
    <row r="218" ht="15.75" customHeight="1">
      <c r="A218" s="5" t="s">
        <v>17</v>
      </c>
      <c r="B218" s="41">
        <v>6804.0</v>
      </c>
      <c r="C218" s="41">
        <v>6870.0</v>
      </c>
      <c r="D218" s="5">
        <f t="shared" si="44"/>
        <v>66</v>
      </c>
      <c r="E218" s="66">
        <f t="shared" si="45"/>
        <v>652.08</v>
      </c>
    </row>
    <row r="219" ht="15.75" customHeight="1">
      <c r="A219" s="5" t="s">
        <v>18</v>
      </c>
      <c r="B219" s="41">
        <v>7143.0</v>
      </c>
      <c r="C219" s="41">
        <v>7251.0</v>
      </c>
      <c r="D219" s="5">
        <f t="shared" si="44"/>
        <v>108</v>
      </c>
      <c r="E219" s="66">
        <f t="shared" si="45"/>
        <v>1067.04</v>
      </c>
    </row>
    <row r="220" ht="15.75" customHeight="1">
      <c r="A220" s="40" t="s">
        <v>97</v>
      </c>
      <c r="B220" s="41">
        <v>154531.0</v>
      </c>
      <c r="C220" s="41">
        <v>155922.0</v>
      </c>
      <c r="D220" s="5">
        <f t="shared" si="44"/>
        <v>1391</v>
      </c>
      <c r="E220" s="66">
        <f t="shared" si="45"/>
        <v>13743.08</v>
      </c>
    </row>
    <row r="221" ht="15.75" customHeight="1">
      <c r="A221" s="5" t="s">
        <v>30</v>
      </c>
      <c r="B221" s="41">
        <v>4645.0</v>
      </c>
      <c r="C221" s="41">
        <v>4857.0</v>
      </c>
      <c r="D221" s="5">
        <f t="shared" si="44"/>
        <v>212</v>
      </c>
      <c r="E221" s="66">
        <f t="shared" si="45"/>
        <v>2094.56</v>
      </c>
    </row>
    <row r="222" ht="15.75" customHeight="1">
      <c r="A222" s="67" t="s">
        <v>86</v>
      </c>
      <c r="B222" s="41">
        <v>23744.0</v>
      </c>
      <c r="C222" s="41">
        <v>24784.0</v>
      </c>
      <c r="D222" s="5">
        <f t="shared" si="44"/>
        <v>1040</v>
      </c>
      <c r="E222" s="66">
        <f t="shared" si="45"/>
        <v>10275.2</v>
      </c>
    </row>
    <row r="223" ht="15.75" customHeight="1">
      <c r="A223" s="69" t="s">
        <v>87</v>
      </c>
      <c r="B223" s="49">
        <v>32962.0</v>
      </c>
      <c r="C223" s="49">
        <v>33299.0</v>
      </c>
      <c r="D223" s="5">
        <f t="shared" si="44"/>
        <v>337</v>
      </c>
      <c r="E223" s="65">
        <f t="shared" si="45"/>
        <v>3329.56</v>
      </c>
    </row>
    <row r="224" ht="15.75" customHeight="1">
      <c r="A224" s="70" t="s">
        <v>88</v>
      </c>
      <c r="B224" s="82"/>
      <c r="C224" s="82"/>
      <c r="D224" s="82">
        <f t="shared" ref="D224:E224" si="46">D222-D223</f>
        <v>703</v>
      </c>
      <c r="E224" s="86">
        <f t="shared" si="46"/>
        <v>6945.64</v>
      </c>
      <c r="G224" s="15">
        <v>1000.0</v>
      </c>
      <c r="H224" s="15" t="s">
        <v>92</v>
      </c>
      <c r="I224" s="65">
        <f>E224-G224</f>
        <v>5945.64</v>
      </c>
    </row>
    <row r="225" ht="15.75" customHeight="1">
      <c r="A225" s="73" t="s">
        <v>90</v>
      </c>
      <c r="B225" s="83"/>
      <c r="C225" s="83"/>
      <c r="D225" s="80">
        <f t="shared" ref="D225:E225" si="47">SUM(D212:D223)-D224</f>
        <v>2762</v>
      </c>
      <c r="E225" s="85">
        <f t="shared" si="47"/>
        <v>27288.56</v>
      </c>
    </row>
    <row r="226" ht="15.75" customHeight="1">
      <c r="E226" s="65"/>
    </row>
    <row r="227" ht="15.75" customHeight="1">
      <c r="A227" s="5" t="s">
        <v>107</v>
      </c>
      <c r="C227" s="4"/>
      <c r="D227" s="5"/>
      <c r="E227" s="65"/>
    </row>
    <row r="228" ht="15.75" customHeight="1">
      <c r="A228" s="1"/>
      <c r="C228" s="4"/>
      <c r="D228" s="5"/>
      <c r="E228" s="65"/>
    </row>
    <row r="229" ht="15.75" customHeight="1">
      <c r="A229" s="5" t="s">
        <v>11</v>
      </c>
      <c r="B229" s="41">
        <v>7195.0</v>
      </c>
      <c r="C229" s="41">
        <v>7256.0</v>
      </c>
      <c r="D229" s="5">
        <f t="shared" ref="D229:D240" si="48">C229-B229</f>
        <v>61</v>
      </c>
      <c r="E229" s="66">
        <f t="shared" ref="E229:E240" si="49">D229*9.88</f>
        <v>602.68</v>
      </c>
    </row>
    <row r="230" ht="15.75" customHeight="1">
      <c r="A230" s="5" t="s">
        <v>12</v>
      </c>
      <c r="B230" s="41">
        <v>5698.0</v>
      </c>
      <c r="C230" s="41">
        <v>5774.0</v>
      </c>
      <c r="D230" s="5">
        <f t="shared" si="48"/>
        <v>76</v>
      </c>
      <c r="E230" s="66">
        <f t="shared" si="49"/>
        <v>750.88</v>
      </c>
    </row>
    <row r="231" ht="15.75" customHeight="1">
      <c r="A231" s="5" t="s">
        <v>13</v>
      </c>
      <c r="B231" s="41">
        <v>7804.0</v>
      </c>
      <c r="C231" s="41">
        <v>7921.0</v>
      </c>
      <c r="D231" s="5">
        <f t="shared" si="48"/>
        <v>117</v>
      </c>
      <c r="E231" s="66">
        <f t="shared" si="49"/>
        <v>1155.96</v>
      </c>
    </row>
    <row r="232" ht="15.75" customHeight="1">
      <c r="A232" s="5" t="s">
        <v>14</v>
      </c>
      <c r="B232" s="41">
        <v>5608.0</v>
      </c>
      <c r="C232" s="41">
        <v>5682.0</v>
      </c>
      <c r="D232" s="5">
        <f t="shared" si="48"/>
        <v>74</v>
      </c>
      <c r="E232" s="66">
        <f t="shared" si="49"/>
        <v>731.12</v>
      </c>
    </row>
    <row r="233" ht="15.75" customHeight="1">
      <c r="A233" s="5" t="s">
        <v>15</v>
      </c>
      <c r="B233" s="41">
        <v>6719.0</v>
      </c>
      <c r="C233" s="41">
        <v>6812.0</v>
      </c>
      <c r="D233" s="5">
        <f t="shared" si="48"/>
        <v>93</v>
      </c>
      <c r="E233" s="66">
        <f t="shared" si="49"/>
        <v>918.84</v>
      </c>
    </row>
    <row r="234" ht="15.75" customHeight="1">
      <c r="A234" s="5" t="s">
        <v>16</v>
      </c>
      <c r="B234" s="41">
        <v>4978.0</v>
      </c>
      <c r="C234" s="41">
        <v>5033.0</v>
      </c>
      <c r="D234" s="5">
        <f t="shared" si="48"/>
        <v>55</v>
      </c>
      <c r="E234" s="66">
        <f t="shared" si="49"/>
        <v>543.4</v>
      </c>
    </row>
    <row r="235" ht="15.75" customHeight="1">
      <c r="A235" s="5" t="s">
        <v>17</v>
      </c>
      <c r="B235" s="41">
        <v>6870.0</v>
      </c>
      <c r="C235" s="41">
        <v>6937.0</v>
      </c>
      <c r="D235" s="5">
        <f t="shared" si="48"/>
        <v>67</v>
      </c>
      <c r="E235" s="66">
        <f t="shared" si="49"/>
        <v>661.96</v>
      </c>
    </row>
    <row r="236" ht="15.75" customHeight="1">
      <c r="A236" s="5" t="s">
        <v>18</v>
      </c>
      <c r="B236" s="41">
        <v>7251.0</v>
      </c>
      <c r="C236" s="41">
        <v>7332.0</v>
      </c>
      <c r="D236" s="5">
        <f t="shared" si="48"/>
        <v>81</v>
      </c>
      <c r="E236" s="66">
        <f t="shared" si="49"/>
        <v>800.28</v>
      </c>
    </row>
    <row r="237" ht="15.75" customHeight="1">
      <c r="A237" s="40" t="s">
        <v>97</v>
      </c>
      <c r="B237" s="41">
        <v>155922.0</v>
      </c>
      <c r="C237" s="41">
        <v>157345.0</v>
      </c>
      <c r="D237" s="5">
        <f t="shared" si="48"/>
        <v>1423</v>
      </c>
      <c r="E237" s="66">
        <f t="shared" si="49"/>
        <v>14059.24</v>
      </c>
    </row>
    <row r="238" ht="15.75" customHeight="1">
      <c r="A238" s="5" t="s">
        <v>30</v>
      </c>
      <c r="B238" s="41">
        <v>4857.0</v>
      </c>
      <c r="C238" s="41">
        <v>5054.0</v>
      </c>
      <c r="D238" s="5">
        <f t="shared" si="48"/>
        <v>197</v>
      </c>
      <c r="E238" s="66">
        <f t="shared" si="49"/>
        <v>1946.36</v>
      </c>
    </row>
    <row r="239" ht="15.75" customHeight="1">
      <c r="A239" s="67" t="s">
        <v>86</v>
      </c>
      <c r="B239" s="41">
        <v>24784.0</v>
      </c>
      <c r="C239" s="41">
        <v>25732.0</v>
      </c>
      <c r="D239" s="5">
        <f t="shared" si="48"/>
        <v>948</v>
      </c>
      <c r="E239" s="66">
        <f t="shared" si="49"/>
        <v>9366.24</v>
      </c>
    </row>
    <row r="240" ht="15.75" customHeight="1">
      <c r="A240" s="69" t="s">
        <v>87</v>
      </c>
      <c r="B240" s="49">
        <v>33299.0</v>
      </c>
      <c r="C240" s="49">
        <v>33476.0</v>
      </c>
      <c r="D240" s="5">
        <f t="shared" si="48"/>
        <v>177</v>
      </c>
      <c r="E240" s="65">
        <f t="shared" si="49"/>
        <v>1748.76</v>
      </c>
    </row>
    <row r="241" ht="15.75" customHeight="1">
      <c r="A241" s="70" t="s">
        <v>88</v>
      </c>
      <c r="B241" s="82"/>
      <c r="C241" s="82"/>
      <c r="D241" s="82">
        <f t="shared" ref="D241:E241" si="50">D239-D240</f>
        <v>771</v>
      </c>
      <c r="E241" s="86">
        <f t="shared" si="50"/>
        <v>7617.48</v>
      </c>
      <c r="G241" s="15">
        <v>1000.0</v>
      </c>
      <c r="H241" s="15" t="s">
        <v>92</v>
      </c>
      <c r="I241" s="65">
        <f>E241-G241</f>
        <v>6617.48</v>
      </c>
    </row>
    <row r="242" ht="15.75" customHeight="1">
      <c r="A242" s="73" t="s">
        <v>90</v>
      </c>
      <c r="B242" s="83"/>
      <c r="C242" s="83"/>
      <c r="D242" s="80">
        <f t="shared" ref="D242:E242" si="51">SUM(D229:D240)-D241</f>
        <v>2598</v>
      </c>
      <c r="E242" s="85">
        <f t="shared" si="51"/>
        <v>25668.24</v>
      </c>
    </row>
    <row r="243" ht="15.75" customHeight="1">
      <c r="E243" s="65"/>
    </row>
    <row r="244" ht="15.75" customHeight="1">
      <c r="A244" s="5" t="s">
        <v>108</v>
      </c>
      <c r="C244" s="4"/>
      <c r="D244" s="5"/>
      <c r="E244" s="65"/>
    </row>
    <row r="245" ht="15.75" customHeight="1">
      <c r="A245" s="1"/>
      <c r="C245" s="4"/>
      <c r="D245" s="5"/>
      <c r="E245" s="65"/>
    </row>
    <row r="246" ht="15.75" customHeight="1">
      <c r="A246" s="5" t="s">
        <v>11</v>
      </c>
      <c r="B246" s="41">
        <v>7256.0</v>
      </c>
      <c r="C246" s="41">
        <v>7332.0</v>
      </c>
      <c r="D246" s="5">
        <f t="shared" ref="D246:D257" si="52">C246-B246</f>
        <v>76</v>
      </c>
      <c r="E246" s="66">
        <f t="shared" ref="E246:E257" si="53">D246*9.88</f>
        <v>750.88</v>
      </c>
    </row>
    <row r="247" ht="15.75" customHeight="1">
      <c r="A247" s="5" t="s">
        <v>12</v>
      </c>
      <c r="B247" s="41">
        <v>5774.0</v>
      </c>
      <c r="C247" s="41">
        <v>5836.0</v>
      </c>
      <c r="D247" s="5">
        <f t="shared" si="52"/>
        <v>62</v>
      </c>
      <c r="E247" s="66">
        <f t="shared" si="53"/>
        <v>612.56</v>
      </c>
    </row>
    <row r="248" ht="15.75" customHeight="1">
      <c r="A248" s="5" t="s">
        <v>13</v>
      </c>
      <c r="B248" s="41">
        <v>7921.0</v>
      </c>
      <c r="C248" s="41">
        <v>7984.0</v>
      </c>
      <c r="D248" s="5">
        <f t="shared" si="52"/>
        <v>63</v>
      </c>
      <c r="E248" s="66">
        <f t="shared" si="53"/>
        <v>622.44</v>
      </c>
    </row>
    <row r="249" ht="15.75" customHeight="1">
      <c r="A249" s="5" t="s">
        <v>14</v>
      </c>
      <c r="B249" s="41">
        <v>5682.0</v>
      </c>
      <c r="C249" s="41">
        <v>5766.0</v>
      </c>
      <c r="D249" s="5">
        <f t="shared" si="52"/>
        <v>84</v>
      </c>
      <c r="E249" s="66">
        <f t="shared" si="53"/>
        <v>829.92</v>
      </c>
    </row>
    <row r="250" ht="15.75" customHeight="1">
      <c r="A250" s="5" t="s">
        <v>15</v>
      </c>
      <c r="B250" s="41">
        <v>6812.0</v>
      </c>
      <c r="C250" s="41">
        <v>6890.0</v>
      </c>
      <c r="D250" s="5">
        <f t="shared" si="52"/>
        <v>78</v>
      </c>
      <c r="E250" s="66">
        <f t="shared" si="53"/>
        <v>770.64</v>
      </c>
    </row>
    <row r="251" ht="15.75" customHeight="1">
      <c r="A251" s="5" t="s">
        <v>16</v>
      </c>
      <c r="B251" s="41">
        <v>5033.0</v>
      </c>
      <c r="C251" s="41">
        <v>5084.0</v>
      </c>
      <c r="D251" s="5">
        <f t="shared" si="52"/>
        <v>51</v>
      </c>
      <c r="E251" s="66">
        <f t="shared" si="53"/>
        <v>503.88</v>
      </c>
    </row>
    <row r="252" ht="15.75" customHeight="1">
      <c r="A252" s="5" t="s">
        <v>17</v>
      </c>
      <c r="B252" s="41">
        <v>6937.0</v>
      </c>
      <c r="C252" s="41">
        <v>7003.0</v>
      </c>
      <c r="D252" s="5">
        <f t="shared" si="52"/>
        <v>66</v>
      </c>
      <c r="E252" s="66">
        <f t="shared" si="53"/>
        <v>652.08</v>
      </c>
    </row>
    <row r="253" ht="15.75" customHeight="1">
      <c r="A253" s="5" t="s">
        <v>18</v>
      </c>
      <c r="B253" s="41">
        <v>7332.0</v>
      </c>
      <c r="C253" s="41">
        <v>7400.0</v>
      </c>
      <c r="D253" s="5">
        <f t="shared" si="52"/>
        <v>68</v>
      </c>
      <c r="E253" s="66">
        <f t="shared" si="53"/>
        <v>671.84</v>
      </c>
    </row>
    <row r="254" ht="15.75" customHeight="1">
      <c r="A254" s="40" t="s">
        <v>97</v>
      </c>
      <c r="B254" s="41">
        <v>157345.0</v>
      </c>
      <c r="C254" s="41">
        <v>158851.0</v>
      </c>
      <c r="D254" s="5">
        <f t="shared" si="52"/>
        <v>1506</v>
      </c>
      <c r="E254" s="66">
        <f t="shared" si="53"/>
        <v>14879.28</v>
      </c>
    </row>
    <row r="255" ht="15.75" customHeight="1">
      <c r="A255" s="5" t="s">
        <v>30</v>
      </c>
      <c r="B255" s="41">
        <v>5054.0</v>
      </c>
      <c r="C255" s="41">
        <v>5264.0</v>
      </c>
      <c r="D255" s="5">
        <f t="shared" si="52"/>
        <v>210</v>
      </c>
      <c r="E255" s="66">
        <f t="shared" si="53"/>
        <v>2074.8</v>
      </c>
    </row>
    <row r="256" ht="15.75" customHeight="1">
      <c r="A256" s="67" t="s">
        <v>86</v>
      </c>
      <c r="B256" s="41">
        <v>25732.0</v>
      </c>
      <c r="C256" s="41">
        <v>26772.0</v>
      </c>
      <c r="D256" s="5">
        <f t="shared" si="52"/>
        <v>1040</v>
      </c>
      <c r="E256" s="66">
        <f t="shared" si="53"/>
        <v>10275.2</v>
      </c>
    </row>
    <row r="257" ht="15.75" customHeight="1">
      <c r="A257" s="69" t="s">
        <v>87</v>
      </c>
      <c r="B257" s="49">
        <v>33476.0</v>
      </c>
      <c r="C257" s="49">
        <v>33710.0</v>
      </c>
      <c r="D257" s="5">
        <f t="shared" si="52"/>
        <v>234</v>
      </c>
      <c r="E257" s="65">
        <f t="shared" si="53"/>
        <v>2311.92</v>
      </c>
    </row>
    <row r="258" ht="15.75" customHeight="1">
      <c r="A258" s="70" t="s">
        <v>88</v>
      </c>
      <c r="B258" s="82"/>
      <c r="C258" s="82"/>
      <c r="D258" s="82">
        <f t="shared" ref="D258:E258" si="54">D256-D257</f>
        <v>806</v>
      </c>
      <c r="E258" s="86">
        <f t="shared" si="54"/>
        <v>7963.28</v>
      </c>
      <c r="G258" s="15">
        <v>1000.0</v>
      </c>
      <c r="H258" s="15" t="s">
        <v>92</v>
      </c>
      <c r="I258" s="65">
        <f>E258-G258</f>
        <v>6963.28</v>
      </c>
    </row>
    <row r="259" ht="15.75" customHeight="1">
      <c r="A259" s="73" t="s">
        <v>90</v>
      </c>
      <c r="B259" s="83"/>
      <c r="C259" s="83"/>
      <c r="D259" s="80">
        <f t="shared" ref="D259:E259" si="55">SUM(D246:D257)-D258</f>
        <v>2732</v>
      </c>
      <c r="E259" s="85">
        <f t="shared" si="55"/>
        <v>26992.16</v>
      </c>
    </row>
    <row r="260" ht="15.75" customHeight="1">
      <c r="E260" s="65"/>
    </row>
    <row r="261" ht="15.75" customHeight="1">
      <c r="E261" s="65"/>
    </row>
    <row r="262" ht="15.75" customHeight="1">
      <c r="A262" s="5" t="s">
        <v>109</v>
      </c>
      <c r="C262" s="4"/>
      <c r="D262" s="5"/>
      <c r="E262" s="65"/>
    </row>
    <row r="263" ht="15.75" customHeight="1">
      <c r="A263" s="1"/>
      <c r="C263" s="4"/>
      <c r="D263" s="5"/>
      <c r="E263" s="65"/>
    </row>
    <row r="264" ht="15.75" customHeight="1">
      <c r="A264" s="5" t="s">
        <v>11</v>
      </c>
      <c r="B264" s="41">
        <v>7332.0</v>
      </c>
      <c r="C264" s="41">
        <v>7407.0</v>
      </c>
      <c r="D264" s="5">
        <f t="shared" ref="D264:D275" si="56">C264-B264</f>
        <v>75</v>
      </c>
      <c r="E264" s="66">
        <f t="shared" ref="E264:E275" si="57">D264*9.88</f>
        <v>741</v>
      </c>
    </row>
    <row r="265" ht="15.75" customHeight="1">
      <c r="A265" s="5" t="s">
        <v>12</v>
      </c>
      <c r="B265" s="41">
        <v>5836.0</v>
      </c>
      <c r="C265" s="41">
        <v>5909.0</v>
      </c>
      <c r="D265" s="5">
        <f t="shared" si="56"/>
        <v>73</v>
      </c>
      <c r="E265" s="66">
        <f t="shared" si="57"/>
        <v>721.24</v>
      </c>
    </row>
    <row r="266" ht="15.75" customHeight="1">
      <c r="A266" s="5" t="s">
        <v>13</v>
      </c>
      <c r="B266" s="41">
        <v>7984.0</v>
      </c>
      <c r="C266" s="41">
        <v>8063.0</v>
      </c>
      <c r="D266" s="5">
        <f t="shared" si="56"/>
        <v>79</v>
      </c>
      <c r="E266" s="66">
        <f t="shared" si="57"/>
        <v>780.52</v>
      </c>
    </row>
    <row r="267" ht="15.75" customHeight="1">
      <c r="A267" s="5" t="s">
        <v>14</v>
      </c>
      <c r="B267" s="41">
        <v>5766.0</v>
      </c>
      <c r="C267" s="41">
        <v>5837.0</v>
      </c>
      <c r="D267" s="5">
        <f t="shared" si="56"/>
        <v>71</v>
      </c>
      <c r="E267" s="66">
        <f t="shared" si="57"/>
        <v>701.48</v>
      </c>
    </row>
    <row r="268" ht="15.75" customHeight="1">
      <c r="A268" s="5" t="s">
        <v>15</v>
      </c>
      <c r="B268" s="41">
        <v>6890.0</v>
      </c>
      <c r="C268" s="41">
        <v>6948.0</v>
      </c>
      <c r="D268" s="5">
        <f t="shared" si="56"/>
        <v>58</v>
      </c>
      <c r="E268" s="66">
        <f t="shared" si="57"/>
        <v>573.04</v>
      </c>
    </row>
    <row r="269" ht="15.75" customHeight="1">
      <c r="A269" s="5" t="s">
        <v>16</v>
      </c>
      <c r="B269" s="41">
        <v>5084.0</v>
      </c>
      <c r="C269" s="41">
        <v>5155.0</v>
      </c>
      <c r="D269" s="5">
        <f t="shared" si="56"/>
        <v>71</v>
      </c>
      <c r="E269" s="66">
        <f t="shared" si="57"/>
        <v>701.48</v>
      </c>
    </row>
    <row r="270" ht="15.75" customHeight="1">
      <c r="A270" s="5" t="s">
        <v>17</v>
      </c>
      <c r="B270" s="41">
        <v>7003.0</v>
      </c>
      <c r="C270" s="41">
        <v>7074.0</v>
      </c>
      <c r="D270" s="5">
        <f t="shared" si="56"/>
        <v>71</v>
      </c>
      <c r="E270" s="66">
        <f t="shared" si="57"/>
        <v>701.48</v>
      </c>
    </row>
    <row r="271" ht="15.75" customHeight="1">
      <c r="A271" s="5" t="s">
        <v>18</v>
      </c>
      <c r="B271" s="41">
        <v>7400.0</v>
      </c>
      <c r="C271" s="41">
        <v>7476.0</v>
      </c>
      <c r="D271" s="5">
        <f t="shared" si="56"/>
        <v>76</v>
      </c>
      <c r="E271" s="66">
        <f t="shared" si="57"/>
        <v>750.88</v>
      </c>
    </row>
    <row r="272" ht="15.75" customHeight="1">
      <c r="A272" s="40" t="s">
        <v>97</v>
      </c>
      <c r="B272" s="41">
        <v>158851.0</v>
      </c>
      <c r="C272" s="41">
        <v>160214.0</v>
      </c>
      <c r="D272" s="5">
        <f t="shared" si="56"/>
        <v>1363</v>
      </c>
      <c r="E272" s="66">
        <f t="shared" si="57"/>
        <v>13466.44</v>
      </c>
    </row>
    <row r="273" ht="15.75" customHeight="1">
      <c r="A273" s="5" t="s">
        <v>30</v>
      </c>
      <c r="B273" s="41">
        <v>5264.0</v>
      </c>
      <c r="C273" s="41">
        <v>5475.0</v>
      </c>
      <c r="D273" s="5">
        <f t="shared" si="56"/>
        <v>211</v>
      </c>
      <c r="E273" s="66">
        <f t="shared" si="57"/>
        <v>2084.68</v>
      </c>
    </row>
    <row r="274" ht="15.75" customHeight="1">
      <c r="A274" s="67" t="s">
        <v>86</v>
      </c>
      <c r="B274" s="41">
        <v>26772.0</v>
      </c>
      <c r="C274" s="41">
        <v>27787.0</v>
      </c>
      <c r="D274" s="5">
        <f t="shared" si="56"/>
        <v>1015</v>
      </c>
      <c r="E274" s="66">
        <f t="shared" si="57"/>
        <v>10028.2</v>
      </c>
    </row>
    <row r="275" ht="15.75" customHeight="1">
      <c r="A275" s="69" t="s">
        <v>87</v>
      </c>
      <c r="B275" s="49">
        <v>33710.0</v>
      </c>
      <c r="C275" s="49">
        <v>33922.0</v>
      </c>
      <c r="D275" s="5">
        <f t="shared" si="56"/>
        <v>212</v>
      </c>
      <c r="E275" s="65">
        <f t="shared" si="57"/>
        <v>2094.56</v>
      </c>
    </row>
    <row r="276" ht="15.75" customHeight="1">
      <c r="A276" s="70" t="s">
        <v>88</v>
      </c>
      <c r="B276" s="82"/>
      <c r="C276" s="82"/>
      <c r="D276" s="82">
        <f t="shared" ref="D276:E276" si="58">D274-D275</f>
        <v>803</v>
      </c>
      <c r="E276" s="86">
        <f t="shared" si="58"/>
        <v>7933.64</v>
      </c>
    </row>
    <row r="277" ht="15.75" customHeight="1">
      <c r="A277" s="73" t="s">
        <v>90</v>
      </c>
      <c r="B277" s="83"/>
      <c r="C277" s="83"/>
      <c r="D277" s="80">
        <f t="shared" ref="D277:E277" si="59">SUM(D264:D275)-D276</f>
        <v>2572</v>
      </c>
      <c r="E277" s="85">
        <f t="shared" si="59"/>
        <v>25411.36</v>
      </c>
      <c r="G277" s="15">
        <v>1000.0</v>
      </c>
      <c r="H277" s="15" t="s">
        <v>92</v>
      </c>
      <c r="I277" s="65">
        <f>E276-G277</f>
        <v>6933.64</v>
      </c>
    </row>
    <row r="278" ht="15.75" customHeight="1">
      <c r="E278" s="65"/>
    </row>
    <row r="279" ht="15.75" hidden="1" customHeight="1">
      <c r="A279" s="73" t="s">
        <v>90</v>
      </c>
      <c r="B279" s="83"/>
      <c r="C279" s="83"/>
      <c r="D279" s="80">
        <f t="shared" ref="D279:E279" si="60">SUM(D266:D277)-D278</f>
        <v>6602</v>
      </c>
      <c r="E279" s="85">
        <f t="shared" si="60"/>
        <v>65227.76</v>
      </c>
    </row>
    <row r="280" ht="15.75" customHeight="1">
      <c r="E280" s="65"/>
    </row>
    <row r="281" ht="15.75" customHeight="1">
      <c r="A281" s="5" t="s">
        <v>110</v>
      </c>
      <c r="C281" s="4"/>
      <c r="D281" s="5"/>
      <c r="E281" s="65"/>
    </row>
    <row r="282" ht="15.75" customHeight="1">
      <c r="A282" s="1"/>
      <c r="C282" s="4"/>
      <c r="D282" s="5"/>
      <c r="E282" s="65"/>
    </row>
    <row r="283" ht="15.75" customHeight="1">
      <c r="A283" s="5" t="s">
        <v>11</v>
      </c>
      <c r="B283" s="41">
        <v>7407.0</v>
      </c>
      <c r="C283" s="41">
        <v>7457.0</v>
      </c>
      <c r="D283" s="5">
        <f t="shared" ref="D283:D294" si="61">C283-B283</f>
        <v>50</v>
      </c>
      <c r="E283" s="66">
        <f t="shared" ref="E283:E294" si="62">D283*9.88</f>
        <v>494</v>
      </c>
    </row>
    <row r="284" ht="15.75" customHeight="1">
      <c r="A284" s="5" t="s">
        <v>12</v>
      </c>
      <c r="B284" s="41">
        <v>5909.0</v>
      </c>
      <c r="C284" s="41">
        <v>5979.0</v>
      </c>
      <c r="D284" s="5">
        <f t="shared" si="61"/>
        <v>70</v>
      </c>
      <c r="E284" s="66">
        <f t="shared" si="62"/>
        <v>691.6</v>
      </c>
    </row>
    <row r="285" ht="15.75" customHeight="1">
      <c r="A285" s="5" t="s">
        <v>13</v>
      </c>
      <c r="B285" s="41">
        <v>8063.0</v>
      </c>
      <c r="C285" s="41">
        <v>8110.0</v>
      </c>
      <c r="D285" s="5">
        <f t="shared" si="61"/>
        <v>47</v>
      </c>
      <c r="E285" s="66">
        <f t="shared" si="62"/>
        <v>464.36</v>
      </c>
    </row>
    <row r="286" ht="15.75" customHeight="1">
      <c r="A286" s="5" t="s">
        <v>14</v>
      </c>
      <c r="B286" s="41">
        <v>5837.0</v>
      </c>
      <c r="C286" s="41">
        <v>5903.0</v>
      </c>
      <c r="D286" s="5">
        <f t="shared" si="61"/>
        <v>66</v>
      </c>
      <c r="E286" s="66">
        <f t="shared" si="62"/>
        <v>652.08</v>
      </c>
    </row>
    <row r="287" ht="15.75" customHeight="1">
      <c r="A287" s="5" t="s">
        <v>15</v>
      </c>
      <c r="B287" s="41">
        <v>6948.0</v>
      </c>
      <c r="C287" s="41">
        <v>7013.0</v>
      </c>
      <c r="D287" s="5">
        <f t="shared" si="61"/>
        <v>65</v>
      </c>
      <c r="E287" s="66">
        <f t="shared" si="62"/>
        <v>642.2</v>
      </c>
    </row>
    <row r="288" ht="15.75" customHeight="1">
      <c r="A288" s="5" t="s">
        <v>16</v>
      </c>
      <c r="B288" s="41">
        <v>5155.0</v>
      </c>
      <c r="C288" s="41">
        <v>5222.0</v>
      </c>
      <c r="D288" s="5">
        <f t="shared" si="61"/>
        <v>67</v>
      </c>
      <c r="E288" s="66">
        <f t="shared" si="62"/>
        <v>661.96</v>
      </c>
    </row>
    <row r="289" ht="15.75" customHeight="1">
      <c r="A289" s="5" t="s">
        <v>17</v>
      </c>
      <c r="B289" s="41">
        <v>7074.0</v>
      </c>
      <c r="C289" s="41">
        <v>7119.0</v>
      </c>
      <c r="D289" s="5">
        <f t="shared" si="61"/>
        <v>45</v>
      </c>
      <c r="E289" s="66">
        <f t="shared" si="62"/>
        <v>444.6</v>
      </c>
    </row>
    <row r="290" ht="15.75" customHeight="1">
      <c r="A290" s="5" t="s">
        <v>18</v>
      </c>
      <c r="B290" s="41">
        <v>7476.0</v>
      </c>
      <c r="C290" s="41">
        <v>7541.0</v>
      </c>
      <c r="D290" s="5">
        <f t="shared" si="61"/>
        <v>65</v>
      </c>
      <c r="E290" s="66">
        <f t="shared" si="62"/>
        <v>642.2</v>
      </c>
    </row>
    <row r="291" ht="15.75" customHeight="1">
      <c r="A291" s="40" t="s">
        <v>97</v>
      </c>
      <c r="B291" s="41">
        <v>160214.0</v>
      </c>
      <c r="C291" s="41">
        <v>161506.0</v>
      </c>
      <c r="D291" s="5">
        <f t="shared" si="61"/>
        <v>1292</v>
      </c>
      <c r="E291" s="66">
        <f t="shared" si="62"/>
        <v>12764.96</v>
      </c>
    </row>
    <row r="292" ht="15.75" customHeight="1">
      <c r="A292" s="5" t="s">
        <v>30</v>
      </c>
      <c r="B292" s="41">
        <v>5475.0</v>
      </c>
      <c r="C292" s="41">
        <v>5662.0</v>
      </c>
      <c r="D292" s="5">
        <f t="shared" si="61"/>
        <v>187</v>
      </c>
      <c r="E292" s="66">
        <f t="shared" si="62"/>
        <v>1847.56</v>
      </c>
    </row>
    <row r="293" ht="15.75" customHeight="1">
      <c r="A293" s="67" t="s">
        <v>86</v>
      </c>
      <c r="B293" s="41">
        <v>27787.0</v>
      </c>
      <c r="C293" s="41">
        <v>28731.0</v>
      </c>
      <c r="D293" s="5">
        <f t="shared" si="61"/>
        <v>944</v>
      </c>
      <c r="E293" s="66">
        <f t="shared" si="62"/>
        <v>9326.72</v>
      </c>
    </row>
    <row r="294" ht="15.75" customHeight="1">
      <c r="A294" s="69" t="s">
        <v>87</v>
      </c>
      <c r="B294" s="49">
        <v>33922.0</v>
      </c>
      <c r="C294" s="49">
        <v>34014.0</v>
      </c>
      <c r="D294" s="5">
        <f t="shared" si="61"/>
        <v>92</v>
      </c>
      <c r="E294" s="65">
        <f t="shared" si="62"/>
        <v>908.96</v>
      </c>
    </row>
    <row r="295" ht="15.75" customHeight="1">
      <c r="A295" s="70" t="s">
        <v>88</v>
      </c>
      <c r="B295" s="82"/>
      <c r="C295" s="82"/>
      <c r="D295" s="82">
        <f t="shared" ref="D295:E295" si="63">D293-D294</f>
        <v>852</v>
      </c>
      <c r="E295" s="86">
        <f t="shared" si="63"/>
        <v>8417.76</v>
      </c>
    </row>
    <row r="296" ht="15.75" customHeight="1">
      <c r="A296" s="73" t="s">
        <v>90</v>
      </c>
      <c r="B296" s="83"/>
      <c r="C296" s="83"/>
      <c r="D296" s="80">
        <f t="shared" ref="D296:E296" si="64">SUM(D283:D294)-D295</f>
        <v>2138</v>
      </c>
      <c r="E296" s="85">
        <f t="shared" si="64"/>
        <v>21123.44</v>
      </c>
      <c r="G296" s="15">
        <v>1000.0</v>
      </c>
      <c r="H296" s="15" t="s">
        <v>92</v>
      </c>
      <c r="I296" s="65">
        <f>E295-G296</f>
        <v>7417.76</v>
      </c>
    </row>
    <row r="297" ht="15.75" customHeight="1">
      <c r="E297" s="65"/>
    </row>
    <row r="298" ht="15.75" hidden="1" customHeight="1">
      <c r="A298" s="73" t="s">
        <v>90</v>
      </c>
      <c r="B298" s="83"/>
      <c r="C298" s="83"/>
      <c r="D298" s="80">
        <f t="shared" ref="D298:E298" si="65">SUM(D285:D296)-D297</f>
        <v>5860</v>
      </c>
      <c r="E298" s="85">
        <f t="shared" si="65"/>
        <v>57896.8</v>
      </c>
    </row>
    <row r="299" ht="15.75" customHeight="1">
      <c r="E299" s="65"/>
    </row>
    <row r="300" ht="15.75" customHeight="1">
      <c r="A300" s="5" t="s">
        <v>111</v>
      </c>
      <c r="C300" s="4"/>
      <c r="D300" s="5"/>
      <c r="E300" s="65"/>
    </row>
    <row r="301" ht="15.75" customHeight="1">
      <c r="A301" s="1"/>
      <c r="C301" s="4"/>
      <c r="D301" s="5"/>
      <c r="E301" s="65"/>
    </row>
    <row r="302" ht="15.75" customHeight="1">
      <c r="A302" s="5" t="s">
        <v>11</v>
      </c>
      <c r="B302" s="41">
        <v>7457.0</v>
      </c>
      <c r="C302" s="41">
        <v>7514.0</v>
      </c>
      <c r="D302" s="5">
        <f t="shared" ref="D302:D313" si="66">C302-B302</f>
        <v>57</v>
      </c>
      <c r="E302" s="66">
        <f t="shared" ref="E302:E313" si="67">D302*9.88</f>
        <v>563.16</v>
      </c>
    </row>
    <row r="303" ht="15.75" customHeight="1">
      <c r="A303" s="5" t="s">
        <v>12</v>
      </c>
      <c r="B303" s="41">
        <v>5979.0</v>
      </c>
      <c r="C303" s="41">
        <v>6039.0</v>
      </c>
      <c r="D303" s="5">
        <f t="shared" si="66"/>
        <v>60</v>
      </c>
      <c r="E303" s="66">
        <f t="shared" si="67"/>
        <v>592.8</v>
      </c>
    </row>
    <row r="304" ht="15.75" customHeight="1">
      <c r="A304" s="5" t="s">
        <v>13</v>
      </c>
      <c r="B304" s="41">
        <v>8110.0</v>
      </c>
      <c r="C304" s="41">
        <v>8197.0</v>
      </c>
      <c r="D304" s="5">
        <f t="shared" si="66"/>
        <v>87</v>
      </c>
      <c r="E304" s="66">
        <f t="shared" si="67"/>
        <v>859.56</v>
      </c>
    </row>
    <row r="305" ht="15.75" customHeight="1">
      <c r="A305" s="5" t="s">
        <v>14</v>
      </c>
      <c r="B305" s="41">
        <v>5903.0</v>
      </c>
      <c r="C305" s="41">
        <v>5983.0</v>
      </c>
      <c r="D305" s="5">
        <f t="shared" si="66"/>
        <v>80</v>
      </c>
      <c r="E305" s="66">
        <f t="shared" si="67"/>
        <v>790.4</v>
      </c>
    </row>
    <row r="306" ht="15.75" customHeight="1">
      <c r="A306" s="5" t="s">
        <v>15</v>
      </c>
      <c r="B306" s="41">
        <v>7013.0</v>
      </c>
      <c r="C306" s="41">
        <v>7063.0</v>
      </c>
      <c r="D306" s="5">
        <f t="shared" si="66"/>
        <v>50</v>
      </c>
      <c r="E306" s="66">
        <f t="shared" si="67"/>
        <v>494</v>
      </c>
    </row>
    <row r="307" ht="15.75" customHeight="1">
      <c r="A307" s="5" t="s">
        <v>16</v>
      </c>
      <c r="B307" s="41">
        <v>5222.0</v>
      </c>
      <c r="C307" s="41">
        <v>5288.0</v>
      </c>
      <c r="D307" s="5">
        <f t="shared" si="66"/>
        <v>66</v>
      </c>
      <c r="E307" s="66">
        <f t="shared" si="67"/>
        <v>652.08</v>
      </c>
    </row>
    <row r="308" ht="15.75" customHeight="1">
      <c r="A308" s="5" t="s">
        <v>17</v>
      </c>
      <c r="B308" s="41">
        <v>7119.0</v>
      </c>
      <c r="C308" s="41">
        <v>7201.0</v>
      </c>
      <c r="D308" s="5">
        <f t="shared" si="66"/>
        <v>82</v>
      </c>
      <c r="E308" s="66">
        <f t="shared" si="67"/>
        <v>810.16</v>
      </c>
    </row>
    <row r="309" ht="15.75" customHeight="1">
      <c r="A309" s="5" t="s">
        <v>18</v>
      </c>
      <c r="B309" s="41">
        <v>7541.0</v>
      </c>
      <c r="C309" s="41">
        <v>7717.0</v>
      </c>
      <c r="D309" s="5">
        <f t="shared" si="66"/>
        <v>176</v>
      </c>
      <c r="E309" s="66">
        <f t="shared" si="67"/>
        <v>1738.88</v>
      </c>
    </row>
    <row r="310" ht="15.75" customHeight="1">
      <c r="A310" s="40" t="s">
        <v>97</v>
      </c>
      <c r="B310" s="41">
        <v>161506.0</v>
      </c>
      <c r="C310" s="41">
        <v>162740.0</v>
      </c>
      <c r="D310" s="5">
        <f t="shared" si="66"/>
        <v>1234</v>
      </c>
      <c r="E310" s="66">
        <f t="shared" si="67"/>
        <v>12191.92</v>
      </c>
    </row>
    <row r="311" ht="15.75" customHeight="1">
      <c r="A311" s="5" t="s">
        <v>30</v>
      </c>
      <c r="B311" s="41">
        <v>5662.0</v>
      </c>
      <c r="C311" s="41">
        <v>5867.0</v>
      </c>
      <c r="D311" s="5">
        <f t="shared" si="66"/>
        <v>205</v>
      </c>
      <c r="E311" s="66">
        <f t="shared" si="67"/>
        <v>2025.4</v>
      </c>
    </row>
    <row r="312" ht="15.75" customHeight="1">
      <c r="A312" s="67" t="s">
        <v>86</v>
      </c>
      <c r="B312" s="41">
        <v>28731.0</v>
      </c>
      <c r="C312" s="41">
        <v>29719.0</v>
      </c>
      <c r="D312" s="5">
        <f t="shared" si="66"/>
        <v>988</v>
      </c>
      <c r="E312" s="66">
        <f t="shared" si="67"/>
        <v>9761.44</v>
      </c>
    </row>
    <row r="313" ht="15.75" customHeight="1">
      <c r="A313" s="69" t="s">
        <v>87</v>
      </c>
      <c r="B313" s="49">
        <v>34014.0</v>
      </c>
      <c r="C313" s="49">
        <v>34103.0</v>
      </c>
      <c r="D313" s="5">
        <f t="shared" si="66"/>
        <v>89</v>
      </c>
      <c r="E313" s="65">
        <f t="shared" si="67"/>
        <v>879.32</v>
      </c>
    </row>
    <row r="314" ht="15.75" customHeight="1">
      <c r="A314" s="70" t="s">
        <v>88</v>
      </c>
      <c r="B314" s="82"/>
      <c r="C314" s="82"/>
      <c r="D314" s="82">
        <f t="shared" ref="D314:E314" si="68">D312-D313</f>
        <v>899</v>
      </c>
      <c r="E314" s="86">
        <f t="shared" si="68"/>
        <v>8882.12</v>
      </c>
    </row>
    <row r="315" ht="15.75" customHeight="1">
      <c r="A315" s="73" t="s">
        <v>90</v>
      </c>
      <c r="B315" s="83"/>
      <c r="C315" s="83"/>
      <c r="D315" s="80">
        <f t="shared" ref="D315:E315" si="69">SUM(D302:D313)-D314</f>
        <v>2275</v>
      </c>
      <c r="E315" s="85">
        <f t="shared" si="69"/>
        <v>22477</v>
      </c>
      <c r="G315" s="15">
        <v>1000.0</v>
      </c>
      <c r="H315" s="15" t="s">
        <v>92</v>
      </c>
      <c r="I315" s="65">
        <f>E314-G315</f>
        <v>7882.12</v>
      </c>
    </row>
    <row r="316" ht="15.75" customHeight="1">
      <c r="E316" s="65"/>
    </row>
    <row r="317" ht="15.75" customHeight="1">
      <c r="A317" s="5" t="s">
        <v>112</v>
      </c>
      <c r="C317" s="4"/>
      <c r="D317" s="5"/>
      <c r="E317" s="65"/>
    </row>
    <row r="318" ht="15.75" customHeight="1">
      <c r="A318" s="1"/>
      <c r="C318" s="4"/>
      <c r="D318" s="5"/>
      <c r="E318" s="65"/>
    </row>
    <row r="319" ht="15.75" customHeight="1">
      <c r="A319" s="5" t="s">
        <v>11</v>
      </c>
      <c r="B319" s="41">
        <v>7514.0</v>
      </c>
      <c r="C319" s="41">
        <v>7592.0</v>
      </c>
      <c r="D319" s="5">
        <f t="shared" ref="D319:D330" si="70">C319-B319</f>
        <v>78</v>
      </c>
      <c r="E319" s="66">
        <f t="shared" ref="E319:E330" si="71">D319*7</f>
        <v>546</v>
      </c>
    </row>
    <row r="320" ht="15.75" customHeight="1">
      <c r="A320" s="5" t="s">
        <v>12</v>
      </c>
      <c r="B320" s="41">
        <v>6039.0</v>
      </c>
      <c r="C320" s="41">
        <v>6118.0</v>
      </c>
      <c r="D320" s="5">
        <f t="shared" si="70"/>
        <v>79</v>
      </c>
      <c r="E320" s="66">
        <f t="shared" si="71"/>
        <v>553</v>
      </c>
      <c r="F320" s="15" t="s">
        <v>113</v>
      </c>
    </row>
    <row r="321" ht="15.75" customHeight="1">
      <c r="A321" s="5" t="s">
        <v>13</v>
      </c>
      <c r="B321" s="41">
        <v>8197.0</v>
      </c>
      <c r="C321" s="41">
        <v>8359.0</v>
      </c>
      <c r="D321" s="5">
        <f t="shared" si="70"/>
        <v>162</v>
      </c>
      <c r="E321" s="66">
        <f t="shared" si="71"/>
        <v>1134</v>
      </c>
      <c r="F321" s="15" t="s">
        <v>114</v>
      </c>
      <c r="K321" s="60"/>
    </row>
    <row r="322" ht="15.75" customHeight="1">
      <c r="A322" s="5" t="s">
        <v>14</v>
      </c>
      <c r="B322" s="41">
        <v>5983.0</v>
      </c>
      <c r="C322" s="41">
        <v>6106.0</v>
      </c>
      <c r="D322" s="5">
        <f t="shared" si="70"/>
        <v>123</v>
      </c>
      <c r="E322" s="66">
        <f t="shared" si="71"/>
        <v>861</v>
      </c>
      <c r="F322" s="15" t="s">
        <v>115</v>
      </c>
      <c r="K322" s="60"/>
    </row>
    <row r="323" ht="15.75" customHeight="1">
      <c r="A323" s="5" t="s">
        <v>15</v>
      </c>
      <c r="B323" s="41">
        <v>7063.0</v>
      </c>
      <c r="C323" s="41">
        <v>7128.0</v>
      </c>
      <c r="D323" s="5">
        <f t="shared" si="70"/>
        <v>65</v>
      </c>
      <c r="E323" s="66">
        <f t="shared" si="71"/>
        <v>455</v>
      </c>
      <c r="F323" s="15" t="s">
        <v>116</v>
      </c>
    </row>
    <row r="324" ht="15.75" customHeight="1">
      <c r="A324" s="5" t="s">
        <v>16</v>
      </c>
      <c r="B324" s="41">
        <v>5288.0</v>
      </c>
      <c r="C324" s="41">
        <v>5362.0</v>
      </c>
      <c r="D324" s="5">
        <f t="shared" si="70"/>
        <v>74</v>
      </c>
      <c r="E324" s="66">
        <f t="shared" si="71"/>
        <v>518</v>
      </c>
      <c r="F324" s="15" t="s">
        <v>117</v>
      </c>
    </row>
    <row r="325" ht="15.75" customHeight="1">
      <c r="A325" s="5" t="s">
        <v>17</v>
      </c>
      <c r="B325" s="41">
        <v>7201.0</v>
      </c>
      <c r="C325" s="41">
        <v>7683.0</v>
      </c>
      <c r="D325" s="5">
        <f t="shared" si="70"/>
        <v>482</v>
      </c>
      <c r="E325" s="66">
        <f t="shared" si="71"/>
        <v>3374</v>
      </c>
      <c r="F325" s="15" t="s">
        <v>118</v>
      </c>
    </row>
    <row r="326" ht="15.75" customHeight="1">
      <c r="A326" s="5" t="s">
        <v>18</v>
      </c>
      <c r="B326" s="41">
        <v>7717.0</v>
      </c>
      <c r="C326" s="41">
        <v>7894.0</v>
      </c>
      <c r="D326" s="5">
        <f t="shared" si="70"/>
        <v>177</v>
      </c>
      <c r="E326" s="66">
        <f t="shared" si="71"/>
        <v>1239</v>
      </c>
    </row>
    <row r="327" ht="15.75" customHeight="1">
      <c r="A327" s="40" t="s">
        <v>97</v>
      </c>
      <c r="B327" s="41">
        <v>162740.0</v>
      </c>
      <c r="C327" s="41">
        <v>164172.0</v>
      </c>
      <c r="D327" s="5">
        <f t="shared" si="70"/>
        <v>1432</v>
      </c>
      <c r="E327" s="66">
        <f t="shared" si="71"/>
        <v>10024</v>
      </c>
    </row>
    <row r="328" ht="15.75" customHeight="1">
      <c r="A328" s="5" t="s">
        <v>30</v>
      </c>
      <c r="B328" s="41">
        <v>5867.0</v>
      </c>
      <c r="C328" s="41">
        <v>6097.0</v>
      </c>
      <c r="D328" s="5">
        <f t="shared" si="70"/>
        <v>230</v>
      </c>
      <c r="E328" s="66">
        <f t="shared" si="71"/>
        <v>1610</v>
      </c>
    </row>
    <row r="329" ht="15.75" customHeight="1">
      <c r="A329" s="67" t="s">
        <v>86</v>
      </c>
      <c r="B329" s="41">
        <v>29719.0</v>
      </c>
      <c r="C329" s="41">
        <v>30881.0</v>
      </c>
      <c r="D329" s="5">
        <f t="shared" si="70"/>
        <v>1162</v>
      </c>
      <c r="E329" s="66">
        <f t="shared" si="71"/>
        <v>8134</v>
      </c>
    </row>
    <row r="330" ht="15.75" customHeight="1">
      <c r="A330" s="69" t="s">
        <v>87</v>
      </c>
      <c r="B330" s="49">
        <v>34103.0</v>
      </c>
      <c r="C330" s="49">
        <v>34198.0</v>
      </c>
      <c r="D330" s="5">
        <f t="shared" si="70"/>
        <v>95</v>
      </c>
      <c r="E330" s="66">
        <f t="shared" si="71"/>
        <v>665</v>
      </c>
    </row>
    <row r="331" ht="15.75" customHeight="1">
      <c r="A331" s="70" t="s">
        <v>88</v>
      </c>
      <c r="B331" s="82"/>
      <c r="C331" s="82"/>
      <c r="D331" s="82">
        <f t="shared" ref="D331:E331" si="72">D329-D330</f>
        <v>1067</v>
      </c>
      <c r="E331" s="86">
        <f t="shared" si="72"/>
        <v>7469</v>
      </c>
    </row>
    <row r="332" ht="15.75" customHeight="1">
      <c r="A332" s="73" t="s">
        <v>90</v>
      </c>
      <c r="B332" s="83"/>
      <c r="C332" s="83"/>
      <c r="D332" s="80">
        <f t="shared" ref="D332:E332" si="73">SUM(D319:D330)-D331</f>
        <v>3092</v>
      </c>
      <c r="E332" s="85">
        <f t="shared" si="73"/>
        <v>21644</v>
      </c>
      <c r="G332" s="15">
        <v>1000.0</v>
      </c>
      <c r="H332" s="15" t="s">
        <v>92</v>
      </c>
      <c r="I332" s="65">
        <f>E331-G332</f>
        <v>6469</v>
      </c>
    </row>
    <row r="333" ht="15.75" customHeight="1">
      <c r="E333" s="65"/>
    </row>
    <row r="334" ht="15.75" customHeight="1">
      <c r="A334" s="5" t="s">
        <v>119</v>
      </c>
      <c r="C334" s="4"/>
      <c r="D334" s="5"/>
      <c r="E334" s="65"/>
    </row>
    <row r="335" ht="15.75" customHeight="1">
      <c r="A335" s="1"/>
      <c r="C335" s="4"/>
      <c r="D335" s="5"/>
      <c r="E335" s="65"/>
    </row>
    <row r="336" ht="15.75" customHeight="1">
      <c r="A336" s="5" t="s">
        <v>11</v>
      </c>
      <c r="B336" s="41">
        <v>7592.0</v>
      </c>
      <c r="C336" s="41">
        <v>7806.0</v>
      </c>
      <c r="D336" s="5">
        <f t="shared" ref="D336:D347" si="74">C336-B336</f>
        <v>214</v>
      </c>
      <c r="E336" s="66">
        <f t="shared" ref="E336:E347" si="75">D336*7</f>
        <v>1498</v>
      </c>
    </row>
    <row r="337" ht="15.75" customHeight="1">
      <c r="A337" s="5" t="s">
        <v>12</v>
      </c>
      <c r="B337" s="41">
        <v>6118.0</v>
      </c>
      <c r="C337" s="41">
        <v>6200.0</v>
      </c>
      <c r="D337" s="5">
        <f t="shared" si="74"/>
        <v>82</v>
      </c>
      <c r="E337" s="66">
        <f t="shared" si="75"/>
        <v>574</v>
      </c>
      <c r="F337" s="15" t="s">
        <v>113</v>
      </c>
    </row>
    <row r="338" ht="15.75" customHeight="1">
      <c r="A338" s="5" t="s">
        <v>13</v>
      </c>
      <c r="B338" s="41">
        <v>8359.0</v>
      </c>
      <c r="C338" s="41">
        <v>8484.0</v>
      </c>
      <c r="D338" s="5">
        <f t="shared" si="74"/>
        <v>125</v>
      </c>
      <c r="E338" s="66">
        <f t="shared" si="75"/>
        <v>875</v>
      </c>
      <c r="F338" s="15" t="s">
        <v>114</v>
      </c>
    </row>
    <row r="339" ht="15.75" customHeight="1">
      <c r="A339" s="5" t="s">
        <v>14</v>
      </c>
      <c r="B339" s="41">
        <v>6106.0</v>
      </c>
      <c r="C339" s="41">
        <v>6174.0</v>
      </c>
      <c r="D339" s="5">
        <f t="shared" si="74"/>
        <v>68</v>
      </c>
      <c r="E339" s="66">
        <f t="shared" si="75"/>
        <v>476</v>
      </c>
      <c r="F339" s="15" t="s">
        <v>115</v>
      </c>
    </row>
    <row r="340" ht="15.75" customHeight="1">
      <c r="A340" s="5" t="s">
        <v>15</v>
      </c>
      <c r="B340" s="41">
        <v>7128.0</v>
      </c>
      <c r="C340" s="41">
        <v>7234.0</v>
      </c>
      <c r="D340" s="5">
        <f t="shared" si="74"/>
        <v>106</v>
      </c>
      <c r="E340" s="66">
        <f t="shared" si="75"/>
        <v>742</v>
      </c>
      <c r="F340" s="15" t="s">
        <v>116</v>
      </c>
    </row>
    <row r="341" ht="15.75" customHeight="1">
      <c r="A341" s="5" t="s">
        <v>16</v>
      </c>
      <c r="B341" s="41">
        <v>5362.0</v>
      </c>
      <c r="C341" s="41">
        <v>5436.0</v>
      </c>
      <c r="D341" s="5">
        <f t="shared" si="74"/>
        <v>74</v>
      </c>
      <c r="E341" s="66">
        <f t="shared" si="75"/>
        <v>518</v>
      </c>
      <c r="F341" s="15" t="s">
        <v>117</v>
      </c>
    </row>
    <row r="342" ht="15.75" customHeight="1">
      <c r="A342" s="5" t="s">
        <v>17</v>
      </c>
      <c r="B342" s="41">
        <v>7683.0</v>
      </c>
      <c r="C342" s="41">
        <v>7840.0</v>
      </c>
      <c r="D342" s="5">
        <f t="shared" si="74"/>
        <v>157</v>
      </c>
      <c r="E342" s="66">
        <f t="shared" si="75"/>
        <v>1099</v>
      </c>
      <c r="F342" s="15" t="s">
        <v>118</v>
      </c>
    </row>
    <row r="343" ht="15.75" customHeight="1">
      <c r="A343" s="5" t="s">
        <v>18</v>
      </c>
      <c r="B343" s="41">
        <v>7894.0</v>
      </c>
      <c r="C343" s="41">
        <v>8300.0</v>
      </c>
      <c r="D343" s="5">
        <f t="shared" si="74"/>
        <v>406</v>
      </c>
      <c r="E343" s="66">
        <f t="shared" si="75"/>
        <v>2842</v>
      </c>
    </row>
    <row r="344" ht="15.75" customHeight="1">
      <c r="A344" s="40" t="s">
        <v>97</v>
      </c>
      <c r="B344" s="41">
        <v>164172.0</v>
      </c>
      <c r="C344" s="41">
        <v>165547.0</v>
      </c>
      <c r="D344" s="5">
        <f t="shared" si="74"/>
        <v>1375</v>
      </c>
      <c r="E344" s="66">
        <f t="shared" si="75"/>
        <v>9625</v>
      </c>
    </row>
    <row r="345" ht="15.75" customHeight="1">
      <c r="A345" s="5" t="s">
        <v>30</v>
      </c>
      <c r="B345" s="41">
        <v>6097.0</v>
      </c>
      <c r="C345" s="41">
        <v>6307.0</v>
      </c>
      <c r="D345" s="5">
        <f t="shared" si="74"/>
        <v>210</v>
      </c>
      <c r="E345" s="66">
        <f t="shared" si="75"/>
        <v>1470</v>
      </c>
    </row>
    <row r="346" ht="15.75" customHeight="1">
      <c r="A346" s="67" t="s">
        <v>86</v>
      </c>
      <c r="B346" s="41">
        <v>30881.0</v>
      </c>
      <c r="C346" s="41">
        <v>31935.0</v>
      </c>
      <c r="D346" s="5">
        <f t="shared" si="74"/>
        <v>1054</v>
      </c>
      <c r="E346" s="66">
        <f t="shared" si="75"/>
        <v>7378</v>
      </c>
    </row>
    <row r="347" ht="15.75" customHeight="1">
      <c r="A347" s="69" t="s">
        <v>87</v>
      </c>
      <c r="B347" s="49">
        <v>34198.0</v>
      </c>
      <c r="C347" s="49">
        <v>34285.0</v>
      </c>
      <c r="D347" s="5">
        <f t="shared" si="74"/>
        <v>87</v>
      </c>
      <c r="E347" s="66">
        <f t="shared" si="75"/>
        <v>609</v>
      </c>
    </row>
    <row r="348" ht="15.75" customHeight="1">
      <c r="A348" s="70" t="s">
        <v>88</v>
      </c>
      <c r="B348" s="82"/>
      <c r="C348" s="82"/>
      <c r="D348" s="82">
        <f t="shared" ref="D348:E348" si="76">D346-D347</f>
        <v>967</v>
      </c>
      <c r="E348" s="86">
        <f t="shared" si="76"/>
        <v>6769</v>
      </c>
      <c r="G348" s="15">
        <v>1000.0</v>
      </c>
      <c r="H348" s="15" t="s">
        <v>92</v>
      </c>
      <c r="I348" s="65">
        <f>E348-G348</f>
        <v>5769</v>
      </c>
    </row>
    <row r="349" ht="15.75" customHeight="1">
      <c r="A349" s="73" t="s">
        <v>90</v>
      </c>
      <c r="B349" s="83"/>
      <c r="C349" s="83"/>
      <c r="D349" s="80">
        <f t="shared" ref="D349:E349" si="77">SUM(D336:D347)-D348</f>
        <v>2991</v>
      </c>
      <c r="E349" s="85">
        <f t="shared" si="77"/>
        <v>20937</v>
      </c>
    </row>
    <row r="350" ht="15.75" customHeight="1">
      <c r="E350" s="65"/>
    </row>
    <row r="351" ht="15.75" customHeight="1">
      <c r="A351" s="5" t="s">
        <v>120</v>
      </c>
      <c r="C351" s="4"/>
      <c r="D351" s="5"/>
      <c r="E351" s="65"/>
    </row>
    <row r="352" ht="15.75" customHeight="1">
      <c r="A352" s="1"/>
      <c r="C352" s="4"/>
      <c r="D352" s="5"/>
      <c r="E352" s="65"/>
    </row>
    <row r="353" ht="15.75" customHeight="1">
      <c r="A353" s="88" t="s">
        <v>11</v>
      </c>
      <c r="B353" s="41">
        <v>7806.0</v>
      </c>
      <c r="C353" s="89">
        <v>7875.0</v>
      </c>
      <c r="D353" s="5">
        <f t="shared" ref="D353:D364" si="78">C353-B353</f>
        <v>69</v>
      </c>
      <c r="E353" s="66">
        <f t="shared" ref="E353:E364" si="79">D353*7</f>
        <v>483</v>
      </c>
    </row>
    <row r="354" ht="15.75" customHeight="1">
      <c r="A354" s="88" t="s">
        <v>12</v>
      </c>
      <c r="B354" s="41">
        <v>6200.0</v>
      </c>
      <c r="C354" s="41">
        <v>6254.0</v>
      </c>
      <c r="D354" s="5">
        <f t="shared" si="78"/>
        <v>54</v>
      </c>
      <c r="E354" s="66">
        <f t="shared" si="79"/>
        <v>378</v>
      </c>
      <c r="F354" s="15" t="s">
        <v>113</v>
      </c>
    </row>
    <row r="355" ht="15.75" customHeight="1">
      <c r="A355" s="88" t="s">
        <v>13</v>
      </c>
      <c r="B355" s="41">
        <v>8484.0</v>
      </c>
      <c r="C355" s="41">
        <v>8573.0</v>
      </c>
      <c r="D355" s="5">
        <f t="shared" si="78"/>
        <v>89</v>
      </c>
      <c r="E355" s="66">
        <f t="shared" si="79"/>
        <v>623</v>
      </c>
      <c r="F355" s="15" t="s">
        <v>114</v>
      </c>
    </row>
    <row r="356" ht="15.75" customHeight="1">
      <c r="A356" s="88" t="s">
        <v>14</v>
      </c>
      <c r="B356" s="41">
        <v>6174.0</v>
      </c>
      <c r="C356" s="41">
        <v>6241.0</v>
      </c>
      <c r="D356" s="5">
        <f t="shared" si="78"/>
        <v>67</v>
      </c>
      <c r="E356" s="66">
        <f t="shared" si="79"/>
        <v>469</v>
      </c>
      <c r="F356" s="15" t="s">
        <v>115</v>
      </c>
    </row>
    <row r="357" ht="15.75" customHeight="1">
      <c r="A357" s="90" t="s">
        <v>15</v>
      </c>
      <c r="B357" s="41">
        <v>7234.0</v>
      </c>
      <c r="C357" s="41">
        <v>7303.0</v>
      </c>
      <c r="D357" s="5">
        <f t="shared" si="78"/>
        <v>69</v>
      </c>
      <c r="E357" s="66">
        <f t="shared" si="79"/>
        <v>483</v>
      </c>
      <c r="F357" s="15" t="s">
        <v>116</v>
      </c>
    </row>
    <row r="358" ht="15.75" customHeight="1">
      <c r="A358" s="90" t="s">
        <v>16</v>
      </c>
      <c r="B358" s="41">
        <v>5436.0</v>
      </c>
      <c r="C358" s="41">
        <v>5488.0</v>
      </c>
      <c r="D358" s="5">
        <f t="shared" si="78"/>
        <v>52</v>
      </c>
      <c r="E358" s="66">
        <f t="shared" si="79"/>
        <v>364</v>
      </c>
      <c r="F358" s="15" t="s">
        <v>117</v>
      </c>
    </row>
    <row r="359" ht="15.75" customHeight="1">
      <c r="A359" s="90" t="s">
        <v>17</v>
      </c>
      <c r="B359" s="41">
        <v>7840.0</v>
      </c>
      <c r="C359" s="41">
        <v>7948.0</v>
      </c>
      <c r="D359" s="5">
        <f t="shared" si="78"/>
        <v>108</v>
      </c>
      <c r="E359" s="66">
        <f t="shared" si="79"/>
        <v>756</v>
      </c>
      <c r="F359" s="15" t="s">
        <v>118</v>
      </c>
    </row>
    <row r="360" ht="15.75" customHeight="1">
      <c r="A360" s="90" t="s">
        <v>18</v>
      </c>
      <c r="B360" s="41">
        <v>8300.0</v>
      </c>
      <c r="C360" s="89">
        <v>8479.0</v>
      </c>
      <c r="D360" s="5">
        <f t="shared" si="78"/>
        <v>179</v>
      </c>
      <c r="E360" s="66">
        <f t="shared" si="79"/>
        <v>1253</v>
      </c>
    </row>
    <row r="361" ht="15.75" customHeight="1">
      <c r="A361" s="40" t="s">
        <v>97</v>
      </c>
      <c r="B361" s="41">
        <v>165547.0</v>
      </c>
      <c r="C361" s="41">
        <v>166593.0</v>
      </c>
      <c r="D361" s="5">
        <f t="shared" si="78"/>
        <v>1046</v>
      </c>
      <c r="E361" s="66">
        <f t="shared" si="79"/>
        <v>7322</v>
      </c>
    </row>
    <row r="362" ht="15.75" customHeight="1">
      <c r="A362" s="5" t="s">
        <v>30</v>
      </c>
      <c r="B362" s="41">
        <v>6307.0</v>
      </c>
      <c r="C362" s="41">
        <v>6495.0</v>
      </c>
      <c r="D362" s="5">
        <f t="shared" si="78"/>
        <v>188</v>
      </c>
      <c r="E362" s="66">
        <f t="shared" si="79"/>
        <v>1316</v>
      </c>
    </row>
    <row r="363" ht="15.75" customHeight="1">
      <c r="A363" s="67" t="s">
        <v>86</v>
      </c>
      <c r="B363" s="41">
        <v>31935.0</v>
      </c>
      <c r="C363" s="41">
        <v>32883.0</v>
      </c>
      <c r="D363" s="5">
        <f t="shared" si="78"/>
        <v>948</v>
      </c>
      <c r="E363" s="66">
        <f t="shared" si="79"/>
        <v>6636</v>
      </c>
    </row>
    <row r="364" ht="15.75" customHeight="1">
      <c r="A364" s="69" t="s">
        <v>87</v>
      </c>
      <c r="B364" s="49">
        <v>34285.0</v>
      </c>
      <c r="C364" s="49">
        <v>34354.0</v>
      </c>
      <c r="D364" s="5">
        <f t="shared" si="78"/>
        <v>69</v>
      </c>
      <c r="E364" s="66">
        <f t="shared" si="79"/>
        <v>483</v>
      </c>
    </row>
    <row r="365" ht="15.75" customHeight="1">
      <c r="A365" s="70" t="s">
        <v>88</v>
      </c>
      <c r="B365" s="82"/>
      <c r="C365" s="82"/>
      <c r="D365" s="82">
        <f t="shared" ref="D365:E365" si="80">D363-D364</f>
        <v>879</v>
      </c>
      <c r="E365" s="86">
        <f t="shared" si="80"/>
        <v>6153</v>
      </c>
      <c r="G365" s="15">
        <v>1000.0</v>
      </c>
      <c r="H365" s="15" t="s">
        <v>92</v>
      </c>
      <c r="I365" s="65">
        <f>E365-G365</f>
        <v>5153</v>
      </c>
    </row>
    <row r="366" ht="15.75" customHeight="1">
      <c r="A366" s="73" t="s">
        <v>90</v>
      </c>
      <c r="B366" s="83"/>
      <c r="C366" s="83"/>
      <c r="D366" s="80">
        <f t="shared" ref="D366:E366" si="81">SUM(D353:D364)-D365</f>
        <v>2059</v>
      </c>
      <c r="E366" s="85">
        <f t="shared" si="81"/>
        <v>14413</v>
      </c>
    </row>
    <row r="367" ht="15.75" customHeight="1">
      <c r="E367" s="65"/>
    </row>
    <row r="368" ht="15.75" customHeight="1">
      <c r="A368" s="5" t="s">
        <v>121</v>
      </c>
      <c r="C368" s="4"/>
      <c r="D368" s="5"/>
      <c r="E368" s="65"/>
    </row>
    <row r="369" ht="15.75" customHeight="1">
      <c r="A369" s="1"/>
      <c r="C369" s="4"/>
      <c r="D369" s="5"/>
      <c r="E369" s="65"/>
    </row>
    <row r="370" ht="15.75" customHeight="1">
      <c r="A370" s="40" t="s">
        <v>122</v>
      </c>
      <c r="B370" s="41">
        <v>7875.0</v>
      </c>
      <c r="C370" s="41">
        <v>8206.0</v>
      </c>
      <c r="D370" s="5">
        <f t="shared" ref="D370:D375" si="82">C370-B370</f>
        <v>331</v>
      </c>
      <c r="E370" s="66">
        <f t="shared" ref="E370:E375" si="83">D370*6</f>
        <v>1986</v>
      </c>
    </row>
    <row r="371" ht="15.75" customHeight="1">
      <c r="A371" s="40" t="s">
        <v>123</v>
      </c>
      <c r="B371" s="41">
        <v>8479.0</v>
      </c>
      <c r="C371" s="41">
        <v>8817.0</v>
      </c>
      <c r="D371" s="5">
        <f t="shared" si="82"/>
        <v>338</v>
      </c>
      <c r="E371" s="66">
        <f t="shared" si="83"/>
        <v>2028</v>
      </c>
    </row>
    <row r="372" ht="15.75" customHeight="1">
      <c r="A372" s="40" t="s">
        <v>97</v>
      </c>
      <c r="B372" s="41">
        <v>166593.0</v>
      </c>
      <c r="C372" s="41">
        <v>167985.0</v>
      </c>
      <c r="D372" s="5">
        <f t="shared" si="82"/>
        <v>1392</v>
      </c>
      <c r="E372" s="66">
        <f t="shared" si="83"/>
        <v>8352</v>
      </c>
    </row>
    <row r="373" ht="15.75" customHeight="1">
      <c r="A373" s="5" t="s">
        <v>30</v>
      </c>
      <c r="B373" s="41">
        <v>6495.0</v>
      </c>
      <c r="C373" s="41">
        <v>6712.0</v>
      </c>
      <c r="D373" s="5">
        <f t="shared" si="82"/>
        <v>217</v>
      </c>
      <c r="E373" s="66">
        <f t="shared" si="83"/>
        <v>1302</v>
      </c>
    </row>
    <row r="374" ht="15.75" customHeight="1">
      <c r="A374" s="67" t="s">
        <v>86</v>
      </c>
      <c r="B374" s="41">
        <v>32883.0</v>
      </c>
      <c r="C374" s="41">
        <v>33989.0</v>
      </c>
      <c r="D374" s="5">
        <f t="shared" si="82"/>
        <v>1106</v>
      </c>
      <c r="E374" s="66">
        <f t="shared" si="83"/>
        <v>6636</v>
      </c>
    </row>
    <row r="375" ht="15.75" customHeight="1">
      <c r="A375" s="69" t="s">
        <v>87</v>
      </c>
      <c r="B375" s="49">
        <v>34354.0</v>
      </c>
      <c r="C375" s="49">
        <v>34485.0</v>
      </c>
      <c r="D375" s="5">
        <f t="shared" si="82"/>
        <v>131</v>
      </c>
      <c r="E375" s="66">
        <f t="shared" si="83"/>
        <v>786</v>
      </c>
    </row>
    <row r="376" ht="15.75" customHeight="1">
      <c r="A376" s="70" t="s">
        <v>88</v>
      </c>
      <c r="B376" s="82"/>
      <c r="C376" s="82"/>
      <c r="D376" s="82">
        <f t="shared" ref="D376:E376" si="84">D374-D375</f>
        <v>975</v>
      </c>
      <c r="E376" s="86">
        <f t="shared" si="84"/>
        <v>5850</v>
      </c>
      <c r="G376" s="15">
        <v>1000.0</v>
      </c>
      <c r="H376" s="15" t="s">
        <v>92</v>
      </c>
      <c r="I376" s="65">
        <f>E376-G376</f>
        <v>4850</v>
      </c>
    </row>
    <row r="377" ht="15.75" customHeight="1">
      <c r="A377" s="73" t="s">
        <v>90</v>
      </c>
      <c r="B377" s="83"/>
      <c r="C377" s="83"/>
      <c r="D377" s="80">
        <f t="shared" ref="D377:E377" si="85">SUM(D370:D375)-D376</f>
        <v>2540</v>
      </c>
      <c r="E377" s="85">
        <f t="shared" si="85"/>
        <v>15240</v>
      </c>
    </row>
    <row r="378" ht="15.75" customHeight="1">
      <c r="E378" s="65"/>
    </row>
    <row r="379" ht="21.0" customHeight="1">
      <c r="A379" s="5" t="s">
        <v>124</v>
      </c>
      <c r="C379" s="4"/>
      <c r="D379" s="5"/>
      <c r="E379" s="65"/>
    </row>
    <row r="380" ht="21.0" customHeight="1">
      <c r="A380" s="1"/>
      <c r="C380" s="4"/>
      <c r="D380" s="5"/>
      <c r="E380" s="65"/>
    </row>
    <row r="381" ht="15.75" customHeight="1">
      <c r="A381" s="40" t="s">
        <v>122</v>
      </c>
      <c r="B381" s="41">
        <v>8206.0</v>
      </c>
      <c r="C381" s="41">
        <v>8411.0</v>
      </c>
      <c r="D381" s="5">
        <f t="shared" ref="D381:D386" si="86">C381-B381</f>
        <v>205</v>
      </c>
      <c r="E381" s="66">
        <f t="shared" ref="E381:E386" si="87">D381*6</f>
        <v>1230</v>
      </c>
    </row>
    <row r="382" ht="15.75" customHeight="1">
      <c r="A382" s="40" t="s">
        <v>123</v>
      </c>
      <c r="B382" s="41">
        <v>8817.0</v>
      </c>
      <c r="C382" s="41">
        <v>9029.0</v>
      </c>
      <c r="D382" s="5">
        <f t="shared" si="86"/>
        <v>212</v>
      </c>
      <c r="E382" s="66">
        <f t="shared" si="87"/>
        <v>1272</v>
      </c>
    </row>
    <row r="383" ht="15.75" customHeight="1">
      <c r="A383" s="40" t="s">
        <v>97</v>
      </c>
      <c r="B383" s="41">
        <v>167985.0</v>
      </c>
      <c r="C383" s="41">
        <v>169133.0</v>
      </c>
      <c r="D383" s="5">
        <f t="shared" si="86"/>
        <v>1148</v>
      </c>
      <c r="E383" s="66">
        <f t="shared" si="87"/>
        <v>6888</v>
      </c>
    </row>
    <row r="384" ht="15.75" customHeight="1">
      <c r="A384" s="5" t="s">
        <v>30</v>
      </c>
      <c r="B384" s="41">
        <v>6712.0</v>
      </c>
      <c r="C384" s="41">
        <v>6940.0</v>
      </c>
      <c r="D384" s="5">
        <f t="shared" si="86"/>
        <v>228</v>
      </c>
      <c r="E384" s="66">
        <f t="shared" si="87"/>
        <v>1368</v>
      </c>
    </row>
    <row r="385" ht="15.75" customHeight="1">
      <c r="A385" s="67" t="s">
        <v>86</v>
      </c>
      <c r="B385" s="41">
        <v>33989.0</v>
      </c>
      <c r="C385" s="41">
        <v>35159.0</v>
      </c>
      <c r="D385" s="5">
        <f t="shared" si="86"/>
        <v>1170</v>
      </c>
      <c r="E385" s="66">
        <f t="shared" si="87"/>
        <v>7020</v>
      </c>
    </row>
    <row r="386" ht="15.75" customHeight="1">
      <c r="A386" s="69" t="s">
        <v>87</v>
      </c>
      <c r="B386" s="49">
        <v>34485.0</v>
      </c>
      <c r="C386" s="49">
        <v>34868.0</v>
      </c>
      <c r="D386" s="5">
        <f t="shared" si="86"/>
        <v>383</v>
      </c>
      <c r="E386" s="66">
        <f t="shared" si="87"/>
        <v>2298</v>
      </c>
    </row>
    <row r="387" ht="15.75" customHeight="1">
      <c r="A387" s="70" t="s">
        <v>88</v>
      </c>
      <c r="B387" s="82"/>
      <c r="C387" s="82"/>
      <c r="D387" s="82">
        <f t="shared" ref="D387:E387" si="88">D385-D386</f>
        <v>787</v>
      </c>
      <c r="E387" s="86">
        <f t="shared" si="88"/>
        <v>4722</v>
      </c>
      <c r="G387" s="15">
        <v>1000.0</v>
      </c>
      <c r="H387" s="15" t="s">
        <v>92</v>
      </c>
      <c r="I387" s="65">
        <f>E387-G387</f>
        <v>3722</v>
      </c>
    </row>
    <row r="388" ht="15.75" customHeight="1">
      <c r="A388" s="73" t="s">
        <v>90</v>
      </c>
      <c r="B388" s="83"/>
      <c r="C388" s="83"/>
      <c r="D388" s="80">
        <f t="shared" ref="D388:E388" si="89">SUM(D381:D386)-D387</f>
        <v>2559</v>
      </c>
      <c r="E388" s="85">
        <f t="shared" si="89"/>
        <v>15354</v>
      </c>
    </row>
    <row r="389" ht="15.75" customHeight="1">
      <c r="E389" s="65"/>
    </row>
    <row r="390" ht="15.75" customHeight="1">
      <c r="D390" s="17">
        <f>3200*6</f>
        <v>19200</v>
      </c>
      <c r="E390" s="65"/>
    </row>
    <row r="391" ht="15.75" customHeight="1">
      <c r="E391" s="65"/>
    </row>
    <row r="392" ht="21.0" customHeight="1">
      <c r="A392" s="5" t="s">
        <v>125</v>
      </c>
      <c r="C392" s="4"/>
      <c r="D392" s="5"/>
      <c r="E392" s="65"/>
    </row>
    <row r="393" ht="21.0" customHeight="1">
      <c r="A393" s="1"/>
      <c r="C393" s="4"/>
      <c r="D393" s="5"/>
      <c r="E393" s="65"/>
    </row>
    <row r="394" ht="15.75" customHeight="1">
      <c r="A394" s="40" t="s">
        <v>122</v>
      </c>
      <c r="B394" s="41">
        <v>8411.0</v>
      </c>
      <c r="C394" s="41">
        <v>8698.0</v>
      </c>
      <c r="D394" s="5">
        <f t="shared" ref="D394:D399" si="90">C394-B394</f>
        <v>287</v>
      </c>
      <c r="E394" s="66">
        <f t="shared" ref="E394:E399" si="91">D394*6</f>
        <v>1722</v>
      </c>
    </row>
    <row r="395" ht="15.75" customHeight="1">
      <c r="A395" s="40" t="s">
        <v>123</v>
      </c>
      <c r="B395" s="41">
        <v>9029.0</v>
      </c>
      <c r="C395" s="41">
        <v>9353.0</v>
      </c>
      <c r="D395" s="5">
        <f t="shared" si="90"/>
        <v>324</v>
      </c>
      <c r="E395" s="66">
        <f t="shared" si="91"/>
        <v>1944</v>
      </c>
    </row>
    <row r="396" ht="15.75" customHeight="1">
      <c r="A396" s="40" t="s">
        <v>97</v>
      </c>
      <c r="B396" s="41">
        <v>169133.0</v>
      </c>
      <c r="C396" s="41">
        <v>170694.0</v>
      </c>
      <c r="D396" s="5">
        <f t="shared" si="90"/>
        <v>1561</v>
      </c>
      <c r="E396" s="66">
        <f t="shared" si="91"/>
        <v>9366</v>
      </c>
    </row>
    <row r="397" ht="15.75" customHeight="1">
      <c r="A397" s="5" t="s">
        <v>30</v>
      </c>
      <c r="B397" s="41">
        <v>6940.0</v>
      </c>
      <c r="C397" s="41">
        <v>7180.0</v>
      </c>
      <c r="D397" s="5">
        <f t="shared" si="90"/>
        <v>240</v>
      </c>
      <c r="E397" s="66">
        <f t="shared" si="91"/>
        <v>1440</v>
      </c>
    </row>
    <row r="398" ht="15.75" customHeight="1">
      <c r="A398" s="67" t="s">
        <v>86</v>
      </c>
      <c r="B398" s="41">
        <v>35159.0</v>
      </c>
      <c r="C398" s="41">
        <v>36420.0</v>
      </c>
      <c r="D398" s="5">
        <f t="shared" si="90"/>
        <v>1261</v>
      </c>
      <c r="E398" s="66">
        <f t="shared" si="91"/>
        <v>7566</v>
      </c>
    </row>
    <row r="399" ht="15.75" customHeight="1">
      <c r="A399" s="69" t="s">
        <v>87</v>
      </c>
      <c r="B399" s="49">
        <v>34868.0</v>
      </c>
      <c r="C399" s="49">
        <v>35317.0</v>
      </c>
      <c r="D399" s="5">
        <f t="shared" si="90"/>
        <v>449</v>
      </c>
      <c r="E399" s="66">
        <f t="shared" si="91"/>
        <v>2694</v>
      </c>
    </row>
    <row r="400" ht="15.75" customHeight="1">
      <c r="A400" s="70" t="s">
        <v>88</v>
      </c>
      <c r="B400" s="82"/>
      <c r="C400" s="82"/>
      <c r="D400" s="82">
        <f t="shared" ref="D400:E400" si="92">D398-D399</f>
        <v>812</v>
      </c>
      <c r="E400" s="86">
        <f t="shared" si="92"/>
        <v>4872</v>
      </c>
      <c r="G400" s="15">
        <v>1000.0</v>
      </c>
      <c r="H400" s="15" t="s">
        <v>92</v>
      </c>
      <c r="I400" s="65">
        <f>E400-G400</f>
        <v>3872</v>
      </c>
    </row>
    <row r="401" ht="15.75" customHeight="1">
      <c r="A401" s="73" t="s">
        <v>90</v>
      </c>
      <c r="B401" s="83"/>
      <c r="C401" s="83"/>
      <c r="D401" s="80">
        <f t="shared" ref="D401:E401" si="93">SUM(D394:D399)-D400</f>
        <v>3310</v>
      </c>
      <c r="E401" s="85">
        <f t="shared" si="93"/>
        <v>19860</v>
      </c>
    </row>
    <row r="402" ht="15.75" customHeight="1">
      <c r="E402" s="65"/>
    </row>
    <row r="403" ht="15.75" customHeight="1">
      <c r="E403" s="65"/>
    </row>
    <row r="404" ht="15.75" customHeight="1">
      <c r="E404" s="65"/>
    </row>
    <row r="405" ht="15.75" customHeight="1">
      <c r="A405" s="5" t="s">
        <v>126</v>
      </c>
      <c r="C405" s="4"/>
      <c r="D405" s="5"/>
      <c r="E405" s="65"/>
    </row>
    <row r="406" ht="15.75" customHeight="1">
      <c r="A406" s="1"/>
      <c r="C406" s="4"/>
      <c r="D406" s="5"/>
      <c r="E406" s="65"/>
    </row>
    <row r="407" ht="15.75" customHeight="1">
      <c r="A407" s="40" t="s">
        <v>122</v>
      </c>
      <c r="B407" s="41">
        <v>8698.0</v>
      </c>
      <c r="C407" s="41">
        <v>9021.0</v>
      </c>
      <c r="D407" s="5">
        <f t="shared" ref="D407:D412" si="94">C407-B407</f>
        <v>323</v>
      </c>
      <c r="E407" s="66">
        <f t="shared" ref="E407:E412" si="95">D407*6.5</f>
        <v>2099.5</v>
      </c>
    </row>
    <row r="408" ht="15.75" customHeight="1">
      <c r="A408" s="40" t="s">
        <v>123</v>
      </c>
      <c r="B408" s="41">
        <v>9353.0</v>
      </c>
      <c r="C408" s="41">
        <v>9647.0</v>
      </c>
      <c r="D408" s="5">
        <f t="shared" si="94"/>
        <v>294</v>
      </c>
      <c r="E408" s="66">
        <f t="shared" si="95"/>
        <v>1911</v>
      </c>
    </row>
    <row r="409" ht="15.75" customHeight="1">
      <c r="A409" s="40" t="s">
        <v>97</v>
      </c>
      <c r="B409" s="41">
        <v>170694.0</v>
      </c>
      <c r="C409" s="41">
        <v>172029.0</v>
      </c>
      <c r="D409" s="5">
        <f t="shared" si="94"/>
        <v>1335</v>
      </c>
      <c r="E409" s="66">
        <f t="shared" si="95"/>
        <v>8677.5</v>
      </c>
    </row>
    <row r="410" ht="15.75" customHeight="1">
      <c r="A410" s="5" t="s">
        <v>30</v>
      </c>
      <c r="B410" s="41">
        <v>7180.0</v>
      </c>
      <c r="C410" s="41">
        <v>7414.0</v>
      </c>
      <c r="D410" s="5">
        <f t="shared" si="94"/>
        <v>234</v>
      </c>
      <c r="E410" s="66">
        <f t="shared" si="95"/>
        <v>1521</v>
      </c>
    </row>
    <row r="411" ht="15.75" customHeight="1">
      <c r="A411" s="67" t="s">
        <v>86</v>
      </c>
      <c r="B411" s="41">
        <v>36420.0</v>
      </c>
      <c r="C411" s="41">
        <v>37650.0</v>
      </c>
      <c r="D411" s="5">
        <f t="shared" si="94"/>
        <v>1230</v>
      </c>
      <c r="E411" s="66">
        <f t="shared" si="95"/>
        <v>7995</v>
      </c>
    </row>
    <row r="412" ht="15.75" customHeight="1">
      <c r="A412" s="69" t="s">
        <v>87</v>
      </c>
      <c r="B412" s="49">
        <v>35317.0</v>
      </c>
      <c r="C412" s="49">
        <v>35801.0</v>
      </c>
      <c r="D412" s="5">
        <f t="shared" si="94"/>
        <v>484</v>
      </c>
      <c r="E412" s="66">
        <f t="shared" si="95"/>
        <v>3146</v>
      </c>
    </row>
    <row r="413" ht="15.75" customHeight="1">
      <c r="A413" s="70" t="s">
        <v>88</v>
      </c>
      <c r="B413" s="82"/>
      <c r="C413" s="82"/>
      <c r="D413" s="82">
        <f t="shared" ref="D413:E413" si="96">D411-D412</f>
        <v>746</v>
      </c>
      <c r="E413" s="86">
        <f t="shared" si="96"/>
        <v>4849</v>
      </c>
      <c r="G413" s="15">
        <v>1000.0</v>
      </c>
      <c r="H413" s="15" t="s">
        <v>92</v>
      </c>
      <c r="I413" s="65">
        <f>E413-G413</f>
        <v>3849</v>
      </c>
    </row>
    <row r="414" ht="15.75" customHeight="1">
      <c r="A414" s="73" t="s">
        <v>90</v>
      </c>
      <c r="B414" s="83"/>
      <c r="C414" s="83"/>
      <c r="D414" s="80">
        <f t="shared" ref="D414:E414" si="97">SUM(D407:D412)-D413</f>
        <v>3154</v>
      </c>
      <c r="E414" s="85">
        <f t="shared" si="97"/>
        <v>20501</v>
      </c>
    </row>
    <row r="415" ht="15.75" customHeight="1">
      <c r="E415" s="65"/>
    </row>
    <row r="416" ht="15.75" customHeight="1">
      <c r="A416" s="5" t="s">
        <v>127</v>
      </c>
      <c r="C416" s="4"/>
      <c r="D416" s="5"/>
      <c r="E416" s="65"/>
    </row>
    <row r="417" ht="15.75" customHeight="1">
      <c r="A417" s="1"/>
      <c r="C417" s="4"/>
      <c r="D417" s="5"/>
      <c r="E417" s="65"/>
    </row>
    <row r="418" ht="15.75" customHeight="1">
      <c r="A418" s="40" t="s">
        <v>122</v>
      </c>
      <c r="B418" s="41">
        <v>9021.0</v>
      </c>
      <c r="C418" s="41">
        <v>9303.0</v>
      </c>
      <c r="D418" s="5">
        <f t="shared" ref="D418:D423" si="98">C418-B418</f>
        <v>282</v>
      </c>
      <c r="E418" s="66">
        <f t="shared" ref="E418:E423" si="99">D418*6.5</f>
        <v>1833</v>
      </c>
    </row>
    <row r="419" ht="15.75" customHeight="1">
      <c r="A419" s="40" t="s">
        <v>123</v>
      </c>
      <c r="B419" s="41">
        <v>9647.0</v>
      </c>
      <c r="C419" s="41">
        <v>9968.0</v>
      </c>
      <c r="D419" s="5">
        <f t="shared" si="98"/>
        <v>321</v>
      </c>
      <c r="E419" s="66">
        <f t="shared" si="99"/>
        <v>2086.5</v>
      </c>
    </row>
    <row r="420" ht="15.75" customHeight="1">
      <c r="A420" s="40" t="s">
        <v>97</v>
      </c>
      <c r="B420" s="41">
        <v>172029.0</v>
      </c>
      <c r="C420" s="41">
        <v>173273.0</v>
      </c>
      <c r="D420" s="5">
        <f t="shared" si="98"/>
        <v>1244</v>
      </c>
      <c r="E420" s="66">
        <f t="shared" si="99"/>
        <v>8086</v>
      </c>
    </row>
    <row r="421" ht="15.75" customHeight="1">
      <c r="A421" s="5" t="s">
        <v>30</v>
      </c>
      <c r="B421" s="41">
        <v>7414.0</v>
      </c>
      <c r="C421" s="41">
        <v>7647.0</v>
      </c>
      <c r="D421" s="5">
        <f t="shared" si="98"/>
        <v>233</v>
      </c>
      <c r="E421" s="66">
        <f t="shared" si="99"/>
        <v>1514.5</v>
      </c>
    </row>
    <row r="422" ht="15.75" customHeight="1">
      <c r="A422" s="67" t="s">
        <v>86</v>
      </c>
      <c r="B422" s="41">
        <v>37650.0</v>
      </c>
      <c r="C422" s="41">
        <v>38874.0</v>
      </c>
      <c r="D422" s="5">
        <f t="shared" si="98"/>
        <v>1224</v>
      </c>
      <c r="E422" s="66">
        <f t="shared" si="99"/>
        <v>7956</v>
      </c>
    </row>
    <row r="423" ht="15.75" customHeight="1">
      <c r="A423" s="69" t="s">
        <v>87</v>
      </c>
      <c r="B423" s="49">
        <v>35801.0</v>
      </c>
      <c r="C423" s="49">
        <v>36263.0</v>
      </c>
      <c r="D423" s="5">
        <f t="shared" si="98"/>
        <v>462</v>
      </c>
      <c r="E423" s="66">
        <f t="shared" si="99"/>
        <v>3003</v>
      </c>
    </row>
    <row r="424" ht="15.75" customHeight="1">
      <c r="A424" s="70" t="s">
        <v>88</v>
      </c>
      <c r="B424" s="82"/>
      <c r="C424" s="82"/>
      <c r="D424" s="82">
        <f t="shared" ref="D424:E424" si="100">D422-D423</f>
        <v>762</v>
      </c>
      <c r="E424" s="86">
        <f t="shared" si="100"/>
        <v>4953</v>
      </c>
      <c r="G424" s="15">
        <v>1000.0</v>
      </c>
      <c r="H424" s="15" t="s">
        <v>92</v>
      </c>
      <c r="I424" s="65">
        <f>E424-G424</f>
        <v>3953</v>
      </c>
    </row>
    <row r="425" ht="15.75" customHeight="1">
      <c r="A425" s="73" t="s">
        <v>90</v>
      </c>
      <c r="B425" s="83"/>
      <c r="C425" s="83"/>
      <c r="D425" s="80">
        <f t="shared" ref="D425:E425" si="101">SUM(D418:D423)-D424</f>
        <v>3004</v>
      </c>
      <c r="E425" s="85">
        <f t="shared" si="101"/>
        <v>19526</v>
      </c>
    </row>
    <row r="426" ht="15.75" customHeight="1">
      <c r="E426" s="65"/>
    </row>
    <row r="427" ht="15.75" customHeight="1">
      <c r="E427" s="65"/>
    </row>
    <row r="428" ht="15.75" customHeight="1">
      <c r="E428" s="65"/>
    </row>
    <row r="429" ht="15.75" customHeight="1">
      <c r="E429" s="65"/>
    </row>
    <row r="430" ht="15.75" customHeight="1">
      <c r="E430" s="65"/>
    </row>
    <row r="431" ht="15.75" customHeight="1">
      <c r="E431" s="65"/>
    </row>
    <row r="432" ht="15.75" customHeight="1">
      <c r="E432" s="65"/>
    </row>
    <row r="433" ht="15.75" customHeight="1">
      <c r="E433" s="65"/>
    </row>
    <row r="434" ht="15.75" customHeight="1">
      <c r="E434" s="65"/>
    </row>
    <row r="435" ht="15.75" customHeight="1">
      <c r="E435" s="65"/>
    </row>
    <row r="436" ht="15.75" customHeight="1">
      <c r="E436" s="65"/>
    </row>
    <row r="437" ht="15.75" customHeight="1">
      <c r="E437" s="65"/>
    </row>
    <row r="438" ht="15.75" customHeight="1">
      <c r="E438" s="65"/>
    </row>
    <row r="439" ht="15.75" customHeight="1">
      <c r="E439" s="65"/>
    </row>
    <row r="440" ht="15.75" customHeight="1">
      <c r="E440" s="65"/>
    </row>
    <row r="441" ht="15.75" customHeight="1">
      <c r="E441" s="65"/>
    </row>
    <row r="442" ht="15.75" customHeight="1">
      <c r="E442" s="65"/>
    </row>
    <row r="443" ht="15.75" customHeight="1">
      <c r="E443" s="65"/>
    </row>
    <row r="444" ht="15.75" customHeight="1">
      <c r="E444" s="65"/>
    </row>
    <row r="445" ht="15.75" customHeight="1">
      <c r="E445" s="65"/>
    </row>
    <row r="446" ht="15.75" customHeight="1">
      <c r="E446" s="65"/>
    </row>
    <row r="447" ht="15.75" customHeight="1">
      <c r="E447" s="65"/>
    </row>
    <row r="448" ht="15.75" customHeight="1">
      <c r="E448" s="65"/>
    </row>
    <row r="449" ht="15.75" customHeight="1">
      <c r="E449" s="65"/>
    </row>
    <row r="450" ht="15.75" customHeight="1">
      <c r="E450" s="65"/>
    </row>
    <row r="451" ht="15.75" customHeight="1">
      <c r="E451" s="65"/>
    </row>
    <row r="452" ht="15.75" customHeight="1">
      <c r="E452" s="65"/>
    </row>
    <row r="453" ht="15.75" customHeight="1">
      <c r="E453" s="65"/>
    </row>
    <row r="454" ht="15.75" customHeight="1">
      <c r="E454" s="65"/>
    </row>
    <row r="455" ht="15.75" customHeight="1">
      <c r="E455" s="65"/>
    </row>
    <row r="456" ht="15.75" customHeight="1">
      <c r="E456" s="65"/>
    </row>
    <row r="457" ht="15.75" customHeight="1">
      <c r="E457" s="65"/>
    </row>
    <row r="458" ht="15.75" customHeight="1">
      <c r="E458" s="65"/>
    </row>
    <row r="459" ht="15.75" customHeight="1">
      <c r="E459" s="65"/>
    </row>
    <row r="460" ht="15.75" customHeight="1">
      <c r="E460" s="65"/>
    </row>
    <row r="461" ht="15.75" customHeight="1">
      <c r="E461" s="65"/>
    </row>
    <row r="462" ht="15.75" customHeight="1">
      <c r="E462" s="65"/>
    </row>
    <row r="463" ht="15.75" customHeight="1">
      <c r="E463" s="65"/>
    </row>
    <row r="464" ht="15.75" customHeight="1">
      <c r="E464" s="65"/>
    </row>
    <row r="465" ht="15.75" customHeight="1">
      <c r="E465" s="65"/>
    </row>
    <row r="466" ht="15.75" customHeight="1">
      <c r="E466" s="65"/>
    </row>
    <row r="467" ht="15.75" customHeight="1">
      <c r="E467" s="65"/>
    </row>
    <row r="468" ht="15.75" customHeight="1">
      <c r="E468" s="65"/>
    </row>
    <row r="469" ht="15.75" customHeight="1">
      <c r="E469" s="65"/>
    </row>
    <row r="470" ht="15.75" customHeight="1">
      <c r="E470" s="65"/>
    </row>
    <row r="471" ht="15.75" customHeight="1">
      <c r="E471" s="65"/>
    </row>
    <row r="472" ht="15.75" customHeight="1">
      <c r="E472" s="65"/>
    </row>
    <row r="473" ht="15.75" customHeight="1">
      <c r="E473" s="65"/>
    </row>
    <row r="474" ht="15.75" customHeight="1">
      <c r="E474" s="65"/>
    </row>
    <row r="475" ht="15.75" customHeight="1">
      <c r="E475" s="65"/>
    </row>
    <row r="476" ht="15.75" customHeight="1">
      <c r="E476" s="65"/>
    </row>
    <row r="477" ht="15.75" customHeight="1">
      <c r="E477" s="65"/>
    </row>
    <row r="478" ht="15.75" customHeight="1">
      <c r="E478" s="65"/>
    </row>
    <row r="479" ht="15.75" customHeight="1">
      <c r="E479" s="65"/>
    </row>
    <row r="480" ht="15.75" customHeight="1">
      <c r="E480" s="65"/>
    </row>
    <row r="481" ht="15.75" customHeight="1">
      <c r="E481" s="65"/>
    </row>
    <row r="482" ht="15.75" customHeight="1">
      <c r="E482" s="65"/>
    </row>
    <row r="483" ht="15.75" customHeight="1">
      <c r="E483" s="65"/>
    </row>
    <row r="484" ht="15.75" customHeight="1">
      <c r="E484" s="65"/>
    </row>
    <row r="485" ht="15.75" customHeight="1">
      <c r="E485" s="65"/>
    </row>
    <row r="486" ht="15.75" customHeight="1">
      <c r="E486" s="65"/>
    </row>
    <row r="487" ht="15.75" customHeight="1">
      <c r="E487" s="65"/>
    </row>
    <row r="488" ht="15.75" customHeight="1">
      <c r="E488" s="65"/>
    </row>
    <row r="489" ht="15.75" customHeight="1">
      <c r="E489" s="65"/>
    </row>
    <row r="490" ht="15.75" customHeight="1">
      <c r="E490" s="65"/>
    </row>
    <row r="491" ht="15.75" customHeight="1">
      <c r="E491" s="65"/>
    </row>
    <row r="492" ht="15.75" customHeight="1">
      <c r="E492" s="65"/>
    </row>
    <row r="493" ht="15.75" customHeight="1">
      <c r="E493" s="65"/>
    </row>
    <row r="494" ht="15.75" customHeight="1">
      <c r="E494" s="65"/>
    </row>
    <row r="495" ht="15.75" customHeight="1">
      <c r="E495" s="65"/>
    </row>
    <row r="496" ht="15.75" customHeight="1">
      <c r="E496" s="65"/>
    </row>
    <row r="497" ht="15.75" customHeight="1">
      <c r="E497" s="65"/>
    </row>
    <row r="498" ht="15.75" customHeight="1">
      <c r="E498" s="65"/>
    </row>
    <row r="499" ht="15.75" customHeight="1">
      <c r="E499" s="65"/>
    </row>
    <row r="500" ht="15.75" customHeight="1">
      <c r="E500" s="65"/>
    </row>
    <row r="501" ht="15.75" customHeight="1">
      <c r="E501" s="65"/>
    </row>
    <row r="502" ht="15.75" customHeight="1">
      <c r="E502" s="65"/>
    </row>
    <row r="503" ht="15.75" customHeight="1">
      <c r="E503" s="65"/>
    </row>
    <row r="504" ht="15.75" customHeight="1">
      <c r="E504" s="65"/>
    </row>
    <row r="505" ht="15.75" customHeight="1">
      <c r="E505" s="65"/>
    </row>
    <row r="506" ht="15.75" customHeight="1">
      <c r="E506" s="65"/>
    </row>
    <row r="507" ht="15.75" customHeight="1">
      <c r="E507" s="65"/>
    </row>
    <row r="508" ht="15.75" customHeight="1">
      <c r="E508" s="65"/>
    </row>
    <row r="509" ht="15.75" customHeight="1">
      <c r="E509" s="65"/>
    </row>
    <row r="510" ht="15.75" customHeight="1">
      <c r="E510" s="65"/>
    </row>
    <row r="511" ht="15.75" customHeight="1">
      <c r="E511" s="65"/>
    </row>
    <row r="512" ht="15.75" customHeight="1">
      <c r="E512" s="65"/>
    </row>
    <row r="513" ht="15.75" customHeight="1">
      <c r="E513" s="65"/>
    </row>
    <row r="514" ht="15.75" customHeight="1">
      <c r="E514" s="65"/>
    </row>
    <row r="515" ht="15.75" customHeight="1">
      <c r="E515" s="65"/>
    </row>
    <row r="516" ht="15.75" customHeight="1">
      <c r="E516" s="65"/>
    </row>
    <row r="517" ht="15.75" customHeight="1">
      <c r="E517" s="65"/>
    </row>
    <row r="518" ht="15.75" customHeight="1">
      <c r="E518" s="65"/>
    </row>
    <row r="519" ht="15.75" customHeight="1">
      <c r="E519" s="65"/>
    </row>
    <row r="520" ht="15.75" customHeight="1">
      <c r="E520" s="65"/>
    </row>
    <row r="521" ht="15.75" customHeight="1">
      <c r="E521" s="65"/>
    </row>
    <row r="522" ht="15.75" customHeight="1">
      <c r="E522" s="65"/>
    </row>
    <row r="523" ht="15.75" customHeight="1">
      <c r="E523" s="65"/>
    </row>
    <row r="524" ht="15.75" customHeight="1">
      <c r="E524" s="65"/>
    </row>
    <row r="525" ht="15.75" customHeight="1">
      <c r="E525" s="65"/>
    </row>
    <row r="526" ht="15.75" customHeight="1">
      <c r="E526" s="65"/>
    </row>
    <row r="527" ht="15.75" customHeight="1">
      <c r="E527" s="65"/>
    </row>
    <row r="528" ht="15.75" customHeight="1">
      <c r="E528" s="65"/>
    </row>
    <row r="529" ht="15.75" customHeight="1">
      <c r="E529" s="65"/>
    </row>
    <row r="530" ht="15.75" customHeight="1">
      <c r="E530" s="65"/>
    </row>
    <row r="531" ht="15.75" customHeight="1">
      <c r="E531" s="65"/>
    </row>
    <row r="532" ht="15.75" customHeight="1">
      <c r="E532" s="65"/>
    </row>
    <row r="533" ht="15.75" customHeight="1">
      <c r="E533" s="65"/>
    </row>
    <row r="534" ht="15.75" customHeight="1">
      <c r="E534" s="65"/>
    </row>
    <row r="535" ht="15.75" customHeight="1">
      <c r="E535" s="65"/>
    </row>
    <row r="536" ht="15.75" customHeight="1">
      <c r="E536" s="65"/>
    </row>
    <row r="537" ht="15.75" customHeight="1">
      <c r="E537" s="65"/>
    </row>
    <row r="538" ht="15.75" customHeight="1">
      <c r="E538" s="65"/>
    </row>
    <row r="539" ht="15.75" customHeight="1">
      <c r="E539" s="65"/>
    </row>
    <row r="540" ht="15.75" customHeight="1">
      <c r="E540" s="65"/>
    </row>
    <row r="541" ht="15.75" customHeight="1">
      <c r="E541" s="65"/>
    </row>
    <row r="542" ht="15.75" customHeight="1">
      <c r="E542" s="65"/>
    </row>
    <row r="543" ht="15.75" customHeight="1">
      <c r="E543" s="65"/>
    </row>
    <row r="544" ht="15.75" customHeight="1">
      <c r="E544" s="65"/>
    </row>
    <row r="545" ht="15.75" customHeight="1">
      <c r="E545" s="65"/>
    </row>
    <row r="546" ht="15.75" customHeight="1">
      <c r="E546" s="65"/>
    </row>
    <row r="547" ht="15.75" customHeight="1">
      <c r="E547" s="65"/>
    </row>
    <row r="548" ht="15.75" customHeight="1">
      <c r="E548" s="65"/>
    </row>
    <row r="549" ht="15.75" customHeight="1">
      <c r="E549" s="65"/>
    </row>
    <row r="550" ht="15.75" customHeight="1">
      <c r="E550" s="65"/>
    </row>
    <row r="551" ht="15.75" customHeight="1">
      <c r="E551" s="65"/>
    </row>
    <row r="552" ht="15.75" customHeight="1">
      <c r="E552" s="65"/>
    </row>
    <row r="553" ht="15.75" customHeight="1">
      <c r="E553" s="65"/>
    </row>
    <row r="554" ht="15.75" customHeight="1">
      <c r="E554" s="65"/>
    </row>
    <row r="555" ht="15.75" customHeight="1">
      <c r="E555" s="65"/>
    </row>
    <row r="556" ht="15.75" customHeight="1">
      <c r="E556" s="65"/>
    </row>
    <row r="557" ht="15.75" customHeight="1">
      <c r="E557" s="65"/>
    </row>
    <row r="558" ht="15.75" customHeight="1">
      <c r="E558" s="65"/>
    </row>
    <row r="559" ht="15.75" customHeight="1">
      <c r="E559" s="65"/>
    </row>
    <row r="560" ht="15.75" customHeight="1">
      <c r="E560" s="65"/>
    </row>
    <row r="561" ht="15.75" customHeight="1">
      <c r="E561" s="65"/>
    </row>
    <row r="562" ht="15.75" customHeight="1">
      <c r="E562" s="65"/>
    </row>
    <row r="563" ht="15.75" customHeight="1">
      <c r="E563" s="65"/>
    </row>
    <row r="564" ht="15.75" customHeight="1">
      <c r="E564" s="65"/>
    </row>
    <row r="565" ht="15.75" customHeight="1">
      <c r="E565" s="65"/>
    </row>
    <row r="566" ht="15.75" customHeight="1">
      <c r="E566" s="65"/>
    </row>
    <row r="567" ht="15.75" customHeight="1">
      <c r="E567" s="65"/>
    </row>
    <row r="568" ht="15.75" customHeight="1">
      <c r="E568" s="65"/>
    </row>
    <row r="569" ht="15.75" customHeight="1">
      <c r="E569" s="65"/>
    </row>
    <row r="570" ht="15.75" customHeight="1">
      <c r="E570" s="65"/>
    </row>
    <row r="571" ht="15.75" customHeight="1">
      <c r="E571" s="65"/>
    </row>
    <row r="572" ht="15.75" customHeight="1">
      <c r="E572" s="65"/>
    </row>
    <row r="573" ht="15.75" customHeight="1">
      <c r="E573" s="65"/>
    </row>
    <row r="574" ht="15.75" customHeight="1">
      <c r="E574" s="65"/>
    </row>
    <row r="575" ht="15.75" customHeight="1">
      <c r="E575" s="65"/>
    </row>
    <row r="576" ht="15.75" customHeight="1">
      <c r="E576" s="65"/>
    </row>
    <row r="577" ht="15.75" customHeight="1">
      <c r="E577" s="65"/>
    </row>
    <row r="578" ht="15.75" customHeight="1">
      <c r="E578" s="65"/>
    </row>
    <row r="579" ht="15.75" customHeight="1">
      <c r="E579" s="65"/>
    </row>
    <row r="580" ht="15.75" customHeight="1">
      <c r="E580" s="65"/>
    </row>
    <row r="581" ht="15.75" customHeight="1">
      <c r="E581" s="65"/>
    </row>
    <row r="582" ht="15.75" customHeight="1">
      <c r="E582" s="65"/>
    </row>
    <row r="583" ht="15.75" customHeight="1">
      <c r="E583" s="65"/>
    </row>
    <row r="584" ht="15.75" customHeight="1">
      <c r="E584" s="65"/>
    </row>
    <row r="585" ht="15.75" customHeight="1">
      <c r="E585" s="65"/>
    </row>
    <row r="586" ht="15.75" customHeight="1">
      <c r="E586" s="65"/>
    </row>
    <row r="587" ht="15.75" customHeight="1">
      <c r="E587" s="65"/>
    </row>
    <row r="588" ht="15.75" customHeight="1">
      <c r="E588" s="65"/>
    </row>
    <row r="589" ht="15.75" customHeight="1">
      <c r="E589" s="65"/>
    </row>
    <row r="590" ht="15.75" customHeight="1">
      <c r="E590" s="65"/>
    </row>
    <row r="591" ht="15.75" customHeight="1">
      <c r="E591" s="65"/>
    </row>
    <row r="592" ht="15.75" customHeight="1">
      <c r="E592" s="65"/>
    </row>
    <row r="593" ht="15.75" customHeight="1">
      <c r="E593" s="65"/>
    </row>
    <row r="594" ht="15.75" customHeight="1">
      <c r="E594" s="65"/>
    </row>
    <row r="595" ht="15.75" customHeight="1">
      <c r="E595" s="65"/>
    </row>
    <row r="596" ht="15.75" customHeight="1">
      <c r="E596" s="65"/>
    </row>
    <row r="597" ht="15.75" customHeight="1">
      <c r="E597" s="65"/>
    </row>
    <row r="598" ht="15.75" customHeight="1">
      <c r="E598" s="65"/>
    </row>
    <row r="599" ht="15.75" customHeight="1">
      <c r="E599" s="65"/>
    </row>
    <row r="600" ht="15.75" customHeight="1">
      <c r="E600" s="65"/>
    </row>
    <row r="601" ht="15.75" customHeight="1">
      <c r="E601" s="65"/>
    </row>
    <row r="602" ht="15.75" customHeight="1">
      <c r="E602" s="65"/>
    </row>
    <row r="603" ht="15.75" customHeight="1">
      <c r="E603" s="65"/>
    </row>
    <row r="604" ht="15.75" customHeight="1">
      <c r="E604" s="65"/>
    </row>
    <row r="605" ht="15.75" customHeight="1">
      <c r="E605" s="65"/>
    </row>
    <row r="606" ht="15.75" customHeight="1">
      <c r="E606" s="65"/>
    </row>
    <row r="607" ht="15.75" customHeight="1">
      <c r="E607" s="65"/>
    </row>
    <row r="608" ht="15.75" customHeight="1">
      <c r="E608" s="65"/>
    </row>
    <row r="609" ht="15.75" customHeight="1">
      <c r="E609" s="65"/>
    </row>
    <row r="610" ht="15.75" customHeight="1">
      <c r="E610" s="65"/>
    </row>
    <row r="611" ht="15.75" customHeight="1">
      <c r="E611" s="65"/>
    </row>
    <row r="612" ht="15.75" customHeight="1">
      <c r="E612" s="65"/>
    </row>
    <row r="613" ht="15.75" customHeight="1">
      <c r="E613" s="65"/>
    </row>
    <row r="614" ht="15.75" customHeight="1">
      <c r="E614" s="65"/>
    </row>
    <row r="615" ht="15.75" customHeight="1">
      <c r="E615" s="65"/>
    </row>
    <row r="616" ht="15.75" customHeight="1">
      <c r="E616" s="65"/>
    </row>
    <row r="617" ht="15.75" customHeight="1">
      <c r="E617" s="65"/>
    </row>
    <row r="618" ht="15.75" customHeight="1">
      <c r="E618" s="65"/>
    </row>
    <row r="619" ht="15.75" customHeight="1">
      <c r="E619" s="65"/>
    </row>
    <row r="620" ht="15.75" customHeight="1">
      <c r="E620" s="65"/>
    </row>
    <row r="621" ht="15.75" customHeight="1">
      <c r="E621" s="65"/>
    </row>
    <row r="622" ht="15.75" customHeight="1">
      <c r="E622" s="65"/>
    </row>
    <row r="623" ht="15.75" customHeight="1">
      <c r="E623" s="65"/>
    </row>
    <row r="624" ht="15.75" customHeight="1">
      <c r="E624" s="65"/>
    </row>
    <row r="625" ht="15.75" customHeight="1">
      <c r="E625" s="65"/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 outlineLevelCol="1" outlineLevelRow="1"/>
  <cols>
    <col customWidth="1" min="1" max="1" width="21.67"/>
    <col collapsed="1" customWidth="1" hidden="1" min="2" max="2" width="11.22"/>
    <col customWidth="1" hidden="1" min="3" max="40" width="11.22" outlineLevel="1"/>
    <col customWidth="1" hidden="1" min="41" max="41" width="11.22"/>
    <col customWidth="1" hidden="1" min="42" max="53" width="11.22" outlineLevel="1"/>
    <col collapsed="1" customWidth="1" min="54" max="54" width="11.22"/>
    <col customWidth="1" hidden="1" min="55" max="66" width="11.22" outlineLevel="1"/>
    <col collapsed="1" min="67" max="67" width="11.22"/>
    <col customWidth="1" hidden="1" min="68" max="79" width="11.22" outlineLevel="1"/>
    <col customWidth="1" min="93" max="93" width="11.22"/>
    <col customWidth="1" hidden="1" min="94" max="105" width="11.22" outlineLevel="1"/>
  </cols>
  <sheetData>
    <row r="1">
      <c r="A1" s="91"/>
      <c r="B1" s="92" t="s">
        <v>128</v>
      </c>
      <c r="C1" s="93">
        <v>2019.0</v>
      </c>
      <c r="N1" s="94"/>
      <c r="O1" s="93">
        <v>2020.0</v>
      </c>
      <c r="P1" s="93">
        <v>2020.0</v>
      </c>
      <c r="AA1" s="94"/>
      <c r="AB1" s="93">
        <v>2021.0</v>
      </c>
      <c r="AC1" s="93">
        <v>2021.0</v>
      </c>
      <c r="AN1" s="94"/>
      <c r="AO1" s="93">
        <v>2022.0</v>
      </c>
      <c r="AP1" s="93">
        <v>2022.0</v>
      </c>
      <c r="BA1" s="94"/>
      <c r="BB1" s="93">
        <v>2023.0</v>
      </c>
      <c r="BC1" s="93">
        <v>2023.0</v>
      </c>
      <c r="BN1" s="94"/>
      <c r="BO1" s="93">
        <v>2024.0</v>
      </c>
      <c r="BP1" s="93">
        <v>2024.0</v>
      </c>
      <c r="CA1" s="94"/>
      <c r="CB1" s="93">
        <v>2025.0</v>
      </c>
      <c r="CC1" s="93">
        <v>2025.0</v>
      </c>
      <c r="CN1" s="94"/>
      <c r="CO1" s="93">
        <v>2026.0</v>
      </c>
      <c r="CP1" s="93">
        <v>2026.0</v>
      </c>
      <c r="DA1" s="94"/>
    </row>
    <row r="2">
      <c r="A2" s="95" t="s">
        <v>129</v>
      </c>
      <c r="B2" s="91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7"/>
      <c r="O2" s="98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7"/>
      <c r="AB2" s="98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7"/>
      <c r="AO2" s="91"/>
      <c r="AP2" s="96">
        <v>0.63</v>
      </c>
      <c r="AQ2" s="96">
        <v>0.64</v>
      </c>
      <c r="AR2" s="99">
        <v>0.65</v>
      </c>
      <c r="AS2" s="99">
        <v>0.74</v>
      </c>
      <c r="AT2" s="99">
        <v>0.55</v>
      </c>
      <c r="AU2" s="99">
        <v>0.56</v>
      </c>
      <c r="AV2" s="99">
        <v>0.85</v>
      </c>
      <c r="AW2" s="99">
        <v>0.88</v>
      </c>
      <c r="AX2" s="99">
        <v>0.68</v>
      </c>
      <c r="AY2" s="99">
        <v>0.74</v>
      </c>
      <c r="AZ2" s="99">
        <v>0.71</v>
      </c>
      <c r="BA2" s="99">
        <v>0.65</v>
      </c>
      <c r="BB2" s="91"/>
      <c r="BC2" s="96">
        <v>0.74</v>
      </c>
      <c r="BD2" s="96">
        <v>0.83</v>
      </c>
      <c r="BE2" s="99">
        <v>0.69</v>
      </c>
      <c r="BF2" s="99">
        <v>0.78</v>
      </c>
      <c r="BG2" s="99">
        <v>0.78</v>
      </c>
      <c r="BH2" s="99">
        <v>0.65</v>
      </c>
      <c r="BI2" s="99">
        <v>0.9</v>
      </c>
      <c r="BJ2" s="99">
        <v>0.89</v>
      </c>
      <c r="BK2" s="99">
        <v>0.68</v>
      </c>
      <c r="BL2" s="99">
        <v>0.71</v>
      </c>
      <c r="BM2" s="99">
        <v>0.53</v>
      </c>
      <c r="BN2" s="99">
        <v>0.71</v>
      </c>
      <c r="BO2" s="91"/>
      <c r="BP2" s="96">
        <v>0.65</v>
      </c>
      <c r="BQ2" s="96">
        <v>0.78</v>
      </c>
      <c r="BR2" s="99">
        <v>0.67</v>
      </c>
      <c r="BS2" s="99">
        <v>0.55</v>
      </c>
      <c r="BT2" s="99">
        <v>0.76</v>
      </c>
      <c r="BU2" s="99">
        <v>0.57</v>
      </c>
      <c r="BV2" s="99">
        <v>0.84</v>
      </c>
      <c r="BW2" s="99">
        <v>0.9</v>
      </c>
      <c r="BX2" s="99">
        <v>0.75</v>
      </c>
      <c r="BY2" s="99">
        <v>0.79</v>
      </c>
      <c r="BZ2" s="99">
        <v>0.67</v>
      </c>
      <c r="CA2" s="99">
        <v>0.7</v>
      </c>
      <c r="CB2" s="91"/>
      <c r="CC2" s="96">
        <v>0.62</v>
      </c>
      <c r="CD2" s="96">
        <v>0.73</v>
      </c>
      <c r="CE2" s="99">
        <v>0.73</v>
      </c>
      <c r="CF2" s="99">
        <v>0.92</v>
      </c>
      <c r="CG2" s="99">
        <v>0.87</v>
      </c>
      <c r="CH2" s="99">
        <v>0.84</v>
      </c>
      <c r="CI2" s="99">
        <v>0.93</v>
      </c>
      <c r="CJ2" s="99">
        <v>0.92</v>
      </c>
      <c r="CK2" s="99">
        <v>0.79</v>
      </c>
      <c r="CL2" s="99">
        <v>0.75</v>
      </c>
      <c r="CM2" s="99">
        <v>0.54</v>
      </c>
      <c r="CN2" s="99">
        <v>0.77</v>
      </c>
      <c r="CO2" s="91"/>
      <c r="CP2" s="96"/>
      <c r="CQ2" s="96"/>
      <c r="CR2" s="99"/>
      <c r="CS2" s="99"/>
      <c r="CT2" s="99"/>
      <c r="CU2" s="99"/>
      <c r="CV2" s="99"/>
      <c r="CW2" s="99"/>
      <c r="CX2" s="99"/>
      <c r="CY2" s="99"/>
      <c r="CZ2" s="99"/>
      <c r="DA2" s="99"/>
    </row>
    <row r="3">
      <c r="A3" s="100" t="s">
        <v>130</v>
      </c>
      <c r="B3" s="9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2"/>
      <c r="O3" s="9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2"/>
      <c r="AB3" s="9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2"/>
      <c r="AO3" s="91"/>
      <c r="AP3" s="101">
        <v>1.73</v>
      </c>
      <c r="AQ3" s="101">
        <v>2.12</v>
      </c>
      <c r="AR3" s="103">
        <v>2.35</v>
      </c>
      <c r="AS3" s="103">
        <v>1.99</v>
      </c>
      <c r="AT3" s="103">
        <v>1.77</v>
      </c>
      <c r="AU3" s="103">
        <v>1.95</v>
      </c>
      <c r="AV3" s="103">
        <v>2.33</v>
      </c>
      <c r="AW3" s="103">
        <v>2.01</v>
      </c>
      <c r="AX3" s="103">
        <v>2.1</v>
      </c>
      <c r="AY3" s="103">
        <v>1.92</v>
      </c>
      <c r="AZ3" s="103">
        <v>1.72</v>
      </c>
      <c r="BA3" s="103">
        <v>1.74</v>
      </c>
      <c r="BB3" s="91"/>
      <c r="BC3" s="101">
        <v>1.77</v>
      </c>
      <c r="BD3" s="101">
        <v>1.94</v>
      </c>
      <c r="BE3" s="103">
        <v>1.82</v>
      </c>
      <c r="BF3" s="103">
        <v>2.02</v>
      </c>
      <c r="BG3" s="103">
        <v>1.82</v>
      </c>
      <c r="BH3" s="103">
        <v>1.64</v>
      </c>
      <c r="BI3" s="103">
        <v>1.91</v>
      </c>
      <c r="BJ3" s="103">
        <v>1.86</v>
      </c>
      <c r="BK3" s="103">
        <v>1.75</v>
      </c>
      <c r="BL3" s="103">
        <v>1.8</v>
      </c>
      <c r="BM3" s="103">
        <v>1.66</v>
      </c>
      <c r="BN3" s="103">
        <v>1.82</v>
      </c>
      <c r="BO3" s="91"/>
      <c r="BP3" s="101">
        <v>1.89</v>
      </c>
      <c r="BQ3" s="101">
        <v>2.16</v>
      </c>
      <c r="BR3" s="103">
        <v>1.99</v>
      </c>
      <c r="BS3" s="103">
        <v>1.62</v>
      </c>
      <c r="BT3" s="103">
        <v>1.91</v>
      </c>
      <c r="BU3" s="103">
        <v>1.72</v>
      </c>
      <c r="BV3" s="103">
        <v>1.82</v>
      </c>
      <c r="BW3" s="103">
        <v>1.77</v>
      </c>
      <c r="BX3" s="103">
        <v>1.77</v>
      </c>
      <c r="BY3" s="103">
        <v>1.91</v>
      </c>
      <c r="BZ3" s="103">
        <v>1.88</v>
      </c>
      <c r="CA3" s="103">
        <v>1.69</v>
      </c>
      <c r="CB3" s="91"/>
      <c r="CC3" s="101">
        <v>1.64</v>
      </c>
      <c r="CD3" s="101">
        <v>1.79</v>
      </c>
      <c r="CE3" s="103">
        <v>2.07</v>
      </c>
      <c r="CF3" s="103">
        <v>3.02</v>
      </c>
      <c r="CG3" s="103">
        <v>3.41</v>
      </c>
      <c r="CH3" s="103">
        <v>3.47</v>
      </c>
      <c r="CI3" s="103">
        <v>2.36</v>
      </c>
      <c r="CJ3" s="103">
        <v>2.9</v>
      </c>
      <c r="CK3" s="103">
        <v>2.6</v>
      </c>
      <c r="CL3" s="103">
        <v>1.9</v>
      </c>
      <c r="CM3" s="103">
        <v>1.89</v>
      </c>
      <c r="CN3" s="103">
        <v>1.99</v>
      </c>
      <c r="CO3" s="91"/>
      <c r="CP3" s="101"/>
      <c r="CQ3" s="101"/>
      <c r="CR3" s="103"/>
      <c r="CS3" s="103"/>
      <c r="CT3" s="103"/>
      <c r="CU3" s="103"/>
      <c r="CV3" s="103"/>
      <c r="CW3" s="103"/>
      <c r="CX3" s="103"/>
      <c r="CY3" s="103"/>
      <c r="CZ3" s="103"/>
      <c r="DA3" s="103"/>
    </row>
    <row r="4">
      <c r="A4" s="95" t="s">
        <v>131</v>
      </c>
      <c r="B4" s="9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2"/>
      <c r="O4" s="9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2"/>
      <c r="AB4" s="9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2"/>
      <c r="AO4" s="91"/>
      <c r="AP4" s="101">
        <v>220.0</v>
      </c>
      <c r="AQ4" s="101">
        <v>331.0</v>
      </c>
      <c r="AR4" s="103">
        <v>320.0</v>
      </c>
      <c r="AS4" s="103">
        <v>496.0</v>
      </c>
      <c r="AT4" s="103">
        <v>427.0</v>
      </c>
      <c r="AU4" s="103">
        <v>375.0</v>
      </c>
      <c r="AV4" s="103">
        <v>552.0</v>
      </c>
      <c r="AW4" s="103">
        <v>704.0</v>
      </c>
      <c r="AX4" s="103">
        <v>437.0</v>
      </c>
      <c r="AY4" s="103">
        <v>572.0</v>
      </c>
      <c r="AZ4" s="103">
        <v>561.0</v>
      </c>
      <c r="BA4" s="103">
        <v>531.0</v>
      </c>
      <c r="BB4" s="91"/>
      <c r="BC4" s="101">
        <v>565.0</v>
      </c>
      <c r="BD4" s="101">
        <v>565.0</v>
      </c>
      <c r="BE4" s="103">
        <v>505.0</v>
      </c>
      <c r="BF4" s="103">
        <v>514.0</v>
      </c>
      <c r="BG4" s="103">
        <v>612.0</v>
      </c>
      <c r="BH4" s="103">
        <v>522.0</v>
      </c>
      <c r="BI4" s="103">
        <v>756.0</v>
      </c>
      <c r="BJ4" s="103">
        <v>771.0</v>
      </c>
      <c r="BK4" s="103">
        <v>541.0</v>
      </c>
      <c r="BL4" s="103">
        <v>570.0</v>
      </c>
      <c r="BM4" s="103">
        <v>407.0</v>
      </c>
      <c r="BN4" s="103">
        <v>533.0</v>
      </c>
      <c r="BO4" s="91"/>
      <c r="BP4" s="101">
        <v>501.0</v>
      </c>
      <c r="BQ4" s="101">
        <v>500.0</v>
      </c>
      <c r="BR4" s="103">
        <v>472.0</v>
      </c>
      <c r="BS4" s="103">
        <v>469.0</v>
      </c>
      <c r="BT4" s="103">
        <v>561.0</v>
      </c>
      <c r="BU4" s="103">
        <v>487.0</v>
      </c>
      <c r="BV4" s="103">
        <v>698.0</v>
      </c>
      <c r="BW4" s="103">
        <v>766.0</v>
      </c>
      <c r="BX4" s="103">
        <v>526.0</v>
      </c>
      <c r="BY4" s="103">
        <v>553.0</v>
      </c>
      <c r="BZ4" s="103">
        <v>435.0</v>
      </c>
      <c r="CA4" s="103">
        <v>583.0</v>
      </c>
      <c r="CB4" s="91"/>
      <c r="CC4" s="101">
        <v>512.0</v>
      </c>
      <c r="CD4" s="101">
        <v>510.0</v>
      </c>
      <c r="CE4" s="103">
        <v>472.0</v>
      </c>
      <c r="CF4" s="103">
        <v>425.0</v>
      </c>
      <c r="CG4" s="103">
        <v>394.0</v>
      </c>
      <c r="CH4" s="103">
        <v>348.0</v>
      </c>
      <c r="CI4" s="103">
        <v>557.0</v>
      </c>
      <c r="CJ4" s="103"/>
      <c r="CK4" s="103"/>
      <c r="CL4" s="103"/>
      <c r="CM4" s="103"/>
      <c r="CN4" s="103"/>
      <c r="CO4" s="91"/>
      <c r="CP4" s="101"/>
      <c r="CQ4" s="101"/>
      <c r="CR4" s="103"/>
      <c r="CS4" s="103"/>
      <c r="CT4" s="103"/>
      <c r="CU4" s="103"/>
      <c r="CV4" s="103"/>
      <c r="CW4" s="103"/>
      <c r="CX4" s="103"/>
      <c r="CY4" s="103"/>
      <c r="CZ4" s="103"/>
      <c r="DA4" s="103"/>
    </row>
    <row r="5">
      <c r="A5" s="104" t="s">
        <v>132</v>
      </c>
      <c r="B5" s="91"/>
      <c r="C5" s="105"/>
      <c r="D5" s="105"/>
      <c r="E5" s="106"/>
      <c r="F5" s="107"/>
      <c r="G5" s="107"/>
      <c r="H5" s="108"/>
      <c r="I5" s="108"/>
      <c r="J5" s="108"/>
      <c r="K5" s="108"/>
      <c r="L5" s="107"/>
      <c r="M5" s="106"/>
      <c r="N5" s="109"/>
      <c r="O5" s="98"/>
      <c r="P5" s="105"/>
      <c r="Q5" s="105"/>
      <c r="R5" s="106"/>
      <c r="S5" s="107"/>
      <c r="T5" s="107"/>
      <c r="U5" s="108"/>
      <c r="V5" s="108"/>
      <c r="W5" s="108"/>
      <c r="X5" s="108"/>
      <c r="Y5" s="107"/>
      <c r="Z5" s="106"/>
      <c r="AA5" s="109"/>
      <c r="AB5" s="98"/>
      <c r="AC5" s="105"/>
      <c r="AD5" s="105"/>
      <c r="AE5" s="106"/>
      <c r="AF5" s="107"/>
      <c r="AG5" s="107"/>
      <c r="AH5" s="108"/>
      <c r="AI5" s="108"/>
      <c r="AJ5" s="108"/>
      <c r="AK5" s="108"/>
      <c r="AL5" s="107"/>
      <c r="AM5" s="106"/>
      <c r="AN5" s="110"/>
      <c r="AO5" s="91"/>
      <c r="AP5" s="109"/>
      <c r="AQ5" s="105"/>
      <c r="AR5" s="105"/>
      <c r="AS5" s="106"/>
      <c r="AT5" s="107"/>
      <c r="AU5" s="107"/>
      <c r="AV5" s="108"/>
      <c r="AW5" s="108"/>
      <c r="AX5" s="108"/>
      <c r="AY5" s="108"/>
      <c r="AZ5" s="107"/>
      <c r="BA5" s="106"/>
      <c r="BB5" s="91"/>
      <c r="BC5" s="109"/>
      <c r="BD5" s="105"/>
      <c r="BE5" s="105"/>
      <c r="BF5" s="106"/>
      <c r="BG5" s="107"/>
      <c r="BH5" s="107"/>
      <c r="BI5" s="108"/>
      <c r="BJ5" s="108"/>
      <c r="BK5" s="108"/>
      <c r="BL5" s="108"/>
      <c r="BM5" s="107"/>
      <c r="BN5" s="106"/>
      <c r="BO5" s="91"/>
      <c r="BP5" s="109"/>
      <c r="BQ5" s="105"/>
      <c r="BR5" s="105"/>
      <c r="BS5" s="106"/>
      <c r="BT5" s="107"/>
      <c r="BU5" s="107"/>
      <c r="BV5" s="108"/>
      <c r="BW5" s="108"/>
      <c r="BX5" s="108"/>
      <c r="BY5" s="108"/>
      <c r="BZ5" s="107"/>
      <c r="CA5" s="106"/>
      <c r="CB5" s="91"/>
      <c r="CC5" s="109"/>
      <c r="CD5" s="105"/>
      <c r="CE5" s="105"/>
      <c r="CF5" s="106"/>
      <c r="CG5" s="107"/>
      <c r="CH5" s="107"/>
      <c r="CI5" s="108"/>
      <c r="CJ5" s="108"/>
      <c r="CK5" s="108"/>
      <c r="CL5" s="108"/>
      <c r="CM5" s="107"/>
      <c r="CN5" s="106"/>
      <c r="CO5" s="91"/>
      <c r="CP5" s="109"/>
      <c r="CQ5" s="105"/>
      <c r="CR5" s="105"/>
      <c r="CS5" s="106"/>
      <c r="CT5" s="107"/>
      <c r="CU5" s="107"/>
      <c r="CV5" s="108"/>
      <c r="CW5" s="108"/>
      <c r="CX5" s="108"/>
      <c r="CY5" s="108"/>
      <c r="CZ5" s="107"/>
      <c r="DA5" s="106"/>
    </row>
    <row r="6">
      <c r="A6" s="111"/>
      <c r="B6" s="91"/>
      <c r="C6" s="112" t="s">
        <v>63</v>
      </c>
      <c r="D6" s="112" t="s">
        <v>64</v>
      </c>
      <c r="E6" s="112" t="s">
        <v>133</v>
      </c>
      <c r="F6" s="112" t="s">
        <v>56</v>
      </c>
      <c r="G6" s="112" t="s">
        <v>57</v>
      </c>
      <c r="H6" s="112" t="s">
        <v>58</v>
      </c>
      <c r="I6" s="112" t="s">
        <v>10</v>
      </c>
      <c r="J6" s="112" t="s">
        <v>21</v>
      </c>
      <c r="K6" s="112" t="s">
        <v>22</v>
      </c>
      <c r="L6" s="112" t="s">
        <v>60</v>
      </c>
      <c r="M6" s="112" t="s">
        <v>61</v>
      </c>
      <c r="N6" s="113" t="s">
        <v>51</v>
      </c>
      <c r="O6" s="91"/>
      <c r="P6" s="112" t="s">
        <v>63</v>
      </c>
      <c r="Q6" s="112" t="s">
        <v>64</v>
      </c>
      <c r="R6" s="112" t="s">
        <v>133</v>
      </c>
      <c r="S6" s="112" t="s">
        <v>56</v>
      </c>
      <c r="T6" s="112" t="s">
        <v>57</v>
      </c>
      <c r="U6" s="112" t="s">
        <v>58</v>
      </c>
      <c r="V6" s="112" t="s">
        <v>10</v>
      </c>
      <c r="W6" s="112" t="s">
        <v>21</v>
      </c>
      <c r="X6" s="112" t="s">
        <v>22</v>
      </c>
      <c r="Y6" s="112" t="s">
        <v>60</v>
      </c>
      <c r="Z6" s="112" t="s">
        <v>61</v>
      </c>
      <c r="AA6" s="113" t="s">
        <v>51</v>
      </c>
      <c r="AB6" s="91"/>
      <c r="AC6" s="112" t="s">
        <v>63</v>
      </c>
      <c r="AD6" s="112" t="s">
        <v>64</v>
      </c>
      <c r="AE6" s="112" t="s">
        <v>133</v>
      </c>
      <c r="AF6" s="112" t="s">
        <v>56</v>
      </c>
      <c r="AG6" s="112" t="s">
        <v>57</v>
      </c>
      <c r="AH6" s="112" t="s">
        <v>58</v>
      </c>
      <c r="AI6" s="112" t="s">
        <v>10</v>
      </c>
      <c r="AJ6" s="112" t="s">
        <v>21</v>
      </c>
      <c r="AK6" s="112" t="s">
        <v>22</v>
      </c>
      <c r="AL6" s="112" t="s">
        <v>60</v>
      </c>
      <c r="AM6" s="112" t="s">
        <v>61</v>
      </c>
      <c r="AN6" s="113" t="s">
        <v>51</v>
      </c>
      <c r="AO6" s="91"/>
      <c r="AP6" s="112" t="s">
        <v>63</v>
      </c>
      <c r="AQ6" s="112" t="s">
        <v>64</v>
      </c>
      <c r="AR6" s="112" t="s">
        <v>133</v>
      </c>
      <c r="AS6" s="112" t="s">
        <v>56</v>
      </c>
      <c r="AT6" s="112" t="s">
        <v>57</v>
      </c>
      <c r="AU6" s="112" t="s">
        <v>58</v>
      </c>
      <c r="AV6" s="112" t="s">
        <v>10</v>
      </c>
      <c r="AW6" s="112" t="s">
        <v>21</v>
      </c>
      <c r="AX6" s="112" t="s">
        <v>22</v>
      </c>
      <c r="AY6" s="112" t="s">
        <v>60</v>
      </c>
      <c r="AZ6" s="112" t="s">
        <v>61</v>
      </c>
      <c r="BA6" s="112" t="s">
        <v>51</v>
      </c>
      <c r="BB6" s="91"/>
      <c r="BC6" s="112" t="s">
        <v>63</v>
      </c>
      <c r="BD6" s="112" t="s">
        <v>64</v>
      </c>
      <c r="BE6" s="112" t="s">
        <v>133</v>
      </c>
      <c r="BF6" s="112" t="s">
        <v>56</v>
      </c>
      <c r="BG6" s="112" t="s">
        <v>57</v>
      </c>
      <c r="BH6" s="112" t="s">
        <v>58</v>
      </c>
      <c r="BI6" s="112" t="s">
        <v>10</v>
      </c>
      <c r="BJ6" s="112" t="s">
        <v>21</v>
      </c>
      <c r="BK6" s="112" t="s">
        <v>22</v>
      </c>
      <c r="BL6" s="112" t="s">
        <v>60</v>
      </c>
      <c r="BM6" s="112" t="s">
        <v>61</v>
      </c>
      <c r="BN6" s="112" t="s">
        <v>51</v>
      </c>
      <c r="BO6" s="91"/>
      <c r="BP6" s="114" t="s">
        <v>134</v>
      </c>
      <c r="BQ6" s="114" t="s">
        <v>135</v>
      </c>
      <c r="BR6" s="114" t="s">
        <v>136</v>
      </c>
      <c r="BS6" s="114" t="s">
        <v>137</v>
      </c>
      <c r="BT6" s="114" t="s">
        <v>138</v>
      </c>
      <c r="BU6" s="114" t="s">
        <v>139</v>
      </c>
      <c r="BV6" s="114" t="s">
        <v>140</v>
      </c>
      <c r="BW6" s="114" t="s">
        <v>141</v>
      </c>
      <c r="BX6" s="114" t="s">
        <v>142</v>
      </c>
      <c r="BY6" s="114" t="s">
        <v>143</v>
      </c>
      <c r="BZ6" s="114" t="s">
        <v>144</v>
      </c>
      <c r="CA6" s="114" t="s">
        <v>145</v>
      </c>
      <c r="CB6" s="91"/>
      <c r="CC6" s="114" t="s">
        <v>134</v>
      </c>
      <c r="CD6" s="114" t="s">
        <v>135</v>
      </c>
      <c r="CE6" s="114" t="s">
        <v>136</v>
      </c>
      <c r="CF6" s="114" t="s">
        <v>137</v>
      </c>
      <c r="CG6" s="114" t="s">
        <v>138</v>
      </c>
      <c r="CH6" s="114" t="s">
        <v>139</v>
      </c>
      <c r="CI6" s="114" t="s">
        <v>140</v>
      </c>
      <c r="CJ6" s="114" t="s">
        <v>141</v>
      </c>
      <c r="CK6" s="114" t="s">
        <v>142</v>
      </c>
      <c r="CL6" s="114" t="s">
        <v>143</v>
      </c>
      <c r="CM6" s="114" t="s">
        <v>144</v>
      </c>
      <c r="CN6" s="114" t="s">
        <v>145</v>
      </c>
      <c r="CO6" s="91"/>
      <c r="CP6" s="112" t="s">
        <v>63</v>
      </c>
      <c r="CQ6" s="112" t="s">
        <v>64</v>
      </c>
      <c r="CR6" s="112" t="s">
        <v>133</v>
      </c>
      <c r="CS6" s="112" t="s">
        <v>56</v>
      </c>
      <c r="CT6" s="112" t="s">
        <v>57</v>
      </c>
      <c r="CU6" s="112" t="s">
        <v>58</v>
      </c>
      <c r="CV6" s="112" t="s">
        <v>10</v>
      </c>
      <c r="CW6" s="112" t="s">
        <v>21</v>
      </c>
      <c r="CX6" s="112" t="s">
        <v>22</v>
      </c>
      <c r="CY6" s="112" t="s">
        <v>60</v>
      </c>
      <c r="CZ6" s="112" t="s">
        <v>61</v>
      </c>
      <c r="DA6" s="112" t="s">
        <v>51</v>
      </c>
    </row>
    <row r="7">
      <c r="A7" s="115" t="s">
        <v>146</v>
      </c>
      <c r="B7" s="91"/>
      <c r="C7" s="116"/>
      <c r="D7" s="116"/>
      <c r="E7" s="117">
        <v>11914.0</v>
      </c>
      <c r="F7" s="117">
        <v>15482.0</v>
      </c>
      <c r="G7" s="117">
        <v>19536.0</v>
      </c>
      <c r="H7" s="117">
        <v>22784.0</v>
      </c>
      <c r="I7" s="117">
        <v>26651.0</v>
      </c>
      <c r="J7" s="117">
        <v>30665.0</v>
      </c>
      <c r="K7" s="117">
        <v>33497.0</v>
      </c>
      <c r="L7" s="117">
        <v>37936.0</v>
      </c>
      <c r="M7" s="117">
        <v>42089.0</v>
      </c>
      <c r="N7" s="118">
        <v>46566.0</v>
      </c>
      <c r="O7" s="91"/>
      <c r="P7" s="119">
        <v>51017.0</v>
      </c>
      <c r="Q7" s="119">
        <v>55525.0</v>
      </c>
      <c r="R7" s="119">
        <v>59022.0</v>
      </c>
      <c r="S7" s="119">
        <v>59700.0</v>
      </c>
      <c r="T7" s="119">
        <v>60061.0</v>
      </c>
      <c r="U7" s="119">
        <v>61906.0</v>
      </c>
      <c r="V7" s="119">
        <v>65659.0</v>
      </c>
      <c r="W7" s="119">
        <v>69833.0</v>
      </c>
      <c r="X7" s="119">
        <v>72186.0</v>
      </c>
      <c r="Y7" s="119">
        <v>74395.0</v>
      </c>
      <c r="Z7" s="119">
        <v>76591.0</v>
      </c>
      <c r="AA7" s="120">
        <v>78833.0</v>
      </c>
      <c r="AB7" s="91"/>
      <c r="AC7" s="119">
        <v>80968.0</v>
      </c>
      <c r="AD7" s="119">
        <v>83042.0</v>
      </c>
      <c r="AE7" s="119">
        <v>85665.0</v>
      </c>
      <c r="AF7" s="119">
        <v>88227.0</v>
      </c>
      <c r="AG7" s="119">
        <v>90480.0</v>
      </c>
      <c r="AH7" s="119">
        <v>93156.0</v>
      </c>
      <c r="AI7" s="119">
        <v>96766.0</v>
      </c>
      <c r="AJ7" s="119">
        <v>100685.0</v>
      </c>
      <c r="AK7" s="119">
        <v>103863.0</v>
      </c>
      <c r="AL7" s="119">
        <v>107163.0</v>
      </c>
      <c r="AM7" s="119">
        <v>110688.0</v>
      </c>
      <c r="AN7" s="120">
        <v>114264.0</v>
      </c>
      <c r="AO7" s="91"/>
      <c r="AP7" s="119">
        <v>118053.0</v>
      </c>
      <c r="AQ7" s="119">
        <v>121824.0</v>
      </c>
      <c r="AR7" s="119">
        <v>126154.0</v>
      </c>
      <c r="AS7" s="119">
        <v>130594.0</v>
      </c>
      <c r="AT7" s="119">
        <v>134107.0</v>
      </c>
      <c r="AU7" s="119">
        <v>137634.0</v>
      </c>
      <c r="AV7" s="119">
        <v>141640.0</v>
      </c>
      <c r="AW7" s="119">
        <v>146201.0</v>
      </c>
      <c r="AX7" s="119">
        <v>149687.0</v>
      </c>
      <c r="AY7" s="119">
        <v>154143.0</v>
      </c>
      <c r="AZ7" s="119">
        <v>158816.0</v>
      </c>
      <c r="BA7" s="119">
        <v>163447.0</v>
      </c>
      <c r="BB7" s="91"/>
      <c r="BC7" s="119">
        <v>167992.0</v>
      </c>
      <c r="BD7" s="121">
        <v>172740.0</v>
      </c>
      <c r="BE7" s="121">
        <v>177031.0</v>
      </c>
      <c r="BF7" s="121">
        <v>181243.0</v>
      </c>
      <c r="BG7" s="121">
        <v>185457.0</v>
      </c>
      <c r="BH7" s="121">
        <v>189016.0</v>
      </c>
      <c r="BI7" s="121">
        <v>193575.0</v>
      </c>
      <c r="BJ7" s="121">
        <v>197936.0</v>
      </c>
      <c r="BK7" s="121">
        <v>202068.0</v>
      </c>
      <c r="BL7" s="121">
        <v>206619.0</v>
      </c>
      <c r="BM7" s="121">
        <v>211060.0</v>
      </c>
      <c r="BN7" s="122">
        <v>216094.0</v>
      </c>
      <c r="BO7" s="91"/>
      <c r="BP7" s="121"/>
      <c r="BQ7" s="121"/>
      <c r="BR7" s="121"/>
      <c r="BS7" s="121"/>
      <c r="BT7" s="121"/>
      <c r="BU7" s="121"/>
      <c r="BV7" s="121"/>
      <c r="BW7" s="121"/>
      <c r="BX7" s="123"/>
      <c r="BY7" s="123"/>
      <c r="BZ7" s="123"/>
      <c r="CA7" s="123"/>
      <c r="CB7" s="91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91"/>
      <c r="CP7" s="119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2"/>
    </row>
    <row r="8">
      <c r="A8" s="111"/>
      <c r="B8" s="91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5"/>
      <c r="O8" s="91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5"/>
      <c r="AB8" s="91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5"/>
      <c r="AO8" s="91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91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9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91"/>
      <c r="CC8" s="121"/>
      <c r="CD8" s="121"/>
      <c r="CE8" s="121"/>
      <c r="CF8" s="121"/>
      <c r="CG8" s="121"/>
      <c r="CH8" s="121"/>
      <c r="CI8" s="121"/>
      <c r="CJ8" s="121"/>
      <c r="CK8" s="121"/>
      <c r="CL8" s="121"/>
      <c r="CM8" s="121"/>
      <c r="CN8" s="121"/>
      <c r="CO8" s="91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4"/>
      <c r="DA8" s="124"/>
    </row>
    <row r="9">
      <c r="A9" s="126" t="s">
        <v>147</v>
      </c>
      <c r="B9" s="91"/>
      <c r="C9" s="124"/>
      <c r="D9" s="124"/>
      <c r="E9" s="124"/>
      <c r="F9" s="124">
        <f t="shared" ref="F9:N9" si="1">F7-E7</f>
        <v>3568</v>
      </c>
      <c r="G9" s="124">
        <f t="shared" si="1"/>
        <v>4054</v>
      </c>
      <c r="H9" s="124">
        <f t="shared" si="1"/>
        <v>3248</v>
      </c>
      <c r="I9" s="124">
        <f t="shared" si="1"/>
        <v>3867</v>
      </c>
      <c r="J9" s="124">
        <f t="shared" si="1"/>
        <v>4014</v>
      </c>
      <c r="K9" s="124">
        <f t="shared" si="1"/>
        <v>2832</v>
      </c>
      <c r="L9" s="124">
        <f t="shared" si="1"/>
        <v>4439</v>
      </c>
      <c r="M9" s="124">
        <f t="shared" si="1"/>
        <v>4153</v>
      </c>
      <c r="N9" s="125">
        <f t="shared" si="1"/>
        <v>4477</v>
      </c>
      <c r="O9" s="91"/>
      <c r="P9" s="124">
        <f>P7-N7</f>
        <v>4451</v>
      </c>
      <c r="Q9" s="124">
        <f t="shared" ref="Q9:AA9" si="2">Q7-P7</f>
        <v>4508</v>
      </c>
      <c r="R9" s="124">
        <f t="shared" si="2"/>
        <v>3497</v>
      </c>
      <c r="S9" s="124">
        <f t="shared" si="2"/>
        <v>678</v>
      </c>
      <c r="T9" s="124">
        <f t="shared" si="2"/>
        <v>361</v>
      </c>
      <c r="U9" s="124">
        <f t="shared" si="2"/>
        <v>1845</v>
      </c>
      <c r="V9" s="124">
        <f t="shared" si="2"/>
        <v>3753</v>
      </c>
      <c r="W9" s="124">
        <f t="shared" si="2"/>
        <v>4174</v>
      </c>
      <c r="X9" s="124">
        <f t="shared" si="2"/>
        <v>2353</v>
      </c>
      <c r="Y9" s="124">
        <f t="shared" si="2"/>
        <v>2209</v>
      </c>
      <c r="Z9" s="124">
        <f t="shared" si="2"/>
        <v>2196</v>
      </c>
      <c r="AA9" s="125">
        <f t="shared" si="2"/>
        <v>2242</v>
      </c>
      <c r="AB9" s="91"/>
      <c r="AC9" s="124">
        <f>AC7-AA7</f>
        <v>2135</v>
      </c>
      <c r="AD9" s="124">
        <f t="shared" ref="AD9:AN9" si="3">AD7-AC7</f>
        <v>2074</v>
      </c>
      <c r="AE9" s="124">
        <f t="shared" si="3"/>
        <v>2623</v>
      </c>
      <c r="AF9" s="124">
        <f t="shared" si="3"/>
        <v>2562</v>
      </c>
      <c r="AG9" s="124">
        <f t="shared" si="3"/>
        <v>2253</v>
      </c>
      <c r="AH9" s="124">
        <f t="shared" si="3"/>
        <v>2676</v>
      </c>
      <c r="AI9" s="124">
        <f t="shared" si="3"/>
        <v>3610</v>
      </c>
      <c r="AJ9" s="124">
        <f t="shared" si="3"/>
        <v>3919</v>
      </c>
      <c r="AK9" s="124">
        <f t="shared" si="3"/>
        <v>3178</v>
      </c>
      <c r="AL9" s="124">
        <f t="shared" si="3"/>
        <v>3300</v>
      </c>
      <c r="AM9" s="124">
        <f t="shared" si="3"/>
        <v>3525</v>
      </c>
      <c r="AN9" s="125">
        <f t="shared" si="3"/>
        <v>3576</v>
      </c>
      <c r="AO9" s="91"/>
      <c r="AP9" s="124">
        <f>AP7-AN7</f>
        <v>3789</v>
      </c>
      <c r="AQ9" s="124">
        <f t="shared" ref="AQ9:BA9" si="4">AQ7-AP7</f>
        <v>3771</v>
      </c>
      <c r="AR9" s="124">
        <f t="shared" si="4"/>
        <v>4330</v>
      </c>
      <c r="AS9" s="124">
        <f t="shared" si="4"/>
        <v>4440</v>
      </c>
      <c r="AT9" s="124">
        <f t="shared" si="4"/>
        <v>3513</v>
      </c>
      <c r="AU9" s="124">
        <f t="shared" si="4"/>
        <v>3527</v>
      </c>
      <c r="AV9" s="124">
        <f t="shared" si="4"/>
        <v>4006</v>
      </c>
      <c r="AW9" s="124">
        <f t="shared" si="4"/>
        <v>4561</v>
      </c>
      <c r="AX9" s="124">
        <f t="shared" si="4"/>
        <v>3486</v>
      </c>
      <c r="AY9" s="124">
        <f t="shared" si="4"/>
        <v>4456</v>
      </c>
      <c r="AZ9" s="124">
        <f t="shared" si="4"/>
        <v>4673</v>
      </c>
      <c r="BA9" s="124">
        <f t="shared" si="4"/>
        <v>4631</v>
      </c>
      <c r="BB9" s="91"/>
      <c r="BC9" s="124">
        <f>BC7-BA7</f>
        <v>4545</v>
      </c>
      <c r="BD9" s="124">
        <f t="shared" ref="BD9:BN9" si="5">BD7-BC7</f>
        <v>4748</v>
      </c>
      <c r="BE9" s="124">
        <f t="shared" si="5"/>
        <v>4291</v>
      </c>
      <c r="BF9" s="124">
        <f t="shared" si="5"/>
        <v>4212</v>
      </c>
      <c r="BG9" s="124">
        <f t="shared" si="5"/>
        <v>4214</v>
      </c>
      <c r="BH9" s="124">
        <f t="shared" si="5"/>
        <v>3559</v>
      </c>
      <c r="BI9" s="124">
        <f t="shared" si="5"/>
        <v>4559</v>
      </c>
      <c r="BJ9" s="124">
        <f t="shared" si="5"/>
        <v>4361</v>
      </c>
      <c r="BK9" s="124">
        <f t="shared" si="5"/>
        <v>4132</v>
      </c>
      <c r="BL9" s="124">
        <f t="shared" si="5"/>
        <v>4551</v>
      </c>
      <c r="BM9" s="124">
        <f t="shared" si="5"/>
        <v>4441</v>
      </c>
      <c r="BN9" s="124">
        <f t="shared" si="5"/>
        <v>5034</v>
      </c>
      <c r="BO9" s="91"/>
      <c r="BP9" s="121">
        <v>221130.0</v>
      </c>
      <c r="BQ9" s="121">
        <v>226604.0</v>
      </c>
      <c r="BR9" s="121">
        <v>230910.0</v>
      </c>
      <c r="BS9" s="121">
        <v>235924.0</v>
      </c>
      <c r="BT9" s="121">
        <v>240324.0</v>
      </c>
      <c r="BU9" s="121">
        <v>244197.0</v>
      </c>
      <c r="BV9" s="121">
        <v>249348.0</v>
      </c>
      <c r="BW9" s="121">
        <v>254374.0</v>
      </c>
      <c r="BX9" s="121">
        <v>258851.0</v>
      </c>
      <c r="BY9" s="121">
        <v>263595.0</v>
      </c>
      <c r="BZ9" s="121">
        <v>267883.0</v>
      </c>
      <c r="CA9" s="122">
        <v>273021.0</v>
      </c>
      <c r="CB9" s="91"/>
      <c r="CC9" s="121">
        <v>278007.0</v>
      </c>
      <c r="CD9" s="121">
        <v>282863.0</v>
      </c>
      <c r="CE9" s="121">
        <v>287993.0</v>
      </c>
      <c r="CF9" s="121">
        <v>292749.0</v>
      </c>
      <c r="CG9" s="121">
        <v>297355.0</v>
      </c>
      <c r="CH9" s="121">
        <v>300728.0</v>
      </c>
      <c r="CI9" s="121">
        <v>304984.0</v>
      </c>
      <c r="CJ9" s="121">
        <v>309552.0</v>
      </c>
      <c r="CK9" s="121">
        <v>313291.0</v>
      </c>
      <c r="CL9" s="121">
        <v>317677.0</v>
      </c>
      <c r="CM9" s="121">
        <v>4469.0</v>
      </c>
      <c r="CN9" s="122">
        <v>9191.0</v>
      </c>
      <c r="CO9" s="91"/>
      <c r="CP9" s="124">
        <f>CP7-CN9</f>
        <v>-9191</v>
      </c>
      <c r="CQ9" s="124">
        <f t="shared" ref="CQ9:DA9" si="6">CQ7-CP7</f>
        <v>0</v>
      </c>
      <c r="CR9" s="124">
        <f t="shared" si="6"/>
        <v>0</v>
      </c>
      <c r="CS9" s="124">
        <f t="shared" si="6"/>
        <v>0</v>
      </c>
      <c r="CT9" s="124">
        <f t="shared" si="6"/>
        <v>0</v>
      </c>
      <c r="CU9" s="124">
        <f t="shared" si="6"/>
        <v>0</v>
      </c>
      <c r="CV9" s="124">
        <f t="shared" si="6"/>
        <v>0</v>
      </c>
      <c r="CW9" s="124">
        <f t="shared" si="6"/>
        <v>0</v>
      </c>
      <c r="CX9" s="124">
        <f t="shared" si="6"/>
        <v>0</v>
      </c>
      <c r="CY9" s="124">
        <f t="shared" si="6"/>
        <v>0</v>
      </c>
      <c r="CZ9" s="124">
        <f t="shared" si="6"/>
        <v>0</v>
      </c>
      <c r="DA9" s="124">
        <f t="shared" si="6"/>
        <v>0</v>
      </c>
    </row>
    <row r="10">
      <c r="A10" s="126" t="s">
        <v>148</v>
      </c>
      <c r="B10" s="91"/>
      <c r="C10" s="124"/>
      <c r="D10" s="124"/>
      <c r="E10" s="124"/>
      <c r="F10" s="124" t="s">
        <v>149</v>
      </c>
      <c r="G10" s="124" t="s">
        <v>149</v>
      </c>
      <c r="H10" s="124" t="s">
        <v>149</v>
      </c>
      <c r="I10" s="124" t="s">
        <v>149</v>
      </c>
      <c r="J10" s="124" t="s">
        <v>149</v>
      </c>
      <c r="K10" s="124" t="s">
        <v>149</v>
      </c>
      <c r="L10" s="124" t="s">
        <v>149</v>
      </c>
      <c r="M10" s="124" t="s">
        <v>149</v>
      </c>
      <c r="N10" s="125" t="s">
        <v>149</v>
      </c>
      <c r="O10" s="91"/>
      <c r="P10" s="124" t="s">
        <v>149</v>
      </c>
      <c r="Q10" s="124" t="s">
        <v>149</v>
      </c>
      <c r="R10" s="124" t="s">
        <v>149</v>
      </c>
      <c r="S10" s="124" t="s">
        <v>149</v>
      </c>
      <c r="T10" s="124" t="s">
        <v>149</v>
      </c>
      <c r="U10" s="124" t="s">
        <v>149</v>
      </c>
      <c r="V10" s="124" t="s">
        <v>149</v>
      </c>
      <c r="W10" s="124" t="s">
        <v>149</v>
      </c>
      <c r="X10" s="124" t="s">
        <v>149</v>
      </c>
      <c r="Y10" s="124" t="s">
        <v>149</v>
      </c>
      <c r="Z10" s="124" t="s">
        <v>149</v>
      </c>
      <c r="AA10" s="125" t="s">
        <v>149</v>
      </c>
      <c r="AB10" s="91"/>
      <c r="AC10" s="124" t="s">
        <v>149</v>
      </c>
      <c r="AD10" s="124" t="s">
        <v>149</v>
      </c>
      <c r="AE10" s="124" t="s">
        <v>149</v>
      </c>
      <c r="AF10" s="124" t="s">
        <v>149</v>
      </c>
      <c r="AG10" s="124" t="s">
        <v>149</v>
      </c>
      <c r="AH10" s="124" t="s">
        <v>149</v>
      </c>
      <c r="AI10" s="124" t="s">
        <v>149</v>
      </c>
      <c r="AJ10" s="124" t="s">
        <v>149</v>
      </c>
      <c r="AK10" s="124" t="s">
        <v>149</v>
      </c>
      <c r="AL10" s="124" t="s">
        <v>149</v>
      </c>
      <c r="AM10" s="124" t="s">
        <v>149</v>
      </c>
      <c r="AN10" s="125" t="s">
        <v>149</v>
      </c>
      <c r="AO10" s="91"/>
      <c r="AP10" s="124" t="s">
        <v>149</v>
      </c>
      <c r="AQ10" s="124" t="s">
        <v>149</v>
      </c>
      <c r="AR10" s="124" t="s">
        <v>149</v>
      </c>
      <c r="AS10" s="124" t="s">
        <v>149</v>
      </c>
      <c r="AT10" s="124" t="s">
        <v>149</v>
      </c>
      <c r="AU10" s="124" t="s">
        <v>149</v>
      </c>
      <c r="AV10" s="124" t="s">
        <v>149</v>
      </c>
      <c r="AW10" s="124" t="s">
        <v>149</v>
      </c>
      <c r="AX10" s="124" t="s">
        <v>149</v>
      </c>
      <c r="AY10" s="124" t="s">
        <v>149</v>
      </c>
      <c r="AZ10" s="124" t="s">
        <v>149</v>
      </c>
      <c r="BA10" s="124" t="s">
        <v>149</v>
      </c>
      <c r="BB10" s="91"/>
      <c r="BC10" s="124" t="s">
        <v>149</v>
      </c>
      <c r="BD10" s="124" t="s">
        <v>149</v>
      </c>
      <c r="BE10" s="124" t="s">
        <v>149</v>
      </c>
      <c r="BF10" s="124" t="s">
        <v>149</v>
      </c>
      <c r="BG10" s="124" t="s">
        <v>149</v>
      </c>
      <c r="BH10" s="124" t="s">
        <v>149</v>
      </c>
      <c r="BI10" s="124" t="s">
        <v>149</v>
      </c>
      <c r="BJ10" s="124" t="s">
        <v>149</v>
      </c>
      <c r="BK10" s="124" t="s">
        <v>149</v>
      </c>
      <c r="BL10" s="124" t="s">
        <v>149</v>
      </c>
      <c r="BM10" s="124" t="s">
        <v>149</v>
      </c>
      <c r="BN10" s="124" t="s">
        <v>149</v>
      </c>
      <c r="BO10" s="91"/>
      <c r="BP10" s="124">
        <f>BP9-BN7</f>
        <v>5036</v>
      </c>
      <c r="BQ10" s="124">
        <f t="shared" ref="BQ10:CA10" si="7">BQ9-BP9</f>
        <v>5474</v>
      </c>
      <c r="BR10" s="124">
        <f t="shared" si="7"/>
        <v>4306</v>
      </c>
      <c r="BS10" s="124">
        <f t="shared" si="7"/>
        <v>5014</v>
      </c>
      <c r="BT10" s="124">
        <f t="shared" si="7"/>
        <v>4400</v>
      </c>
      <c r="BU10" s="124">
        <f t="shared" si="7"/>
        <v>3873</v>
      </c>
      <c r="BV10" s="124">
        <f t="shared" si="7"/>
        <v>5151</v>
      </c>
      <c r="BW10" s="124">
        <f t="shared" si="7"/>
        <v>5026</v>
      </c>
      <c r="BX10" s="124">
        <f t="shared" si="7"/>
        <v>4477</v>
      </c>
      <c r="BY10" s="124">
        <f t="shared" si="7"/>
        <v>4744</v>
      </c>
      <c r="BZ10" s="124">
        <f t="shared" si="7"/>
        <v>4288</v>
      </c>
      <c r="CA10" s="124">
        <f t="shared" si="7"/>
        <v>5138</v>
      </c>
      <c r="CB10" s="91"/>
      <c r="CC10" s="124">
        <f>CC9-CA9</f>
        <v>4986</v>
      </c>
      <c r="CD10" s="124">
        <f t="shared" ref="CD10:CL10" si="8">CD9-CC9</f>
        <v>4856</v>
      </c>
      <c r="CE10" s="124">
        <f t="shared" si="8"/>
        <v>5130</v>
      </c>
      <c r="CF10" s="124">
        <f t="shared" si="8"/>
        <v>4756</v>
      </c>
      <c r="CG10" s="124">
        <f t="shared" si="8"/>
        <v>4606</v>
      </c>
      <c r="CH10" s="124">
        <f t="shared" si="8"/>
        <v>3373</v>
      </c>
      <c r="CI10" s="124">
        <f t="shared" si="8"/>
        <v>4256</v>
      </c>
      <c r="CJ10" s="124">
        <f t="shared" si="8"/>
        <v>4568</v>
      </c>
      <c r="CK10" s="124">
        <f t="shared" si="8"/>
        <v>3739</v>
      </c>
      <c r="CL10" s="124">
        <f t="shared" si="8"/>
        <v>4386</v>
      </c>
      <c r="CM10" s="127">
        <v>4469.0</v>
      </c>
      <c r="CN10" s="124">
        <f>CN9-CM9</f>
        <v>4722</v>
      </c>
      <c r="CO10" s="91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</row>
    <row r="11">
      <c r="A11" s="126" t="s">
        <v>150</v>
      </c>
      <c r="B11" s="91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9"/>
      <c r="O11" s="91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9"/>
      <c r="AB11" s="91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9"/>
      <c r="AO11" s="91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91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91"/>
      <c r="BP11" s="124" t="s">
        <v>149</v>
      </c>
      <c r="BQ11" s="124" t="s">
        <v>149</v>
      </c>
      <c r="BR11" s="124" t="s">
        <v>149</v>
      </c>
      <c r="BS11" s="124" t="s">
        <v>149</v>
      </c>
      <c r="BT11" s="124" t="s">
        <v>149</v>
      </c>
      <c r="BU11" s="124" t="s">
        <v>149</v>
      </c>
      <c r="BV11" s="124" t="s">
        <v>149</v>
      </c>
      <c r="BW11" s="130">
        <v>22.0</v>
      </c>
      <c r="BX11" s="130">
        <v>191.0</v>
      </c>
      <c r="BY11" s="130">
        <v>437.0</v>
      </c>
      <c r="BZ11" s="130">
        <v>678.0</v>
      </c>
      <c r="CA11" s="131">
        <v>868.0</v>
      </c>
      <c r="CB11" s="91"/>
      <c r="CC11" s="130">
        <v>1067.0</v>
      </c>
      <c r="CD11" s="130">
        <v>1318.0</v>
      </c>
      <c r="CE11" s="124">
        <v>1606.0</v>
      </c>
      <c r="CF11" s="124">
        <v>1881.0</v>
      </c>
      <c r="CG11" s="124">
        <v>2212.0</v>
      </c>
      <c r="CH11" s="124">
        <v>2431.0</v>
      </c>
      <c r="CI11" s="124">
        <v>2649.0</v>
      </c>
      <c r="CJ11" s="124">
        <v>2834.0</v>
      </c>
      <c r="CK11" s="124">
        <v>3005.0</v>
      </c>
      <c r="CL11" s="124">
        <v>3224.0</v>
      </c>
      <c r="CM11" s="124">
        <v>3405.0</v>
      </c>
      <c r="CN11" s="124">
        <v>3611.0</v>
      </c>
      <c r="CO11" s="91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</row>
    <row r="12" outlineLevel="1">
      <c r="A12" s="132" t="s">
        <v>151</v>
      </c>
      <c r="B12" s="91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9"/>
      <c r="O12" s="91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9"/>
      <c r="AB12" s="91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9"/>
      <c r="AO12" s="91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91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91"/>
      <c r="BP12" s="128"/>
      <c r="BQ12" s="128"/>
      <c r="BR12" s="128"/>
      <c r="BS12" s="128"/>
      <c r="BT12" s="128"/>
      <c r="BU12" s="128"/>
      <c r="BV12" s="128"/>
      <c r="BW12" s="133"/>
      <c r="BX12" s="133">
        <v>138.5</v>
      </c>
      <c r="BY12" s="133">
        <v>285.7</v>
      </c>
      <c r="BZ12" s="133">
        <v>390.0</v>
      </c>
      <c r="CA12" s="134">
        <v>515.0</v>
      </c>
      <c r="CB12" s="91"/>
      <c r="CC12" s="133">
        <v>634.0</v>
      </c>
      <c r="CD12" s="133">
        <v>737.0</v>
      </c>
      <c r="CE12" s="128">
        <v>754.0</v>
      </c>
      <c r="CF12" s="128">
        <v>878.0</v>
      </c>
      <c r="CG12" s="128">
        <v>1169.0</v>
      </c>
      <c r="CH12" s="128">
        <v>1342.0</v>
      </c>
      <c r="CI12" s="128">
        <v>1504.0</v>
      </c>
      <c r="CJ12" s="128">
        <v>1634.0</v>
      </c>
      <c r="CK12" s="128">
        <v>1749.0</v>
      </c>
      <c r="CL12" s="128">
        <v>1873.0</v>
      </c>
      <c r="CM12" s="128">
        <v>1988.0</v>
      </c>
      <c r="CN12" s="128">
        <v>2112.0</v>
      </c>
      <c r="CO12" s="91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</row>
    <row r="13" outlineLevel="1">
      <c r="A13" s="132" t="s">
        <v>152</v>
      </c>
      <c r="B13" s="91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6"/>
      <c r="O13" s="91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6"/>
      <c r="AB13" s="91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6"/>
      <c r="AO13" s="91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91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91"/>
      <c r="BP13" s="128"/>
      <c r="BQ13" s="128"/>
      <c r="BR13" s="128"/>
      <c r="BS13" s="128"/>
      <c r="BT13" s="128"/>
      <c r="BU13" s="128"/>
      <c r="BV13" s="128"/>
      <c r="BW13" s="133"/>
      <c r="BX13" s="133">
        <f>BX12</f>
        <v>138.5</v>
      </c>
      <c r="BY13" s="133">
        <f t="shared" ref="BY13:CA13" si="9">BY12-BX12</f>
        <v>147.2</v>
      </c>
      <c r="BZ13" s="133">
        <f t="shared" si="9"/>
        <v>104.3</v>
      </c>
      <c r="CA13" s="133">
        <f t="shared" si="9"/>
        <v>125</v>
      </c>
      <c r="CB13" s="130"/>
      <c r="CC13" s="133">
        <f t="shared" ref="CC13:CN13" si="10">CC12-CB12</f>
        <v>634</v>
      </c>
      <c r="CD13" s="133">
        <f t="shared" si="10"/>
        <v>103</v>
      </c>
      <c r="CE13" s="133">
        <f t="shared" si="10"/>
        <v>17</v>
      </c>
      <c r="CF13" s="133">
        <f t="shared" si="10"/>
        <v>124</v>
      </c>
      <c r="CG13" s="133">
        <f t="shared" si="10"/>
        <v>291</v>
      </c>
      <c r="CH13" s="133">
        <f t="shared" si="10"/>
        <v>173</v>
      </c>
      <c r="CI13" s="133">
        <f t="shared" si="10"/>
        <v>162</v>
      </c>
      <c r="CJ13" s="133">
        <f t="shared" si="10"/>
        <v>130</v>
      </c>
      <c r="CK13" s="133">
        <f t="shared" si="10"/>
        <v>115</v>
      </c>
      <c r="CL13" s="133">
        <f t="shared" si="10"/>
        <v>124</v>
      </c>
      <c r="CM13" s="133">
        <f t="shared" si="10"/>
        <v>115</v>
      </c>
      <c r="CN13" s="133">
        <f t="shared" si="10"/>
        <v>124</v>
      </c>
      <c r="CO13" s="91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</row>
    <row r="14" outlineLevel="1">
      <c r="A14" s="137" t="s">
        <v>153</v>
      </c>
      <c r="B14" s="91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6"/>
      <c r="O14" s="91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6"/>
      <c r="AB14" s="91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6"/>
      <c r="AO14" s="91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91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91"/>
      <c r="BP14" s="135"/>
      <c r="BQ14" s="135"/>
      <c r="BR14" s="135"/>
      <c r="BS14" s="135"/>
      <c r="BT14" s="135"/>
      <c r="BU14" s="135"/>
      <c r="BV14" s="135"/>
      <c r="BW14" s="138"/>
      <c r="BX14" s="138">
        <v>51.5</v>
      </c>
      <c r="BY14" s="138">
        <v>148.9</v>
      </c>
      <c r="BZ14" s="138">
        <v>285.0</v>
      </c>
      <c r="CA14" s="139">
        <v>349.0</v>
      </c>
      <c r="CB14" s="91"/>
      <c r="CC14" s="138">
        <v>431.0</v>
      </c>
      <c r="CD14" s="138">
        <v>576.0</v>
      </c>
      <c r="CE14" s="135">
        <v>746.0</v>
      </c>
      <c r="CF14" s="135">
        <v>998.0</v>
      </c>
      <c r="CG14" s="135">
        <v>1037.0</v>
      </c>
      <c r="CH14" s="135">
        <v>1082.0</v>
      </c>
      <c r="CI14" s="135">
        <v>1138.0</v>
      </c>
      <c r="CJ14" s="135">
        <v>1192.0</v>
      </c>
      <c r="CK14" s="135">
        <v>1247.0</v>
      </c>
      <c r="CL14" s="135">
        <v>1342.0</v>
      </c>
      <c r="CM14" s="135">
        <v>1406.0</v>
      </c>
      <c r="CN14" s="135">
        <v>1487.0</v>
      </c>
      <c r="CO14" s="91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  <c r="CZ14" s="135"/>
      <c r="DA14" s="135"/>
    </row>
    <row r="15" outlineLevel="1">
      <c r="A15" s="137" t="s">
        <v>154</v>
      </c>
      <c r="B15" s="91"/>
      <c r="C15" s="124"/>
      <c r="D15" s="124"/>
      <c r="E15" s="124"/>
      <c r="F15" s="124" t="s">
        <v>149</v>
      </c>
      <c r="G15" s="124" t="s">
        <v>149</v>
      </c>
      <c r="H15" s="124" t="s">
        <v>149</v>
      </c>
      <c r="I15" s="124" t="s">
        <v>149</v>
      </c>
      <c r="J15" s="124" t="s">
        <v>149</v>
      </c>
      <c r="K15" s="124" t="s">
        <v>149</v>
      </c>
      <c r="L15" s="124" t="s">
        <v>149</v>
      </c>
      <c r="M15" s="124" t="s">
        <v>149</v>
      </c>
      <c r="N15" s="125" t="s">
        <v>149</v>
      </c>
      <c r="O15" s="91"/>
      <c r="P15" s="124" t="s">
        <v>149</v>
      </c>
      <c r="Q15" s="124" t="s">
        <v>149</v>
      </c>
      <c r="R15" s="124" t="s">
        <v>149</v>
      </c>
      <c r="S15" s="124" t="s">
        <v>149</v>
      </c>
      <c r="T15" s="124" t="s">
        <v>149</v>
      </c>
      <c r="U15" s="124" t="s">
        <v>149</v>
      </c>
      <c r="V15" s="124" t="s">
        <v>149</v>
      </c>
      <c r="W15" s="124" t="s">
        <v>149</v>
      </c>
      <c r="X15" s="124" t="s">
        <v>149</v>
      </c>
      <c r="Y15" s="124" t="s">
        <v>149</v>
      </c>
      <c r="Z15" s="124" t="s">
        <v>149</v>
      </c>
      <c r="AA15" s="125" t="s">
        <v>149</v>
      </c>
      <c r="AB15" s="91"/>
      <c r="AC15" s="124" t="s">
        <v>149</v>
      </c>
      <c r="AD15" s="124" t="s">
        <v>149</v>
      </c>
      <c r="AE15" s="124" t="s">
        <v>149</v>
      </c>
      <c r="AF15" s="124" t="s">
        <v>149</v>
      </c>
      <c r="AG15" s="124" t="s">
        <v>149</v>
      </c>
      <c r="AH15" s="124" t="s">
        <v>149</v>
      </c>
      <c r="AI15" s="124" t="s">
        <v>149</v>
      </c>
      <c r="AJ15" s="124" t="s">
        <v>149</v>
      </c>
      <c r="AK15" s="124" t="s">
        <v>149</v>
      </c>
      <c r="AL15" s="124" t="s">
        <v>149</v>
      </c>
      <c r="AM15" s="124" t="s">
        <v>149</v>
      </c>
      <c r="AN15" s="125" t="s">
        <v>149</v>
      </c>
      <c r="AO15" s="91"/>
      <c r="AP15" s="124" t="s">
        <v>149</v>
      </c>
      <c r="AQ15" s="124" t="s">
        <v>149</v>
      </c>
      <c r="AR15" s="124" t="s">
        <v>149</v>
      </c>
      <c r="AS15" s="124" t="s">
        <v>149</v>
      </c>
      <c r="AT15" s="124" t="s">
        <v>149</v>
      </c>
      <c r="AU15" s="124" t="s">
        <v>149</v>
      </c>
      <c r="AV15" s="124" t="s">
        <v>149</v>
      </c>
      <c r="AW15" s="124" t="s">
        <v>149</v>
      </c>
      <c r="AX15" s="124" t="s">
        <v>149</v>
      </c>
      <c r="AY15" s="124" t="s">
        <v>149</v>
      </c>
      <c r="AZ15" s="124" t="s">
        <v>149</v>
      </c>
      <c r="BA15" s="124" t="s">
        <v>149</v>
      </c>
      <c r="BB15" s="91"/>
      <c r="BC15" s="124" t="s">
        <v>149</v>
      </c>
      <c r="BD15" s="124" t="s">
        <v>149</v>
      </c>
      <c r="BE15" s="124" t="s">
        <v>149</v>
      </c>
      <c r="BF15" s="124" t="s">
        <v>149</v>
      </c>
      <c r="BG15" s="124" t="s">
        <v>149</v>
      </c>
      <c r="BH15" s="124" t="s">
        <v>149</v>
      </c>
      <c r="BI15" s="124" t="s">
        <v>149</v>
      </c>
      <c r="BJ15" s="124" t="s">
        <v>149</v>
      </c>
      <c r="BK15" s="124" t="s">
        <v>149</v>
      </c>
      <c r="BL15" s="124" t="s">
        <v>149</v>
      </c>
      <c r="BM15" s="124" t="s">
        <v>149</v>
      </c>
      <c r="BN15" s="124" t="s">
        <v>149</v>
      </c>
      <c r="BO15" s="91"/>
      <c r="BP15" s="135"/>
      <c r="BQ15" s="135"/>
      <c r="BR15" s="135"/>
      <c r="BS15" s="135"/>
      <c r="BT15" s="135"/>
      <c r="BU15" s="135"/>
      <c r="BV15" s="135"/>
      <c r="BW15" s="138"/>
      <c r="BX15" s="138">
        <f>BX14</f>
        <v>51.5</v>
      </c>
      <c r="BY15" s="138">
        <f t="shared" ref="BY15:CA15" si="11">BY14-BX14</f>
        <v>97.4</v>
      </c>
      <c r="BZ15" s="138">
        <f t="shared" si="11"/>
        <v>136.1</v>
      </c>
      <c r="CA15" s="138">
        <f t="shared" si="11"/>
        <v>64</v>
      </c>
      <c r="CB15" s="130"/>
      <c r="CC15" s="138">
        <f t="shared" ref="CC15:CN15" si="12">CC14-CB14</f>
        <v>431</v>
      </c>
      <c r="CD15" s="138">
        <f t="shared" si="12"/>
        <v>145</v>
      </c>
      <c r="CE15" s="138">
        <f t="shared" si="12"/>
        <v>170</v>
      </c>
      <c r="CF15" s="138">
        <f t="shared" si="12"/>
        <v>252</v>
      </c>
      <c r="CG15" s="138">
        <f t="shared" si="12"/>
        <v>39</v>
      </c>
      <c r="CH15" s="138">
        <f t="shared" si="12"/>
        <v>45</v>
      </c>
      <c r="CI15" s="138">
        <f t="shared" si="12"/>
        <v>56</v>
      </c>
      <c r="CJ15" s="138">
        <f t="shared" si="12"/>
        <v>54</v>
      </c>
      <c r="CK15" s="138">
        <f t="shared" si="12"/>
        <v>55</v>
      </c>
      <c r="CL15" s="138">
        <f t="shared" si="12"/>
        <v>95</v>
      </c>
      <c r="CM15" s="138">
        <f t="shared" si="12"/>
        <v>64</v>
      </c>
      <c r="CN15" s="138">
        <f t="shared" si="12"/>
        <v>81</v>
      </c>
      <c r="CO15" s="91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</row>
    <row r="16">
      <c r="A16" s="126" t="s">
        <v>155</v>
      </c>
      <c r="B16" s="91"/>
      <c r="C16" s="124"/>
      <c r="D16" s="124"/>
      <c r="E16" s="124"/>
      <c r="F16" s="124">
        <f t="shared" ref="F16:N16" si="13">F9</f>
        <v>3568</v>
      </c>
      <c r="G16" s="124">
        <f t="shared" si="13"/>
        <v>4054</v>
      </c>
      <c r="H16" s="124">
        <f t="shared" si="13"/>
        <v>3248</v>
      </c>
      <c r="I16" s="124">
        <f t="shared" si="13"/>
        <v>3867</v>
      </c>
      <c r="J16" s="124">
        <f t="shared" si="13"/>
        <v>4014</v>
      </c>
      <c r="K16" s="124">
        <f t="shared" si="13"/>
        <v>2832</v>
      </c>
      <c r="L16" s="124">
        <f t="shared" si="13"/>
        <v>4439</v>
      </c>
      <c r="M16" s="124">
        <f t="shared" si="13"/>
        <v>4153</v>
      </c>
      <c r="N16" s="125">
        <f t="shared" si="13"/>
        <v>4477</v>
      </c>
      <c r="O16" s="91"/>
      <c r="P16" s="124">
        <f t="shared" ref="P16:AA16" si="14">P9</f>
        <v>4451</v>
      </c>
      <c r="Q16" s="124">
        <f t="shared" si="14"/>
        <v>4508</v>
      </c>
      <c r="R16" s="124">
        <f t="shared" si="14"/>
        <v>3497</v>
      </c>
      <c r="S16" s="124">
        <f t="shared" si="14"/>
        <v>678</v>
      </c>
      <c r="T16" s="124">
        <f t="shared" si="14"/>
        <v>361</v>
      </c>
      <c r="U16" s="124">
        <f t="shared" si="14"/>
        <v>1845</v>
      </c>
      <c r="V16" s="124">
        <f t="shared" si="14"/>
        <v>3753</v>
      </c>
      <c r="W16" s="124">
        <f t="shared" si="14"/>
        <v>4174</v>
      </c>
      <c r="X16" s="124">
        <f t="shared" si="14"/>
        <v>2353</v>
      </c>
      <c r="Y16" s="124">
        <f t="shared" si="14"/>
        <v>2209</v>
      </c>
      <c r="Z16" s="124">
        <f t="shared" si="14"/>
        <v>2196</v>
      </c>
      <c r="AA16" s="125">
        <f t="shared" si="14"/>
        <v>2242</v>
      </c>
      <c r="AB16" s="91"/>
      <c r="AC16" s="124">
        <f t="shared" ref="AC16:AN16" si="15">AC9</f>
        <v>2135</v>
      </c>
      <c r="AD16" s="124">
        <f t="shared" si="15"/>
        <v>2074</v>
      </c>
      <c r="AE16" s="124">
        <f t="shared" si="15"/>
        <v>2623</v>
      </c>
      <c r="AF16" s="124">
        <f t="shared" si="15"/>
        <v>2562</v>
      </c>
      <c r="AG16" s="124">
        <f t="shared" si="15"/>
        <v>2253</v>
      </c>
      <c r="AH16" s="124">
        <f t="shared" si="15"/>
        <v>2676</v>
      </c>
      <c r="AI16" s="124">
        <f t="shared" si="15"/>
        <v>3610</v>
      </c>
      <c r="AJ16" s="124">
        <f t="shared" si="15"/>
        <v>3919</v>
      </c>
      <c r="AK16" s="124">
        <f t="shared" si="15"/>
        <v>3178</v>
      </c>
      <c r="AL16" s="124">
        <f t="shared" si="15"/>
        <v>3300</v>
      </c>
      <c r="AM16" s="124">
        <f t="shared" si="15"/>
        <v>3525</v>
      </c>
      <c r="AN16" s="125">
        <f t="shared" si="15"/>
        <v>3576</v>
      </c>
      <c r="AO16" s="91"/>
      <c r="AP16" s="124">
        <f t="shared" ref="AP16:BA16" si="16">AP9</f>
        <v>3789</v>
      </c>
      <c r="AQ16" s="124">
        <f t="shared" si="16"/>
        <v>3771</v>
      </c>
      <c r="AR16" s="124">
        <f t="shared" si="16"/>
        <v>4330</v>
      </c>
      <c r="AS16" s="124">
        <f t="shared" si="16"/>
        <v>4440</v>
      </c>
      <c r="AT16" s="124">
        <f t="shared" si="16"/>
        <v>3513</v>
      </c>
      <c r="AU16" s="124">
        <f t="shared" si="16"/>
        <v>3527</v>
      </c>
      <c r="AV16" s="124">
        <f t="shared" si="16"/>
        <v>4006</v>
      </c>
      <c r="AW16" s="124">
        <f t="shared" si="16"/>
        <v>4561</v>
      </c>
      <c r="AX16" s="124">
        <f t="shared" si="16"/>
        <v>3486</v>
      </c>
      <c r="AY16" s="124">
        <f t="shared" si="16"/>
        <v>4456</v>
      </c>
      <c r="AZ16" s="124">
        <f t="shared" si="16"/>
        <v>4673</v>
      </c>
      <c r="BA16" s="124">
        <f t="shared" si="16"/>
        <v>4631</v>
      </c>
      <c r="BB16" s="91"/>
      <c r="BC16" s="124">
        <f t="shared" ref="BC16:BN16" si="17">BC9</f>
        <v>4545</v>
      </c>
      <c r="BD16" s="124">
        <f t="shared" si="17"/>
        <v>4748</v>
      </c>
      <c r="BE16" s="124">
        <f t="shared" si="17"/>
        <v>4291</v>
      </c>
      <c r="BF16" s="124">
        <f t="shared" si="17"/>
        <v>4212</v>
      </c>
      <c r="BG16" s="124">
        <f t="shared" si="17"/>
        <v>4214</v>
      </c>
      <c r="BH16" s="124">
        <f t="shared" si="17"/>
        <v>3559</v>
      </c>
      <c r="BI16" s="124">
        <f t="shared" si="17"/>
        <v>4559</v>
      </c>
      <c r="BJ16" s="124">
        <f t="shared" si="17"/>
        <v>4361</v>
      </c>
      <c r="BK16" s="124">
        <f t="shared" si="17"/>
        <v>4132</v>
      </c>
      <c r="BL16" s="124">
        <f t="shared" si="17"/>
        <v>4551</v>
      </c>
      <c r="BM16" s="124">
        <f t="shared" si="17"/>
        <v>4441</v>
      </c>
      <c r="BN16" s="124">
        <f t="shared" si="17"/>
        <v>5034</v>
      </c>
      <c r="BO16" s="91"/>
      <c r="BP16" s="124" t="s">
        <v>149</v>
      </c>
      <c r="BQ16" s="124" t="s">
        <v>149</v>
      </c>
      <c r="BR16" s="124" t="s">
        <v>149</v>
      </c>
      <c r="BS16" s="124" t="s">
        <v>149</v>
      </c>
      <c r="BT16" s="124" t="s">
        <v>149</v>
      </c>
      <c r="BU16" s="124" t="s">
        <v>149</v>
      </c>
      <c r="BV16" s="124" t="s">
        <v>149</v>
      </c>
      <c r="BW16" s="124">
        <v>22.0</v>
      </c>
      <c r="BX16" s="124">
        <f t="shared" ref="BX16:CA16" si="18">BX11-BW11</f>
        <v>169</v>
      </c>
      <c r="BY16" s="124">
        <f t="shared" si="18"/>
        <v>246</v>
      </c>
      <c r="BZ16" s="124">
        <f t="shared" si="18"/>
        <v>241</v>
      </c>
      <c r="CA16" s="124">
        <f t="shared" si="18"/>
        <v>190</v>
      </c>
      <c r="CB16" s="91"/>
      <c r="CC16" s="124">
        <f>CC11-CA11</f>
        <v>199</v>
      </c>
      <c r="CD16" s="124">
        <f t="shared" ref="CD16:CN16" si="19">CD11-CC11</f>
        <v>251</v>
      </c>
      <c r="CE16" s="124">
        <f t="shared" si="19"/>
        <v>288</v>
      </c>
      <c r="CF16" s="124">
        <f t="shared" si="19"/>
        <v>275</v>
      </c>
      <c r="CG16" s="124">
        <f t="shared" si="19"/>
        <v>331</v>
      </c>
      <c r="CH16" s="124">
        <f t="shared" si="19"/>
        <v>219</v>
      </c>
      <c r="CI16" s="124">
        <f t="shared" si="19"/>
        <v>218</v>
      </c>
      <c r="CJ16" s="124">
        <f t="shared" si="19"/>
        <v>185</v>
      </c>
      <c r="CK16" s="124">
        <f t="shared" si="19"/>
        <v>171</v>
      </c>
      <c r="CL16" s="124">
        <f t="shared" si="19"/>
        <v>219</v>
      </c>
      <c r="CM16" s="124">
        <f t="shared" si="19"/>
        <v>181</v>
      </c>
      <c r="CN16" s="124">
        <f t="shared" si="19"/>
        <v>206</v>
      </c>
      <c r="CO16" s="91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</row>
    <row r="17">
      <c r="A17" s="126" t="s">
        <v>156</v>
      </c>
      <c r="B17" s="91"/>
      <c r="C17" s="140"/>
      <c r="D17" s="140"/>
      <c r="E17" s="140"/>
      <c r="F17" s="140">
        <v>4.5</v>
      </c>
      <c r="G17" s="140">
        <v>4.5</v>
      </c>
      <c r="H17" s="140">
        <v>4.5</v>
      </c>
      <c r="I17" s="140">
        <v>4.5</v>
      </c>
      <c r="J17" s="140">
        <v>4.5</v>
      </c>
      <c r="K17" s="140">
        <v>4.5</v>
      </c>
      <c r="L17" s="140">
        <v>4.5</v>
      </c>
      <c r="M17" s="140">
        <v>4.5</v>
      </c>
      <c r="N17" s="141">
        <v>4.5</v>
      </c>
      <c r="O17" s="142"/>
      <c r="P17" s="140">
        <v>4.5</v>
      </c>
      <c r="Q17" s="140">
        <v>4.5</v>
      </c>
      <c r="R17" s="140">
        <v>4.5</v>
      </c>
      <c r="S17" s="140">
        <v>4.5</v>
      </c>
      <c r="T17" s="140">
        <v>4.5</v>
      </c>
      <c r="U17" s="140">
        <v>4.5</v>
      </c>
      <c r="V17" s="140">
        <v>4.5</v>
      </c>
      <c r="W17" s="140">
        <v>4.5</v>
      </c>
      <c r="X17" s="140">
        <v>4.5</v>
      </c>
      <c r="Y17" s="140">
        <v>4.5</v>
      </c>
      <c r="Z17" s="140">
        <v>4.5</v>
      </c>
      <c r="AA17" s="141">
        <v>4.5</v>
      </c>
      <c r="AB17" s="142"/>
      <c r="AC17" s="140">
        <v>4.5</v>
      </c>
      <c r="AD17" s="140">
        <v>4.5</v>
      </c>
      <c r="AE17" s="140">
        <v>4.5</v>
      </c>
      <c r="AF17" s="140">
        <v>4.5</v>
      </c>
      <c r="AG17" s="140">
        <v>4.5</v>
      </c>
      <c r="AH17" s="140">
        <v>4.5</v>
      </c>
      <c r="AI17" s="140">
        <v>4.5</v>
      </c>
      <c r="AJ17" s="140">
        <v>4.5</v>
      </c>
      <c r="AK17" s="140">
        <v>4.5</v>
      </c>
      <c r="AL17" s="140">
        <v>4.5</v>
      </c>
      <c r="AM17" s="140">
        <v>4.5</v>
      </c>
      <c r="AN17" s="141">
        <v>4.5</v>
      </c>
      <c r="AO17" s="91"/>
      <c r="AP17" s="140">
        <v>4.5</v>
      </c>
      <c r="AQ17" s="140">
        <v>4.5</v>
      </c>
      <c r="AR17" s="140">
        <v>4.5</v>
      </c>
      <c r="AS17" s="140">
        <v>4.5</v>
      </c>
      <c r="AT17" s="140">
        <v>4.5</v>
      </c>
      <c r="AU17" s="140">
        <v>4.5</v>
      </c>
      <c r="AV17" s="140">
        <v>4.5</v>
      </c>
      <c r="AW17" s="140">
        <v>4.5</v>
      </c>
      <c r="AX17" s="140">
        <v>4.5</v>
      </c>
      <c r="AY17" s="140">
        <v>6.1</v>
      </c>
      <c r="AZ17" s="140">
        <v>6.1</v>
      </c>
      <c r="BA17" s="140">
        <v>6.1</v>
      </c>
      <c r="BB17" s="91"/>
      <c r="BC17" s="140">
        <v>4.5</v>
      </c>
      <c r="BD17" s="140">
        <v>4.5</v>
      </c>
      <c r="BE17" s="140">
        <v>4.5</v>
      </c>
      <c r="BF17" s="140">
        <v>4.5</v>
      </c>
      <c r="BG17" s="140">
        <v>4.5</v>
      </c>
      <c r="BH17" s="140">
        <v>4.5</v>
      </c>
      <c r="BI17" s="140">
        <v>4.5</v>
      </c>
      <c r="BJ17" s="140">
        <v>5.3</v>
      </c>
      <c r="BK17" s="140">
        <v>5.3</v>
      </c>
      <c r="BL17" s="140">
        <v>5.3</v>
      </c>
      <c r="BM17" s="140">
        <v>5.3</v>
      </c>
      <c r="BN17" s="140">
        <v>5.3</v>
      </c>
      <c r="BO17" s="91"/>
      <c r="BP17" s="124">
        <f t="shared" ref="BP17:BV17" si="20">BP10</f>
        <v>5036</v>
      </c>
      <c r="BQ17" s="124">
        <f t="shared" si="20"/>
        <v>5474</v>
      </c>
      <c r="BR17" s="124">
        <f t="shared" si="20"/>
        <v>4306</v>
      </c>
      <c r="BS17" s="124">
        <f t="shared" si="20"/>
        <v>5014</v>
      </c>
      <c r="BT17" s="124">
        <f t="shared" si="20"/>
        <v>4400</v>
      </c>
      <c r="BU17" s="124">
        <f t="shared" si="20"/>
        <v>3873</v>
      </c>
      <c r="BV17" s="124">
        <f t="shared" si="20"/>
        <v>5151</v>
      </c>
      <c r="BW17" s="124">
        <f t="shared" ref="BW17:CA17" si="21">BW10+BW16</f>
        <v>5048</v>
      </c>
      <c r="BX17" s="124">
        <f t="shared" si="21"/>
        <v>4646</v>
      </c>
      <c r="BY17" s="124">
        <f t="shared" si="21"/>
        <v>4990</v>
      </c>
      <c r="BZ17" s="124">
        <f t="shared" si="21"/>
        <v>4529</v>
      </c>
      <c r="CA17" s="124">
        <f t="shared" si="21"/>
        <v>5328</v>
      </c>
      <c r="CB17" s="91"/>
      <c r="CC17" s="124">
        <f t="shared" ref="CC17:CN17" si="22">CC10+CC16</f>
        <v>5185</v>
      </c>
      <c r="CD17" s="124">
        <f t="shared" si="22"/>
        <v>5107</v>
      </c>
      <c r="CE17" s="124">
        <f t="shared" si="22"/>
        <v>5418</v>
      </c>
      <c r="CF17" s="124">
        <f t="shared" si="22"/>
        <v>5031</v>
      </c>
      <c r="CG17" s="124">
        <f t="shared" si="22"/>
        <v>4937</v>
      </c>
      <c r="CH17" s="124">
        <f t="shared" si="22"/>
        <v>3592</v>
      </c>
      <c r="CI17" s="124">
        <f t="shared" si="22"/>
        <v>4474</v>
      </c>
      <c r="CJ17" s="124">
        <f t="shared" si="22"/>
        <v>4753</v>
      </c>
      <c r="CK17" s="124">
        <f t="shared" si="22"/>
        <v>3910</v>
      </c>
      <c r="CL17" s="124">
        <f t="shared" si="22"/>
        <v>4605</v>
      </c>
      <c r="CM17" s="124">
        <f t="shared" si="22"/>
        <v>4650</v>
      </c>
      <c r="CN17" s="124">
        <f t="shared" si="22"/>
        <v>4928</v>
      </c>
      <c r="CO17" s="91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</row>
    <row r="18">
      <c r="A18" s="126" t="s">
        <v>157</v>
      </c>
      <c r="B18" s="91"/>
      <c r="C18" s="143"/>
      <c r="D18" s="143"/>
      <c r="E18" s="143"/>
      <c r="F18" s="143">
        <f t="shared" ref="F18:N18" si="23">F16*F17</f>
        <v>16056</v>
      </c>
      <c r="G18" s="143">
        <f t="shared" si="23"/>
        <v>18243</v>
      </c>
      <c r="H18" s="143">
        <f t="shared" si="23"/>
        <v>14616</v>
      </c>
      <c r="I18" s="143">
        <f t="shared" si="23"/>
        <v>17401.5</v>
      </c>
      <c r="J18" s="143">
        <f t="shared" si="23"/>
        <v>18063</v>
      </c>
      <c r="K18" s="143">
        <f t="shared" si="23"/>
        <v>12744</v>
      </c>
      <c r="L18" s="143">
        <f t="shared" si="23"/>
        <v>19975.5</v>
      </c>
      <c r="M18" s="143">
        <f t="shared" si="23"/>
        <v>18688.5</v>
      </c>
      <c r="N18" s="144">
        <f t="shared" si="23"/>
        <v>20146.5</v>
      </c>
      <c r="O18" s="145"/>
      <c r="P18" s="146">
        <f t="shared" ref="P18:AA18" si="24">P16*P17</f>
        <v>20029.5</v>
      </c>
      <c r="Q18" s="146">
        <f t="shared" si="24"/>
        <v>20286</v>
      </c>
      <c r="R18" s="146">
        <f t="shared" si="24"/>
        <v>15736.5</v>
      </c>
      <c r="S18" s="146">
        <f t="shared" si="24"/>
        <v>3051</v>
      </c>
      <c r="T18" s="146">
        <f t="shared" si="24"/>
        <v>1624.5</v>
      </c>
      <c r="U18" s="146">
        <f t="shared" si="24"/>
        <v>8302.5</v>
      </c>
      <c r="V18" s="146">
        <f t="shared" si="24"/>
        <v>16888.5</v>
      </c>
      <c r="W18" s="146">
        <f t="shared" si="24"/>
        <v>18783</v>
      </c>
      <c r="X18" s="146">
        <f t="shared" si="24"/>
        <v>10588.5</v>
      </c>
      <c r="Y18" s="146">
        <f t="shared" si="24"/>
        <v>9940.5</v>
      </c>
      <c r="Z18" s="146">
        <f t="shared" si="24"/>
        <v>9882</v>
      </c>
      <c r="AA18" s="147">
        <f t="shared" si="24"/>
        <v>10089</v>
      </c>
      <c r="AB18" s="145"/>
      <c r="AC18" s="143">
        <f t="shared" ref="AC18:AN18" si="25">AC16*AC17</f>
        <v>9607.5</v>
      </c>
      <c r="AD18" s="143">
        <f t="shared" si="25"/>
        <v>9333</v>
      </c>
      <c r="AE18" s="143">
        <f t="shared" si="25"/>
        <v>11803.5</v>
      </c>
      <c r="AF18" s="143">
        <f t="shared" si="25"/>
        <v>11529</v>
      </c>
      <c r="AG18" s="143">
        <f t="shared" si="25"/>
        <v>10138.5</v>
      </c>
      <c r="AH18" s="143">
        <f t="shared" si="25"/>
        <v>12042</v>
      </c>
      <c r="AI18" s="143">
        <f t="shared" si="25"/>
        <v>16245</v>
      </c>
      <c r="AJ18" s="143">
        <f t="shared" si="25"/>
        <v>17635.5</v>
      </c>
      <c r="AK18" s="143">
        <f t="shared" si="25"/>
        <v>14301</v>
      </c>
      <c r="AL18" s="143">
        <f t="shared" si="25"/>
        <v>14850</v>
      </c>
      <c r="AM18" s="143">
        <f t="shared" si="25"/>
        <v>15862.5</v>
      </c>
      <c r="AN18" s="144">
        <f t="shared" si="25"/>
        <v>16092</v>
      </c>
      <c r="AO18" s="148"/>
      <c r="AP18" s="146">
        <f t="shared" ref="AP18:BA18" si="26">AP16*AP17</f>
        <v>17050.5</v>
      </c>
      <c r="AQ18" s="146">
        <f t="shared" si="26"/>
        <v>16969.5</v>
      </c>
      <c r="AR18" s="146">
        <f t="shared" si="26"/>
        <v>19485</v>
      </c>
      <c r="AS18" s="146">
        <f t="shared" si="26"/>
        <v>19980</v>
      </c>
      <c r="AT18" s="146">
        <f t="shared" si="26"/>
        <v>15808.5</v>
      </c>
      <c r="AU18" s="146">
        <f t="shared" si="26"/>
        <v>15871.5</v>
      </c>
      <c r="AV18" s="146">
        <f t="shared" si="26"/>
        <v>18027</v>
      </c>
      <c r="AW18" s="146">
        <f t="shared" si="26"/>
        <v>20524.5</v>
      </c>
      <c r="AX18" s="146">
        <f t="shared" si="26"/>
        <v>15687</v>
      </c>
      <c r="AY18" s="146">
        <f t="shared" si="26"/>
        <v>27181.6</v>
      </c>
      <c r="AZ18" s="146">
        <f t="shared" si="26"/>
        <v>28505.3</v>
      </c>
      <c r="BA18" s="146">
        <f t="shared" si="26"/>
        <v>28249.1</v>
      </c>
      <c r="BB18" s="148"/>
      <c r="BC18" s="146">
        <f t="shared" ref="BC18:BN18" si="27">BC16*BC17</f>
        <v>20452.5</v>
      </c>
      <c r="BD18" s="146">
        <f t="shared" si="27"/>
        <v>21366</v>
      </c>
      <c r="BE18" s="146">
        <f t="shared" si="27"/>
        <v>19309.5</v>
      </c>
      <c r="BF18" s="146">
        <f t="shared" si="27"/>
        <v>18954</v>
      </c>
      <c r="BG18" s="146">
        <f t="shared" si="27"/>
        <v>18963</v>
      </c>
      <c r="BH18" s="146">
        <f t="shared" si="27"/>
        <v>16015.5</v>
      </c>
      <c r="BI18" s="146">
        <f t="shared" si="27"/>
        <v>20515.5</v>
      </c>
      <c r="BJ18" s="146">
        <f t="shared" si="27"/>
        <v>23113.3</v>
      </c>
      <c r="BK18" s="146">
        <f t="shared" si="27"/>
        <v>21899.6</v>
      </c>
      <c r="BL18" s="146">
        <f t="shared" si="27"/>
        <v>24120.3</v>
      </c>
      <c r="BM18" s="146">
        <f t="shared" si="27"/>
        <v>23537.3</v>
      </c>
      <c r="BN18" s="146">
        <f t="shared" si="27"/>
        <v>26680.2</v>
      </c>
      <c r="BO18" s="148"/>
      <c r="BP18" s="140">
        <v>4.65</v>
      </c>
      <c r="BQ18" s="140">
        <v>4.65</v>
      </c>
      <c r="BR18" s="140">
        <v>4.65</v>
      </c>
      <c r="BS18" s="140">
        <v>4.65</v>
      </c>
      <c r="BT18" s="140">
        <v>4.65</v>
      </c>
      <c r="BU18" s="140">
        <v>6.0</v>
      </c>
      <c r="BV18" s="140">
        <v>7.5</v>
      </c>
      <c r="BW18" s="140">
        <v>7.5</v>
      </c>
      <c r="BX18" s="140">
        <v>5.0</v>
      </c>
      <c r="BY18" s="140">
        <v>5.5</v>
      </c>
      <c r="BZ18" s="140">
        <v>5.5</v>
      </c>
      <c r="CA18" s="140">
        <v>5.5</v>
      </c>
      <c r="CB18" s="91"/>
      <c r="CC18" s="140">
        <v>6.0</v>
      </c>
      <c r="CD18" s="140">
        <v>6.0</v>
      </c>
      <c r="CE18" s="140">
        <v>6.1</v>
      </c>
      <c r="CF18" s="140">
        <v>6.1</v>
      </c>
      <c r="CG18" s="140">
        <v>6.1</v>
      </c>
      <c r="CH18" s="140">
        <v>6.1</v>
      </c>
      <c r="CI18" s="140">
        <v>6.1</v>
      </c>
      <c r="CJ18" s="140">
        <v>6.1</v>
      </c>
      <c r="CK18" s="140">
        <v>6.1</v>
      </c>
      <c r="CL18" s="140">
        <v>6.1</v>
      </c>
      <c r="CM18" s="140">
        <v>6.1</v>
      </c>
      <c r="CN18" s="140">
        <v>6.1</v>
      </c>
      <c r="CO18" s="148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</row>
    <row r="19">
      <c r="A19" s="114" t="s">
        <v>158</v>
      </c>
      <c r="B19" s="148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49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150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150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146">
        <f t="shared" ref="BP19:BS19" si="28">BP17*BP18</f>
        <v>23417.4</v>
      </c>
      <c r="BQ19" s="146">
        <f t="shared" si="28"/>
        <v>25454.1</v>
      </c>
      <c r="BR19" s="146">
        <f t="shared" si="28"/>
        <v>20022.9</v>
      </c>
      <c r="BS19" s="146">
        <f t="shared" si="28"/>
        <v>23315.1</v>
      </c>
      <c r="BT19" s="146">
        <v>16549.0</v>
      </c>
      <c r="BU19" s="146">
        <f t="shared" ref="BU19:BV19" si="29">BU17*BU18</f>
        <v>23238</v>
      </c>
      <c r="BV19" s="146">
        <f t="shared" si="29"/>
        <v>38632.5</v>
      </c>
      <c r="BW19" s="146">
        <f t="shared" ref="BW19:CA19" si="30">BW10*BW18</f>
        <v>37695</v>
      </c>
      <c r="BX19" s="146">
        <f t="shared" si="30"/>
        <v>22385</v>
      </c>
      <c r="BY19" s="146">
        <f t="shared" si="30"/>
        <v>26092</v>
      </c>
      <c r="BZ19" s="146">
        <f t="shared" si="30"/>
        <v>23584</v>
      </c>
      <c r="CA19" s="146">
        <f t="shared" si="30"/>
        <v>28259</v>
      </c>
      <c r="CB19" s="148"/>
      <c r="CC19" s="146">
        <f t="shared" ref="CC19:CD19" si="31">CC10*CC18</f>
        <v>29916</v>
      </c>
      <c r="CD19" s="146">
        <f t="shared" si="31"/>
        <v>29136</v>
      </c>
      <c r="CE19" s="146">
        <f t="shared" ref="CE19:CN19" si="32">CE17*CE18</f>
        <v>33049.8</v>
      </c>
      <c r="CF19" s="146">
        <f t="shared" si="32"/>
        <v>30689.1</v>
      </c>
      <c r="CG19" s="146">
        <f t="shared" si="32"/>
        <v>30115.7</v>
      </c>
      <c r="CH19" s="146">
        <f t="shared" si="32"/>
        <v>21911.2</v>
      </c>
      <c r="CI19" s="146">
        <f t="shared" si="32"/>
        <v>27291.4</v>
      </c>
      <c r="CJ19" s="146">
        <f t="shared" si="32"/>
        <v>28993.3</v>
      </c>
      <c r="CK19" s="146">
        <f t="shared" si="32"/>
        <v>23851</v>
      </c>
      <c r="CL19" s="146">
        <f t="shared" si="32"/>
        <v>28090.5</v>
      </c>
      <c r="CM19" s="146">
        <f t="shared" si="32"/>
        <v>28365</v>
      </c>
      <c r="CN19" s="146">
        <f t="shared" si="32"/>
        <v>30060.8</v>
      </c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</row>
    <row r="20">
      <c r="A20" s="126" t="s">
        <v>159</v>
      </c>
      <c r="B20" s="9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49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150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150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151" t="s">
        <v>160</v>
      </c>
      <c r="CA20" s="91"/>
      <c r="CB20" s="91"/>
      <c r="CC20" s="91">
        <v>5185.0</v>
      </c>
      <c r="CD20" s="91">
        <v>5107.0</v>
      </c>
      <c r="CE20" s="91">
        <v>5418.0</v>
      </c>
      <c r="CF20" s="91">
        <v>5031.0</v>
      </c>
      <c r="CG20" s="91">
        <v>4937.0</v>
      </c>
      <c r="CH20" s="91">
        <v>3592.0</v>
      </c>
      <c r="CI20" s="91">
        <v>4474.0</v>
      </c>
      <c r="CJ20" s="91">
        <v>4753.0</v>
      </c>
      <c r="CK20" s="91">
        <v>3910.0</v>
      </c>
      <c r="CL20" s="91">
        <v>4605.0</v>
      </c>
      <c r="CM20" s="91">
        <v>4529.0</v>
      </c>
      <c r="CN20" s="91">
        <v>5328.0</v>
      </c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</row>
    <row r="21" ht="15.75" customHeight="1">
      <c r="A21" s="11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15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150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150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</row>
    <row r="22" ht="15.75" customHeight="1">
      <c r="A22" s="115" t="s">
        <v>161</v>
      </c>
      <c r="B22" s="91"/>
      <c r="C22" s="116"/>
      <c r="D22" s="116"/>
      <c r="E22" s="116"/>
      <c r="F22" s="119"/>
      <c r="G22" s="119">
        <v>13645.0</v>
      </c>
      <c r="H22" s="119">
        <v>13737.0</v>
      </c>
      <c r="I22" s="119">
        <v>13876.0</v>
      </c>
      <c r="J22" s="119">
        <v>14025.0</v>
      </c>
      <c r="K22" s="119">
        <v>14148.0</v>
      </c>
      <c r="L22" s="119">
        <v>14271.0</v>
      </c>
      <c r="M22" s="119">
        <v>14344.0</v>
      </c>
      <c r="N22" s="120">
        <v>14510.0</v>
      </c>
      <c r="O22" s="91"/>
      <c r="P22" s="117">
        <v>14592.0</v>
      </c>
      <c r="Q22" s="117">
        <v>14700.0</v>
      </c>
      <c r="R22" s="117">
        <v>14751.0</v>
      </c>
      <c r="S22" s="117">
        <v>14752.0</v>
      </c>
      <c r="T22" s="117">
        <v>14755.0</v>
      </c>
      <c r="U22" s="117">
        <v>14788.0</v>
      </c>
      <c r="V22" s="117">
        <v>14906.0</v>
      </c>
      <c r="W22" s="117">
        <v>15045.0</v>
      </c>
      <c r="X22" s="117">
        <v>15099.0</v>
      </c>
      <c r="Y22" s="117">
        <v>15116.0</v>
      </c>
      <c r="Z22" s="117">
        <v>15141.0</v>
      </c>
      <c r="AA22" s="118">
        <v>15179.0</v>
      </c>
      <c r="AB22" s="91"/>
      <c r="AC22" s="119">
        <v>15199.0</v>
      </c>
      <c r="AD22" s="119">
        <v>15221.0</v>
      </c>
      <c r="AE22" s="119">
        <v>15255.0</v>
      </c>
      <c r="AF22" s="119">
        <v>15320.0</v>
      </c>
      <c r="AG22" s="119">
        <v>15373.0</v>
      </c>
      <c r="AH22" s="119">
        <v>15427.0</v>
      </c>
      <c r="AI22" s="119">
        <v>15573.0</v>
      </c>
      <c r="AJ22" s="119">
        <v>15702.0</v>
      </c>
      <c r="AK22" s="119">
        <v>15778.0</v>
      </c>
      <c r="AL22" s="119">
        <v>15863.0</v>
      </c>
      <c r="AM22" s="119">
        <v>15935.0</v>
      </c>
      <c r="AN22" s="120">
        <v>16008.0</v>
      </c>
      <c r="AO22" s="91"/>
      <c r="AP22" s="119">
        <v>16076.0</v>
      </c>
      <c r="AQ22" s="119">
        <v>16168.0</v>
      </c>
      <c r="AR22" s="119">
        <v>16276.0</v>
      </c>
      <c r="AS22" s="119">
        <v>16400.0</v>
      </c>
      <c r="AT22" s="119">
        <v>16491.0</v>
      </c>
      <c r="AU22" s="119">
        <v>16580.0</v>
      </c>
      <c r="AV22" s="119">
        <v>16716.0</v>
      </c>
      <c r="AW22" s="119">
        <v>16860.0</v>
      </c>
      <c r="AX22" s="119">
        <v>16956.0</v>
      </c>
      <c r="AY22" s="119">
        <v>17114.0</v>
      </c>
      <c r="AZ22" s="119">
        <v>17222.0</v>
      </c>
      <c r="BA22" s="119">
        <v>17328.0</v>
      </c>
      <c r="BB22" s="91"/>
      <c r="BC22" s="119">
        <v>17435.0</v>
      </c>
      <c r="BD22" s="121">
        <v>17562.0</v>
      </c>
      <c r="BE22" s="121">
        <v>17665.0</v>
      </c>
      <c r="BF22" s="121">
        <v>17787.0</v>
      </c>
      <c r="BG22" s="121">
        <v>17903.0</v>
      </c>
      <c r="BH22" s="121">
        <v>17989.0</v>
      </c>
      <c r="BI22" s="121">
        <v>18139.0</v>
      </c>
      <c r="BJ22" s="121">
        <v>18277.0</v>
      </c>
      <c r="BK22" s="121">
        <v>18374.0</v>
      </c>
      <c r="BL22" s="121">
        <v>18482.0</v>
      </c>
      <c r="BM22" s="121">
        <v>18566.0</v>
      </c>
      <c r="BN22" s="122">
        <v>18687.0</v>
      </c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148"/>
      <c r="CP22" s="117"/>
      <c r="CQ22" s="117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</row>
    <row r="23" ht="15.75" customHeight="1">
      <c r="A23" s="126" t="s">
        <v>162</v>
      </c>
      <c r="B23" s="91"/>
      <c r="C23" s="124"/>
      <c r="D23" s="124"/>
      <c r="E23" s="124"/>
      <c r="F23" s="124"/>
      <c r="G23" s="124"/>
      <c r="H23" s="124">
        <f t="shared" ref="H23:N23" si="33">H22-G22</f>
        <v>92</v>
      </c>
      <c r="I23" s="124">
        <f t="shared" si="33"/>
        <v>139</v>
      </c>
      <c r="J23" s="124">
        <f t="shared" si="33"/>
        <v>149</v>
      </c>
      <c r="K23" s="124">
        <f t="shared" si="33"/>
        <v>123</v>
      </c>
      <c r="L23" s="124">
        <f t="shared" si="33"/>
        <v>123</v>
      </c>
      <c r="M23" s="124">
        <f t="shared" si="33"/>
        <v>73</v>
      </c>
      <c r="N23" s="125">
        <f t="shared" si="33"/>
        <v>166</v>
      </c>
      <c r="O23" s="91"/>
      <c r="P23" s="124">
        <f>P22-N22</f>
        <v>82</v>
      </c>
      <c r="Q23" s="124">
        <f t="shared" ref="Q23:AA23" si="34">Q22-P22</f>
        <v>108</v>
      </c>
      <c r="R23" s="124">
        <f t="shared" si="34"/>
        <v>51</v>
      </c>
      <c r="S23" s="124">
        <f t="shared" si="34"/>
        <v>1</v>
      </c>
      <c r="T23" s="124">
        <f t="shared" si="34"/>
        <v>3</v>
      </c>
      <c r="U23" s="124">
        <f t="shared" si="34"/>
        <v>33</v>
      </c>
      <c r="V23" s="124">
        <f t="shared" si="34"/>
        <v>118</v>
      </c>
      <c r="W23" s="124">
        <f t="shared" si="34"/>
        <v>139</v>
      </c>
      <c r="X23" s="124">
        <f t="shared" si="34"/>
        <v>54</v>
      </c>
      <c r="Y23" s="124">
        <f t="shared" si="34"/>
        <v>17</v>
      </c>
      <c r="Z23" s="124">
        <f t="shared" si="34"/>
        <v>25</v>
      </c>
      <c r="AA23" s="125">
        <f t="shared" si="34"/>
        <v>38</v>
      </c>
      <c r="AB23" s="91"/>
      <c r="AC23" s="124">
        <f>AC22-AA22</f>
        <v>20</v>
      </c>
      <c r="AD23" s="124">
        <f t="shared" ref="AD23:AN23" si="35">AD22-AC22</f>
        <v>22</v>
      </c>
      <c r="AE23" s="124">
        <f t="shared" si="35"/>
        <v>34</v>
      </c>
      <c r="AF23" s="124">
        <f t="shared" si="35"/>
        <v>65</v>
      </c>
      <c r="AG23" s="124">
        <f t="shared" si="35"/>
        <v>53</v>
      </c>
      <c r="AH23" s="124">
        <f t="shared" si="35"/>
        <v>54</v>
      </c>
      <c r="AI23" s="124">
        <f t="shared" si="35"/>
        <v>146</v>
      </c>
      <c r="AJ23" s="124">
        <f t="shared" si="35"/>
        <v>129</v>
      </c>
      <c r="AK23" s="124">
        <f t="shared" si="35"/>
        <v>76</v>
      </c>
      <c r="AL23" s="124">
        <f t="shared" si="35"/>
        <v>85</v>
      </c>
      <c r="AM23" s="124">
        <f t="shared" si="35"/>
        <v>72</v>
      </c>
      <c r="AN23" s="125">
        <f t="shared" si="35"/>
        <v>73</v>
      </c>
      <c r="AO23" s="91"/>
      <c r="AP23" s="124">
        <f>AP22-AN22</f>
        <v>68</v>
      </c>
      <c r="AQ23" s="124">
        <f t="shared" ref="AQ23:BA23" si="36">AQ22-AP22</f>
        <v>92</v>
      </c>
      <c r="AR23" s="124">
        <f t="shared" si="36"/>
        <v>108</v>
      </c>
      <c r="AS23" s="124">
        <f t="shared" si="36"/>
        <v>124</v>
      </c>
      <c r="AT23" s="124">
        <f t="shared" si="36"/>
        <v>91</v>
      </c>
      <c r="AU23" s="124">
        <f t="shared" si="36"/>
        <v>89</v>
      </c>
      <c r="AV23" s="124">
        <f t="shared" si="36"/>
        <v>136</v>
      </c>
      <c r="AW23" s="124">
        <f t="shared" si="36"/>
        <v>144</v>
      </c>
      <c r="AX23" s="124">
        <f t="shared" si="36"/>
        <v>96</v>
      </c>
      <c r="AY23" s="124">
        <f t="shared" si="36"/>
        <v>158</v>
      </c>
      <c r="AZ23" s="124">
        <f t="shared" si="36"/>
        <v>108</v>
      </c>
      <c r="BA23" s="124">
        <f t="shared" si="36"/>
        <v>106</v>
      </c>
      <c r="BB23" s="91"/>
      <c r="BC23" s="124">
        <f>BC22-BA22</f>
        <v>107</v>
      </c>
      <c r="BD23" s="124">
        <f t="shared" ref="BD23:BN23" si="37">BD22-BC22</f>
        <v>127</v>
      </c>
      <c r="BE23" s="124">
        <f t="shared" si="37"/>
        <v>103</v>
      </c>
      <c r="BF23" s="124">
        <f t="shared" si="37"/>
        <v>122</v>
      </c>
      <c r="BG23" s="124">
        <f t="shared" si="37"/>
        <v>116</v>
      </c>
      <c r="BH23" s="124">
        <f t="shared" si="37"/>
        <v>86</v>
      </c>
      <c r="BI23" s="124">
        <f t="shared" si="37"/>
        <v>150</v>
      </c>
      <c r="BJ23" s="124">
        <f t="shared" si="37"/>
        <v>138</v>
      </c>
      <c r="BK23" s="124">
        <f t="shared" si="37"/>
        <v>97</v>
      </c>
      <c r="BL23" s="124">
        <f t="shared" si="37"/>
        <v>108</v>
      </c>
      <c r="BM23" s="124">
        <f t="shared" si="37"/>
        <v>84</v>
      </c>
      <c r="BN23" s="124">
        <f t="shared" si="37"/>
        <v>121</v>
      </c>
      <c r="BO23" s="91"/>
      <c r="BP23" s="121">
        <v>18781.0</v>
      </c>
      <c r="BQ23" s="121">
        <v>18890.0</v>
      </c>
      <c r="BR23" s="121">
        <v>18989.0</v>
      </c>
      <c r="BS23" s="121">
        <v>19091.0</v>
      </c>
      <c r="BT23" s="121">
        <v>19194.0</v>
      </c>
      <c r="BU23" s="121">
        <v>19282.0</v>
      </c>
      <c r="BV23" s="121">
        <v>19409.0</v>
      </c>
      <c r="BW23" s="121">
        <v>19541.0</v>
      </c>
      <c r="BX23" s="121">
        <v>19632.0</v>
      </c>
      <c r="BY23" s="121">
        <v>19748.0</v>
      </c>
      <c r="BZ23" s="121">
        <v>19824.0</v>
      </c>
      <c r="CA23" s="122">
        <v>19945.0</v>
      </c>
      <c r="CB23" s="91"/>
      <c r="CC23" s="121">
        <v>20050.0</v>
      </c>
      <c r="CD23" s="121">
        <v>20159.0</v>
      </c>
      <c r="CE23" s="152">
        <v>20275.0</v>
      </c>
      <c r="CF23" s="152">
        <v>20381.0</v>
      </c>
      <c r="CG23" s="152">
        <v>20541.0</v>
      </c>
      <c r="CH23" s="152">
        <v>20608.0</v>
      </c>
      <c r="CI23" s="152">
        <v>20707.0</v>
      </c>
      <c r="CJ23" s="152">
        <v>20805.0</v>
      </c>
      <c r="CK23" s="152">
        <v>20875.0</v>
      </c>
      <c r="CL23" s="153">
        <v>20942.0</v>
      </c>
      <c r="CM23" s="152">
        <v>80.0</v>
      </c>
      <c r="CN23" s="152">
        <v>166.0</v>
      </c>
      <c r="CO23" s="91"/>
      <c r="CP23" s="124">
        <f>CP22-CN23</f>
        <v>-166</v>
      </c>
      <c r="CQ23" s="124">
        <f t="shared" ref="CQ23:DA23" si="38">CQ22-CP22</f>
        <v>0</v>
      </c>
      <c r="CR23" s="124">
        <f t="shared" si="38"/>
        <v>0</v>
      </c>
      <c r="CS23" s="124">
        <f t="shared" si="38"/>
        <v>0</v>
      </c>
      <c r="CT23" s="124">
        <f t="shared" si="38"/>
        <v>0</v>
      </c>
      <c r="CU23" s="124">
        <f t="shared" si="38"/>
        <v>0</v>
      </c>
      <c r="CV23" s="124">
        <f t="shared" si="38"/>
        <v>0</v>
      </c>
      <c r="CW23" s="124">
        <f t="shared" si="38"/>
        <v>0</v>
      </c>
      <c r="CX23" s="124">
        <f t="shared" si="38"/>
        <v>0</v>
      </c>
      <c r="CY23" s="124">
        <f t="shared" si="38"/>
        <v>0</v>
      </c>
      <c r="CZ23" s="124">
        <f t="shared" si="38"/>
        <v>0</v>
      </c>
      <c r="DA23" s="124">
        <f t="shared" si="38"/>
        <v>0</v>
      </c>
    </row>
    <row r="24" ht="15.75" customHeight="1">
      <c r="A24" s="126" t="s">
        <v>148</v>
      </c>
      <c r="B24" s="91"/>
      <c r="C24" s="154"/>
      <c r="D24" s="154"/>
      <c r="E24" s="154"/>
      <c r="F24" s="154"/>
      <c r="G24" s="154"/>
      <c r="H24" s="140">
        <v>63.05</v>
      </c>
      <c r="I24" s="140">
        <v>63.05</v>
      </c>
      <c r="J24" s="140">
        <v>63.05</v>
      </c>
      <c r="K24" s="140">
        <v>63.05</v>
      </c>
      <c r="L24" s="140">
        <v>63.05</v>
      </c>
      <c r="M24" s="140">
        <v>63.05</v>
      </c>
      <c r="N24" s="141">
        <v>63.05</v>
      </c>
      <c r="O24" s="155"/>
      <c r="P24" s="140">
        <v>63.05</v>
      </c>
      <c r="Q24" s="140">
        <v>63.05</v>
      </c>
      <c r="R24" s="140">
        <v>63.05</v>
      </c>
      <c r="S24" s="140">
        <v>63.05</v>
      </c>
      <c r="T24" s="140">
        <v>63.05</v>
      </c>
      <c r="U24" s="140">
        <v>63.05</v>
      </c>
      <c r="V24" s="140">
        <v>63.05</v>
      </c>
      <c r="W24" s="140">
        <v>63.05</v>
      </c>
      <c r="X24" s="140">
        <v>63.05</v>
      </c>
      <c r="Y24" s="140">
        <v>63.05</v>
      </c>
      <c r="Z24" s="140">
        <v>63.05</v>
      </c>
      <c r="AA24" s="141">
        <v>63.05</v>
      </c>
      <c r="AB24" s="156"/>
      <c r="AC24" s="140">
        <v>63.05</v>
      </c>
      <c r="AD24" s="140">
        <v>63.05</v>
      </c>
      <c r="AE24" s="140">
        <v>63.05</v>
      </c>
      <c r="AF24" s="140">
        <v>63.05</v>
      </c>
      <c r="AG24" s="140">
        <v>63.05</v>
      </c>
      <c r="AH24" s="140">
        <v>63.05</v>
      </c>
      <c r="AI24" s="140">
        <v>63.05</v>
      </c>
      <c r="AJ24" s="140">
        <v>74.05</v>
      </c>
      <c r="AK24" s="140">
        <v>74.05</v>
      </c>
      <c r="AL24" s="140">
        <v>74.05</v>
      </c>
      <c r="AM24" s="140">
        <v>74.05</v>
      </c>
      <c r="AN24" s="141">
        <v>74.05</v>
      </c>
      <c r="AO24" s="91"/>
      <c r="AP24" s="140">
        <v>74.05</v>
      </c>
      <c r="AQ24" s="140">
        <v>74.05</v>
      </c>
      <c r="AR24" s="140">
        <v>74.05</v>
      </c>
      <c r="AS24" s="140">
        <v>74.05</v>
      </c>
      <c r="AT24" s="140">
        <v>74.05</v>
      </c>
      <c r="AU24" s="140">
        <v>74.05</v>
      </c>
      <c r="AV24" s="140">
        <v>74.05</v>
      </c>
      <c r="AW24" s="140">
        <v>74.05</v>
      </c>
      <c r="AX24" s="140">
        <v>74.05</v>
      </c>
      <c r="AY24" s="157">
        <v>100.0</v>
      </c>
      <c r="AZ24" s="157">
        <v>100.0</v>
      </c>
      <c r="BA24" s="157">
        <v>100.0</v>
      </c>
      <c r="BB24" s="91"/>
      <c r="BC24" s="158">
        <v>84.3</v>
      </c>
      <c r="BD24" s="158">
        <v>84.3</v>
      </c>
      <c r="BE24" s="158">
        <v>84.3</v>
      </c>
      <c r="BF24" s="158">
        <v>84.3</v>
      </c>
      <c r="BG24" s="158">
        <v>84.3</v>
      </c>
      <c r="BH24" s="158">
        <v>84.3</v>
      </c>
      <c r="BI24" s="158">
        <v>84.3</v>
      </c>
      <c r="BJ24" s="158">
        <v>84.3</v>
      </c>
      <c r="BK24" s="158">
        <v>84.3</v>
      </c>
      <c r="BL24" s="158">
        <v>84.3</v>
      </c>
      <c r="BM24" s="158">
        <v>84.3</v>
      </c>
      <c r="BN24" s="158">
        <v>84.3</v>
      </c>
      <c r="BO24" s="91"/>
      <c r="BP24" s="124">
        <f>BP23-BN22</f>
        <v>94</v>
      </c>
      <c r="BQ24" s="124">
        <f t="shared" ref="BQ24:CA24" si="39">BQ23-BP23</f>
        <v>109</v>
      </c>
      <c r="BR24" s="124">
        <f t="shared" si="39"/>
        <v>99</v>
      </c>
      <c r="BS24" s="124">
        <f t="shared" si="39"/>
        <v>102</v>
      </c>
      <c r="BT24" s="124">
        <f t="shared" si="39"/>
        <v>103</v>
      </c>
      <c r="BU24" s="124">
        <f t="shared" si="39"/>
        <v>88</v>
      </c>
      <c r="BV24" s="159">
        <f t="shared" si="39"/>
        <v>127</v>
      </c>
      <c r="BW24" s="124">
        <f t="shared" si="39"/>
        <v>132</v>
      </c>
      <c r="BX24" s="124">
        <f t="shared" si="39"/>
        <v>91</v>
      </c>
      <c r="BY24" s="124">
        <f t="shared" si="39"/>
        <v>116</v>
      </c>
      <c r="BZ24" s="124">
        <f t="shared" si="39"/>
        <v>76</v>
      </c>
      <c r="CA24" s="124">
        <f t="shared" si="39"/>
        <v>121</v>
      </c>
      <c r="CB24" s="91"/>
      <c r="CC24" s="124">
        <f>CC23-CA23</f>
        <v>105</v>
      </c>
      <c r="CD24" s="124">
        <f t="shared" ref="CD24:CK24" si="40">CD23-CC23</f>
        <v>109</v>
      </c>
      <c r="CE24" s="124">
        <f t="shared" si="40"/>
        <v>116</v>
      </c>
      <c r="CF24" s="124">
        <f t="shared" si="40"/>
        <v>106</v>
      </c>
      <c r="CG24" s="124">
        <f t="shared" si="40"/>
        <v>160</v>
      </c>
      <c r="CH24" s="124">
        <f t="shared" si="40"/>
        <v>67</v>
      </c>
      <c r="CI24" s="159">
        <f t="shared" si="40"/>
        <v>99</v>
      </c>
      <c r="CJ24" s="124">
        <f t="shared" si="40"/>
        <v>98</v>
      </c>
      <c r="CK24" s="124">
        <f t="shared" si="40"/>
        <v>70</v>
      </c>
      <c r="CL24" s="124">
        <v>92.0</v>
      </c>
      <c r="CM24" s="124">
        <v>80.0</v>
      </c>
      <c r="CN24" s="124">
        <f>CN23-CM23</f>
        <v>86</v>
      </c>
      <c r="CO24" s="91"/>
      <c r="CP24" s="158"/>
      <c r="CQ24" s="158"/>
      <c r="CR24" s="111"/>
      <c r="CS24" s="111"/>
      <c r="CT24" s="111"/>
      <c r="CU24" s="111"/>
      <c r="CV24" s="111"/>
      <c r="CW24" s="111"/>
      <c r="CX24" s="111"/>
      <c r="CY24" s="111"/>
      <c r="CZ24" s="111"/>
      <c r="DA24" s="111"/>
    </row>
    <row r="25" ht="15.75" customHeight="1" outlineLevel="1">
      <c r="A25" s="126" t="s">
        <v>157</v>
      </c>
      <c r="B25" s="91"/>
      <c r="C25" s="154"/>
      <c r="D25" s="154"/>
      <c r="E25" s="154"/>
      <c r="F25" s="154"/>
      <c r="G25" s="154"/>
      <c r="H25" s="160">
        <v>623.0</v>
      </c>
      <c r="I25" s="160">
        <v>623.0</v>
      </c>
      <c r="J25" s="160">
        <v>623.0</v>
      </c>
      <c r="K25" s="160">
        <v>623.0</v>
      </c>
      <c r="L25" s="160">
        <v>623.0</v>
      </c>
      <c r="M25" s="160">
        <v>623.0</v>
      </c>
      <c r="N25" s="161">
        <v>623.0</v>
      </c>
      <c r="O25" s="155"/>
      <c r="P25" s="160">
        <v>623.0</v>
      </c>
      <c r="Q25" s="160">
        <v>623.0</v>
      </c>
      <c r="R25" s="160">
        <v>623.0</v>
      </c>
      <c r="S25" s="160">
        <v>623.0</v>
      </c>
      <c r="T25" s="160">
        <v>623.0</v>
      </c>
      <c r="U25" s="160">
        <v>623.0</v>
      </c>
      <c r="V25" s="160">
        <v>623.0</v>
      </c>
      <c r="W25" s="160">
        <v>623.0</v>
      </c>
      <c r="X25" s="160">
        <v>623.0</v>
      </c>
      <c r="Y25" s="160">
        <v>623.0</v>
      </c>
      <c r="Z25" s="160">
        <v>623.0</v>
      </c>
      <c r="AA25" s="161">
        <v>623.0</v>
      </c>
      <c r="AB25" s="156"/>
      <c r="AC25" s="160">
        <v>623.0</v>
      </c>
      <c r="AD25" s="160">
        <v>623.0</v>
      </c>
      <c r="AE25" s="160">
        <v>623.0</v>
      </c>
      <c r="AF25" s="160">
        <v>623.0</v>
      </c>
      <c r="AG25" s="160">
        <v>623.0</v>
      </c>
      <c r="AH25" s="160">
        <v>623.0</v>
      </c>
      <c r="AI25" s="160">
        <v>623.0</v>
      </c>
      <c r="AJ25" s="160">
        <v>623.0</v>
      </c>
      <c r="AK25" s="160">
        <v>623.0</v>
      </c>
      <c r="AL25" s="160">
        <v>623.0</v>
      </c>
      <c r="AM25" s="160">
        <v>623.0</v>
      </c>
      <c r="AN25" s="161">
        <v>623.0</v>
      </c>
      <c r="AO25" s="91"/>
      <c r="AP25" s="160">
        <v>623.0</v>
      </c>
      <c r="AQ25" s="160">
        <v>623.0</v>
      </c>
      <c r="AR25" s="160">
        <v>623.0</v>
      </c>
      <c r="AS25" s="160">
        <v>623.0</v>
      </c>
      <c r="AT25" s="160">
        <v>623.0</v>
      </c>
      <c r="AU25" s="160">
        <v>623.0</v>
      </c>
      <c r="AV25" s="160">
        <v>623.0</v>
      </c>
      <c r="AW25" s="160">
        <v>623.0</v>
      </c>
      <c r="AX25" s="160">
        <v>623.0</v>
      </c>
      <c r="AY25" s="160">
        <v>623.0</v>
      </c>
      <c r="AZ25" s="160">
        <v>623.0</v>
      </c>
      <c r="BA25" s="160">
        <v>623.0</v>
      </c>
      <c r="BB25" s="91"/>
      <c r="BC25" s="158">
        <v>774.0</v>
      </c>
      <c r="BD25" s="158">
        <v>774.0</v>
      </c>
      <c r="BE25" s="158">
        <v>774.0</v>
      </c>
      <c r="BF25" s="158">
        <v>774.0</v>
      </c>
      <c r="BG25" s="158">
        <v>774.0</v>
      </c>
      <c r="BH25" s="158">
        <v>774.0</v>
      </c>
      <c r="BI25" s="158">
        <v>774.0</v>
      </c>
      <c r="BJ25" s="158">
        <v>774.0</v>
      </c>
      <c r="BK25" s="158">
        <v>774.0</v>
      </c>
      <c r="BL25" s="158">
        <v>774.0</v>
      </c>
      <c r="BM25" s="158">
        <v>774.0</v>
      </c>
      <c r="BN25" s="158">
        <v>774.0</v>
      </c>
      <c r="BO25" s="91"/>
      <c r="BP25" s="140">
        <v>86.84</v>
      </c>
      <c r="BQ25" s="140">
        <v>86.84</v>
      </c>
      <c r="BR25" s="140">
        <v>86.84</v>
      </c>
      <c r="BS25" s="140">
        <v>86.84</v>
      </c>
      <c r="BT25" s="140">
        <v>86.84</v>
      </c>
      <c r="BU25" s="140">
        <v>86.84</v>
      </c>
      <c r="BV25" s="140">
        <v>86.84</v>
      </c>
      <c r="BW25" s="140">
        <v>86.84</v>
      </c>
      <c r="BX25" s="157">
        <v>90.0</v>
      </c>
      <c r="BY25" s="157">
        <v>90.0</v>
      </c>
      <c r="BZ25" s="157">
        <v>90.0</v>
      </c>
      <c r="CA25" s="157">
        <v>90.0</v>
      </c>
      <c r="CB25" s="91"/>
      <c r="CC25" s="158">
        <v>89.0</v>
      </c>
      <c r="CD25" s="158">
        <v>89.0</v>
      </c>
      <c r="CE25" s="158">
        <v>89.0</v>
      </c>
      <c r="CF25" s="158">
        <v>89.0</v>
      </c>
      <c r="CG25" s="158">
        <v>89.0</v>
      </c>
      <c r="CH25" s="158">
        <v>89.0</v>
      </c>
      <c r="CI25" s="158">
        <v>89.0</v>
      </c>
      <c r="CJ25" s="158">
        <v>89.0</v>
      </c>
      <c r="CK25" s="158">
        <v>89.0</v>
      </c>
      <c r="CL25" s="158">
        <v>89.0</v>
      </c>
      <c r="CM25" s="158">
        <v>89.0</v>
      </c>
      <c r="CN25" s="158">
        <v>89.0</v>
      </c>
      <c r="CO25" s="91"/>
      <c r="CP25" s="158"/>
      <c r="CQ25" s="158"/>
      <c r="CR25" s="111"/>
      <c r="CS25" s="111"/>
      <c r="CT25" s="111"/>
      <c r="CU25" s="111"/>
      <c r="CV25" s="111"/>
      <c r="CW25" s="111"/>
      <c r="CX25" s="111"/>
      <c r="CY25" s="111"/>
      <c r="CZ25" s="111"/>
      <c r="DA25" s="111"/>
    </row>
    <row r="26" ht="15.75" customHeight="1" outlineLevel="1">
      <c r="A26" s="126" t="s">
        <v>163</v>
      </c>
      <c r="B26" s="91"/>
      <c r="C26" s="160"/>
      <c r="D26" s="160"/>
      <c r="E26" s="160"/>
      <c r="F26" s="160"/>
      <c r="G26" s="160"/>
      <c r="H26" s="160">
        <f t="shared" ref="H26:N26" si="41">(H23*H24)+H25</f>
        <v>6423.6</v>
      </c>
      <c r="I26" s="160">
        <f t="shared" si="41"/>
        <v>9386.95</v>
      </c>
      <c r="J26" s="160">
        <f t="shared" si="41"/>
        <v>10017.45</v>
      </c>
      <c r="K26" s="160">
        <f t="shared" si="41"/>
        <v>8378.15</v>
      </c>
      <c r="L26" s="160">
        <f t="shared" si="41"/>
        <v>8378.15</v>
      </c>
      <c r="M26" s="160">
        <f t="shared" si="41"/>
        <v>5225.65</v>
      </c>
      <c r="N26" s="161">
        <f t="shared" si="41"/>
        <v>11089.3</v>
      </c>
      <c r="O26" s="162"/>
      <c r="P26" s="160">
        <f t="shared" ref="P26:AA26" si="42">(P23*P24)+P25</f>
        <v>5793.1</v>
      </c>
      <c r="Q26" s="160">
        <f t="shared" si="42"/>
        <v>7432.4</v>
      </c>
      <c r="R26" s="160">
        <f t="shared" si="42"/>
        <v>3838.55</v>
      </c>
      <c r="S26" s="160">
        <f t="shared" si="42"/>
        <v>686.05</v>
      </c>
      <c r="T26" s="160">
        <f t="shared" si="42"/>
        <v>812.15</v>
      </c>
      <c r="U26" s="160">
        <f t="shared" si="42"/>
        <v>2703.65</v>
      </c>
      <c r="V26" s="160">
        <f t="shared" si="42"/>
        <v>8062.9</v>
      </c>
      <c r="W26" s="160">
        <f t="shared" si="42"/>
        <v>9386.95</v>
      </c>
      <c r="X26" s="160">
        <f t="shared" si="42"/>
        <v>4027.7</v>
      </c>
      <c r="Y26" s="160">
        <f t="shared" si="42"/>
        <v>1694.85</v>
      </c>
      <c r="Z26" s="160">
        <f t="shared" si="42"/>
        <v>2199.25</v>
      </c>
      <c r="AA26" s="161">
        <f t="shared" si="42"/>
        <v>3018.9</v>
      </c>
      <c r="AB26" s="162"/>
      <c r="AC26" s="160">
        <f t="shared" ref="AC26:AN26" si="43">(AC23*AC24)+AC25</f>
        <v>1884</v>
      </c>
      <c r="AD26" s="160">
        <f t="shared" si="43"/>
        <v>2010.1</v>
      </c>
      <c r="AE26" s="160">
        <f t="shared" si="43"/>
        <v>2766.7</v>
      </c>
      <c r="AF26" s="160">
        <f t="shared" si="43"/>
        <v>4721.25</v>
      </c>
      <c r="AG26" s="160">
        <f t="shared" si="43"/>
        <v>3964.65</v>
      </c>
      <c r="AH26" s="160">
        <f t="shared" si="43"/>
        <v>4027.7</v>
      </c>
      <c r="AI26" s="160">
        <f t="shared" si="43"/>
        <v>9828.3</v>
      </c>
      <c r="AJ26" s="160">
        <f t="shared" si="43"/>
        <v>10175.45</v>
      </c>
      <c r="AK26" s="160">
        <f t="shared" si="43"/>
        <v>6250.8</v>
      </c>
      <c r="AL26" s="160">
        <f t="shared" si="43"/>
        <v>6917.25</v>
      </c>
      <c r="AM26" s="160">
        <f t="shared" si="43"/>
        <v>5954.6</v>
      </c>
      <c r="AN26" s="161">
        <f t="shared" si="43"/>
        <v>6028.65</v>
      </c>
      <c r="AO26" s="91"/>
      <c r="AP26" s="163">
        <f t="shared" ref="AP26:BA26" si="44">(AP23*AP24)+AP25</f>
        <v>5658.4</v>
      </c>
      <c r="AQ26" s="163">
        <f t="shared" si="44"/>
        <v>7435.6</v>
      </c>
      <c r="AR26" s="163">
        <f t="shared" si="44"/>
        <v>8620.4</v>
      </c>
      <c r="AS26" s="163">
        <f t="shared" si="44"/>
        <v>9805.2</v>
      </c>
      <c r="AT26" s="163">
        <f t="shared" si="44"/>
        <v>7361.55</v>
      </c>
      <c r="AU26" s="163">
        <f t="shared" si="44"/>
        <v>7213.45</v>
      </c>
      <c r="AV26" s="163">
        <f t="shared" si="44"/>
        <v>10693.8</v>
      </c>
      <c r="AW26" s="163">
        <f t="shared" si="44"/>
        <v>11286.2</v>
      </c>
      <c r="AX26" s="163">
        <f t="shared" si="44"/>
        <v>7731.8</v>
      </c>
      <c r="AY26" s="163">
        <f t="shared" si="44"/>
        <v>16423</v>
      </c>
      <c r="AZ26" s="163">
        <f t="shared" si="44"/>
        <v>11423</v>
      </c>
      <c r="BA26" s="163">
        <f t="shared" si="44"/>
        <v>11223</v>
      </c>
      <c r="BB26" s="91"/>
      <c r="BC26" s="163">
        <f t="shared" ref="BC26:BN26" si="45">(BC23*BC24)+BC25</f>
        <v>9794.1</v>
      </c>
      <c r="BD26" s="163">
        <f t="shared" si="45"/>
        <v>11480.1</v>
      </c>
      <c r="BE26" s="163">
        <f t="shared" si="45"/>
        <v>9456.9</v>
      </c>
      <c r="BF26" s="163">
        <f t="shared" si="45"/>
        <v>11058.6</v>
      </c>
      <c r="BG26" s="163">
        <f t="shared" si="45"/>
        <v>10552.8</v>
      </c>
      <c r="BH26" s="163">
        <f t="shared" si="45"/>
        <v>8023.8</v>
      </c>
      <c r="BI26" s="163">
        <f t="shared" si="45"/>
        <v>13419</v>
      </c>
      <c r="BJ26" s="163">
        <f t="shared" si="45"/>
        <v>12407.4</v>
      </c>
      <c r="BK26" s="163">
        <f t="shared" si="45"/>
        <v>8951.1</v>
      </c>
      <c r="BL26" s="163">
        <f t="shared" si="45"/>
        <v>9878.4</v>
      </c>
      <c r="BM26" s="163">
        <f t="shared" si="45"/>
        <v>7855.2</v>
      </c>
      <c r="BN26" s="163">
        <f t="shared" si="45"/>
        <v>10974.3</v>
      </c>
      <c r="BO26" s="91"/>
      <c r="BP26" s="158">
        <v>400.0</v>
      </c>
      <c r="BQ26" s="158">
        <v>400.0</v>
      </c>
      <c r="BR26" s="158">
        <v>400.0</v>
      </c>
      <c r="BS26" s="158">
        <v>400.0</v>
      </c>
      <c r="BT26" s="158">
        <v>400.0</v>
      </c>
      <c r="BU26" s="158">
        <v>400.0</v>
      </c>
      <c r="BV26" s="158">
        <v>400.0</v>
      </c>
      <c r="BW26" s="158">
        <v>400.0</v>
      </c>
      <c r="BX26" s="158">
        <v>400.0</v>
      </c>
      <c r="BY26" s="158">
        <v>400.0</v>
      </c>
      <c r="BZ26" s="158">
        <v>400.0</v>
      </c>
      <c r="CA26" s="158">
        <v>400.0</v>
      </c>
      <c r="CB26" s="91"/>
      <c r="CC26" s="158">
        <v>830.0</v>
      </c>
      <c r="CD26" s="158">
        <v>830.0</v>
      </c>
      <c r="CE26" s="158">
        <v>830.0</v>
      </c>
      <c r="CF26" s="158">
        <v>830.0</v>
      </c>
      <c r="CG26" s="158">
        <v>830.0</v>
      </c>
      <c r="CH26" s="158">
        <v>830.0</v>
      </c>
      <c r="CI26" s="158">
        <v>830.0</v>
      </c>
      <c r="CJ26" s="158">
        <v>830.0</v>
      </c>
      <c r="CK26" s="158">
        <v>830.0</v>
      </c>
      <c r="CL26" s="158">
        <v>830.0</v>
      </c>
      <c r="CM26" s="158">
        <v>830.0</v>
      </c>
      <c r="CN26" s="158">
        <v>830.0</v>
      </c>
      <c r="CO26" s="91"/>
      <c r="CP26" s="163"/>
      <c r="CQ26" s="163"/>
      <c r="CR26" s="163"/>
      <c r="CS26" s="163"/>
      <c r="CT26" s="163"/>
      <c r="CU26" s="163"/>
      <c r="CV26" s="163"/>
      <c r="CW26" s="163"/>
      <c r="CX26" s="163"/>
      <c r="CY26" s="163"/>
      <c r="CZ26" s="163"/>
      <c r="DA26" s="163"/>
    </row>
    <row r="27" ht="15.75" customHeight="1">
      <c r="A27" s="126" t="s">
        <v>158</v>
      </c>
      <c r="B27" s="9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49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150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150"/>
      <c r="AO27" s="9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9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91"/>
      <c r="BP27" s="163">
        <f t="shared" ref="BP27:CA27" si="46">(BP24*BP25)+BP26</f>
        <v>8562.96</v>
      </c>
      <c r="BQ27" s="163">
        <f t="shared" si="46"/>
        <v>9865.56</v>
      </c>
      <c r="BR27" s="163">
        <f t="shared" si="46"/>
        <v>8997.16</v>
      </c>
      <c r="BS27" s="163">
        <f t="shared" si="46"/>
        <v>9257.68</v>
      </c>
      <c r="BT27" s="163">
        <f t="shared" si="46"/>
        <v>9344.52</v>
      </c>
      <c r="BU27" s="163">
        <f t="shared" si="46"/>
        <v>8041.92</v>
      </c>
      <c r="BV27" s="163">
        <f t="shared" si="46"/>
        <v>11428.68</v>
      </c>
      <c r="BW27" s="163">
        <f t="shared" si="46"/>
        <v>11862.88</v>
      </c>
      <c r="BX27" s="163">
        <f t="shared" si="46"/>
        <v>8590</v>
      </c>
      <c r="BY27" s="163">
        <f t="shared" si="46"/>
        <v>10840</v>
      </c>
      <c r="BZ27" s="163">
        <f t="shared" si="46"/>
        <v>7240</v>
      </c>
      <c r="CA27" s="163">
        <f t="shared" si="46"/>
        <v>11290</v>
      </c>
      <c r="CB27" s="91"/>
      <c r="CC27" s="163">
        <f t="shared" ref="CC27:CN27" si="47">(CC24*CC25)+CC26</f>
        <v>10175</v>
      </c>
      <c r="CD27" s="163">
        <f t="shared" si="47"/>
        <v>10531</v>
      </c>
      <c r="CE27" s="163">
        <f t="shared" si="47"/>
        <v>11154</v>
      </c>
      <c r="CF27" s="163">
        <f t="shared" si="47"/>
        <v>10264</v>
      </c>
      <c r="CG27" s="163">
        <f t="shared" si="47"/>
        <v>15070</v>
      </c>
      <c r="CH27" s="163">
        <f t="shared" si="47"/>
        <v>6793</v>
      </c>
      <c r="CI27" s="163">
        <f t="shared" si="47"/>
        <v>9641</v>
      </c>
      <c r="CJ27" s="163">
        <f t="shared" si="47"/>
        <v>9552</v>
      </c>
      <c r="CK27" s="163">
        <f t="shared" si="47"/>
        <v>7060</v>
      </c>
      <c r="CL27" s="163">
        <f t="shared" si="47"/>
        <v>9018</v>
      </c>
      <c r="CM27" s="163">
        <f t="shared" si="47"/>
        <v>7950</v>
      </c>
      <c r="CN27" s="163">
        <f t="shared" si="47"/>
        <v>8484</v>
      </c>
      <c r="CO27" s="91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1"/>
      <c r="DA27" s="111"/>
    </row>
    <row r="28" ht="15.75" customHeight="1">
      <c r="A28" s="126" t="s">
        <v>159</v>
      </c>
      <c r="B28" s="9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49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150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150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91"/>
      <c r="CC28" s="111"/>
      <c r="CD28" s="111"/>
      <c r="CE28" s="91" t="s">
        <v>164</v>
      </c>
      <c r="CF28" s="111"/>
      <c r="CG28" s="111"/>
      <c r="CH28" s="111"/>
      <c r="CI28" s="111"/>
      <c r="CJ28" s="111"/>
      <c r="CK28" s="111"/>
      <c r="CL28" s="111"/>
      <c r="CM28" s="111"/>
      <c r="CN28" s="11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</row>
    <row r="29" ht="15.75" customHeight="1">
      <c r="A29" s="111"/>
      <c r="B29" s="9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49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150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150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</row>
    <row r="30" ht="15.75" customHeight="1">
      <c r="A30" s="115" t="s">
        <v>165</v>
      </c>
      <c r="B30" s="91"/>
      <c r="C30" s="164"/>
      <c r="D30" s="164"/>
      <c r="E30" s="164"/>
      <c r="F30" s="164"/>
      <c r="G30" s="119"/>
      <c r="H30" s="119"/>
      <c r="I30" s="119"/>
      <c r="J30" s="119"/>
      <c r="K30" s="119"/>
      <c r="L30" s="119"/>
      <c r="M30" s="119"/>
      <c r="N30" s="120"/>
      <c r="O30" s="91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20"/>
      <c r="AB30" s="91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20"/>
      <c r="AO30" s="91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21"/>
      <c r="BB30" s="91"/>
      <c r="BC30" s="119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91"/>
      <c r="BP30" s="121"/>
      <c r="BQ30" s="121"/>
      <c r="BR30" s="121"/>
      <c r="BS30" s="121"/>
      <c r="BT30" s="121"/>
      <c r="BU30" s="121"/>
      <c r="BV30" s="121"/>
      <c r="BW30" s="123"/>
      <c r="BX30" s="123"/>
      <c r="BY30" s="123"/>
      <c r="BZ30" s="123"/>
      <c r="CA30" s="123"/>
      <c r="CB30" s="91"/>
      <c r="CC30" s="123"/>
      <c r="CD30" s="123"/>
      <c r="CE30" s="148"/>
      <c r="CF30" s="148"/>
      <c r="CG30" s="148"/>
      <c r="CH30" s="148"/>
      <c r="CI30" s="148"/>
      <c r="CJ30" s="148"/>
      <c r="CK30" s="91"/>
      <c r="CL30" s="91"/>
      <c r="CM30" s="91"/>
      <c r="CN30" s="91"/>
      <c r="CO30" s="91"/>
      <c r="CP30" s="106"/>
      <c r="CQ30" s="106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</row>
    <row r="31" ht="15.75" customHeight="1">
      <c r="A31" s="126" t="s">
        <v>162</v>
      </c>
      <c r="B31" s="91"/>
      <c r="C31" s="164"/>
      <c r="D31" s="164"/>
      <c r="E31" s="164"/>
      <c r="F31" s="164"/>
      <c r="G31" s="119">
        <v>424.0</v>
      </c>
      <c r="H31" s="119">
        <v>437.0</v>
      </c>
      <c r="I31" s="119">
        <v>453.0</v>
      </c>
      <c r="J31" s="119">
        <v>471.0</v>
      </c>
      <c r="K31" s="119">
        <v>493.0</v>
      </c>
      <c r="L31" s="119">
        <v>536.0</v>
      </c>
      <c r="M31" s="119">
        <v>595.0</v>
      </c>
      <c r="N31" s="120">
        <v>649.0</v>
      </c>
      <c r="O31" s="91"/>
      <c r="P31" s="119">
        <v>720.0</v>
      </c>
      <c r="Q31" s="119">
        <v>775.0</v>
      </c>
      <c r="R31" s="119">
        <v>821.0</v>
      </c>
      <c r="S31" s="119">
        <v>823.0</v>
      </c>
      <c r="T31" s="119">
        <v>825.0</v>
      </c>
      <c r="U31" s="119">
        <v>839.0</v>
      </c>
      <c r="V31" s="119">
        <v>855.0</v>
      </c>
      <c r="W31" s="119">
        <v>871.0</v>
      </c>
      <c r="X31" s="119">
        <v>887.0</v>
      </c>
      <c r="Y31" s="119">
        <v>913.0</v>
      </c>
      <c r="Z31" s="119">
        <v>951.0</v>
      </c>
      <c r="AA31" s="120">
        <v>1011.0</v>
      </c>
      <c r="AB31" s="91"/>
      <c r="AC31" s="119">
        <v>1074.0</v>
      </c>
      <c r="AD31" s="119">
        <v>1124.0</v>
      </c>
      <c r="AE31" s="119">
        <v>1168.0</v>
      </c>
      <c r="AF31" s="119">
        <v>1217.0</v>
      </c>
      <c r="AG31" s="119">
        <v>1247.0</v>
      </c>
      <c r="AH31" s="119">
        <v>1261.0</v>
      </c>
      <c r="AI31" s="119">
        <v>1278.0</v>
      </c>
      <c r="AJ31" s="119">
        <v>1294.0</v>
      </c>
      <c r="AK31" s="119">
        <v>1317.0</v>
      </c>
      <c r="AL31" s="119">
        <v>1362.0</v>
      </c>
      <c r="AM31" s="119">
        <v>1422.0</v>
      </c>
      <c r="AN31" s="120">
        <v>1486.0</v>
      </c>
      <c r="AO31" s="91"/>
      <c r="AP31" s="119">
        <v>1552.0</v>
      </c>
      <c r="AQ31" s="119">
        <v>1607.0</v>
      </c>
      <c r="AR31" s="119">
        <v>1666.0</v>
      </c>
      <c r="AS31" s="119">
        <v>1712.0</v>
      </c>
      <c r="AT31" s="119">
        <v>1733.0</v>
      </c>
      <c r="AU31" s="119">
        <v>4.0</v>
      </c>
      <c r="AV31" s="119">
        <v>21.0</v>
      </c>
      <c r="AW31" s="119">
        <v>37.0</v>
      </c>
      <c r="AX31" s="119">
        <v>63.0</v>
      </c>
      <c r="AY31" s="119">
        <v>101.0</v>
      </c>
      <c r="AZ31" s="119">
        <v>154.0</v>
      </c>
      <c r="BA31" s="122">
        <v>216.0</v>
      </c>
      <c r="BB31" s="91"/>
      <c r="BC31" s="119">
        <v>272.0</v>
      </c>
      <c r="BD31" s="121">
        <v>337.0</v>
      </c>
      <c r="BE31" s="121">
        <v>391.0</v>
      </c>
      <c r="BF31" s="121">
        <v>440.0</v>
      </c>
      <c r="BG31" s="121">
        <v>467.0</v>
      </c>
      <c r="BH31" s="121">
        <v>482.0</v>
      </c>
      <c r="BI31" s="121">
        <v>499.0</v>
      </c>
      <c r="BJ31" s="121">
        <v>515.0</v>
      </c>
      <c r="BK31" s="121">
        <v>528.0</v>
      </c>
      <c r="BL31" s="121">
        <v>561.0</v>
      </c>
      <c r="BM31" s="121">
        <v>612.0</v>
      </c>
      <c r="BN31" s="122">
        <v>680.0</v>
      </c>
      <c r="BO31" s="91"/>
      <c r="BP31" s="121">
        <v>750.0</v>
      </c>
      <c r="BQ31" s="121">
        <v>799.0</v>
      </c>
      <c r="BR31" s="121">
        <v>845.0</v>
      </c>
      <c r="BS31" s="121">
        <v>880.0</v>
      </c>
      <c r="BT31" s="121">
        <v>899.0</v>
      </c>
      <c r="BU31" s="121">
        <v>913.0</v>
      </c>
      <c r="BV31" s="121">
        <v>928.0</v>
      </c>
      <c r="BW31" s="121">
        <v>943.0</v>
      </c>
      <c r="BX31" s="121">
        <v>958.0</v>
      </c>
      <c r="BY31" s="121">
        <v>997.0</v>
      </c>
      <c r="BZ31" s="121">
        <v>1052.0</v>
      </c>
      <c r="CA31" s="122">
        <v>1118.0</v>
      </c>
      <c r="CB31" s="91"/>
      <c r="CC31" s="121">
        <v>1184.0</v>
      </c>
      <c r="CD31" s="121">
        <v>1251.0</v>
      </c>
      <c r="CE31" s="152">
        <v>1301.0</v>
      </c>
      <c r="CF31" s="152">
        <v>1330.0</v>
      </c>
      <c r="CG31" s="152">
        <v>1352.0</v>
      </c>
      <c r="CH31" s="152">
        <v>1364.0</v>
      </c>
      <c r="CI31" s="152">
        <v>1377.0</v>
      </c>
      <c r="CJ31" s="152">
        <v>1391.0</v>
      </c>
      <c r="CK31" s="152">
        <v>1407.0</v>
      </c>
      <c r="CL31" s="152">
        <v>1440.0</v>
      </c>
      <c r="CM31" s="152">
        <v>1485.0</v>
      </c>
      <c r="CN31" s="152">
        <v>1543.0</v>
      </c>
      <c r="CO31" s="91"/>
      <c r="CP31" s="106"/>
      <c r="CQ31" s="106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</row>
    <row r="32" ht="15.75" customHeight="1">
      <c r="A32" s="126" t="s">
        <v>148</v>
      </c>
      <c r="B32" s="91"/>
      <c r="C32" s="124"/>
      <c r="D32" s="124"/>
      <c r="E32" s="124"/>
      <c r="F32" s="124"/>
      <c r="G32" s="124"/>
      <c r="H32" s="124">
        <f t="shared" ref="H32:N32" si="48">H31-G31</f>
        <v>13</v>
      </c>
      <c r="I32" s="124">
        <f t="shared" si="48"/>
        <v>16</v>
      </c>
      <c r="J32" s="124">
        <f t="shared" si="48"/>
        <v>18</v>
      </c>
      <c r="K32" s="124">
        <f t="shared" si="48"/>
        <v>22</v>
      </c>
      <c r="L32" s="124">
        <f t="shared" si="48"/>
        <v>43</v>
      </c>
      <c r="M32" s="124">
        <f t="shared" si="48"/>
        <v>59</v>
      </c>
      <c r="N32" s="125">
        <f t="shared" si="48"/>
        <v>54</v>
      </c>
      <c r="O32" s="91"/>
      <c r="P32" s="124">
        <f>P31-N31</f>
        <v>71</v>
      </c>
      <c r="Q32" s="124">
        <f t="shared" ref="Q32:AA32" si="49">Q31-P31</f>
        <v>55</v>
      </c>
      <c r="R32" s="124">
        <f t="shared" si="49"/>
        <v>46</v>
      </c>
      <c r="S32" s="124">
        <f t="shared" si="49"/>
        <v>2</v>
      </c>
      <c r="T32" s="124">
        <f t="shared" si="49"/>
        <v>2</v>
      </c>
      <c r="U32" s="124">
        <f t="shared" si="49"/>
        <v>14</v>
      </c>
      <c r="V32" s="124">
        <f t="shared" si="49"/>
        <v>16</v>
      </c>
      <c r="W32" s="124">
        <f t="shared" si="49"/>
        <v>16</v>
      </c>
      <c r="X32" s="124">
        <f t="shared" si="49"/>
        <v>16</v>
      </c>
      <c r="Y32" s="124">
        <f t="shared" si="49"/>
        <v>26</v>
      </c>
      <c r="Z32" s="124">
        <f t="shared" si="49"/>
        <v>38</v>
      </c>
      <c r="AA32" s="125">
        <f t="shared" si="49"/>
        <v>60</v>
      </c>
      <c r="AB32" s="91"/>
      <c r="AC32" s="124">
        <f>AC31-AA31</f>
        <v>63</v>
      </c>
      <c r="AD32" s="124">
        <f t="shared" ref="AD32:AN32" si="50">AD31-AC31</f>
        <v>50</v>
      </c>
      <c r="AE32" s="124">
        <f t="shared" si="50"/>
        <v>44</v>
      </c>
      <c r="AF32" s="124">
        <f t="shared" si="50"/>
        <v>49</v>
      </c>
      <c r="AG32" s="124">
        <f t="shared" si="50"/>
        <v>30</v>
      </c>
      <c r="AH32" s="124">
        <f t="shared" si="50"/>
        <v>14</v>
      </c>
      <c r="AI32" s="124">
        <f t="shared" si="50"/>
        <v>17</v>
      </c>
      <c r="AJ32" s="124">
        <f t="shared" si="50"/>
        <v>16</v>
      </c>
      <c r="AK32" s="124">
        <f t="shared" si="50"/>
        <v>23</v>
      </c>
      <c r="AL32" s="124">
        <f t="shared" si="50"/>
        <v>45</v>
      </c>
      <c r="AM32" s="124">
        <f t="shared" si="50"/>
        <v>60</v>
      </c>
      <c r="AN32" s="125">
        <f t="shared" si="50"/>
        <v>64</v>
      </c>
      <c r="AO32" s="111"/>
      <c r="AP32" s="124">
        <f>AP31-AN31</f>
        <v>66</v>
      </c>
      <c r="AQ32" s="124">
        <f t="shared" ref="AQ32:AT32" si="51">AQ31-AP31</f>
        <v>55</v>
      </c>
      <c r="AR32" s="124">
        <f t="shared" si="51"/>
        <v>59</v>
      </c>
      <c r="AS32" s="124">
        <f t="shared" si="51"/>
        <v>46</v>
      </c>
      <c r="AT32" s="124">
        <f t="shared" si="51"/>
        <v>21</v>
      </c>
      <c r="AU32" s="124">
        <v>4.0</v>
      </c>
      <c r="AV32" s="124">
        <f t="shared" ref="AV32:BA32" si="52">AV31-AU31</f>
        <v>17</v>
      </c>
      <c r="AW32" s="124">
        <f t="shared" si="52"/>
        <v>16</v>
      </c>
      <c r="AX32" s="124">
        <f t="shared" si="52"/>
        <v>26</v>
      </c>
      <c r="AY32" s="124">
        <f t="shared" si="52"/>
        <v>38</v>
      </c>
      <c r="AZ32" s="124">
        <f t="shared" si="52"/>
        <v>53</v>
      </c>
      <c r="BA32" s="124">
        <f t="shared" si="52"/>
        <v>62</v>
      </c>
      <c r="BB32" s="111"/>
      <c r="BC32" s="124">
        <f>BC31-BA31</f>
        <v>56</v>
      </c>
      <c r="BD32" s="124">
        <f t="shared" ref="BD32:BN32" si="53">BD31-BC31</f>
        <v>65</v>
      </c>
      <c r="BE32" s="124">
        <f t="shared" si="53"/>
        <v>54</v>
      </c>
      <c r="BF32" s="124">
        <f t="shared" si="53"/>
        <v>49</v>
      </c>
      <c r="BG32" s="124">
        <f t="shared" si="53"/>
        <v>27</v>
      </c>
      <c r="BH32" s="124">
        <f t="shared" si="53"/>
        <v>15</v>
      </c>
      <c r="BI32" s="124">
        <f t="shared" si="53"/>
        <v>17</v>
      </c>
      <c r="BJ32" s="124">
        <f t="shared" si="53"/>
        <v>16</v>
      </c>
      <c r="BK32" s="124">
        <f t="shared" si="53"/>
        <v>13</v>
      </c>
      <c r="BL32" s="124">
        <f t="shared" si="53"/>
        <v>33</v>
      </c>
      <c r="BM32" s="124">
        <f t="shared" si="53"/>
        <v>51</v>
      </c>
      <c r="BN32" s="124">
        <f t="shared" si="53"/>
        <v>68</v>
      </c>
      <c r="BO32" s="111"/>
      <c r="BP32" s="124">
        <f>BP31-BN31</f>
        <v>70</v>
      </c>
      <c r="BQ32" s="124">
        <f t="shared" ref="BQ32:CA32" si="54">BQ31-BP31</f>
        <v>49</v>
      </c>
      <c r="BR32" s="124">
        <f t="shared" si="54"/>
        <v>46</v>
      </c>
      <c r="BS32" s="124">
        <f t="shared" si="54"/>
        <v>35</v>
      </c>
      <c r="BT32" s="124">
        <f t="shared" si="54"/>
        <v>19</v>
      </c>
      <c r="BU32" s="124">
        <f t="shared" si="54"/>
        <v>14</v>
      </c>
      <c r="BV32" s="124">
        <f t="shared" si="54"/>
        <v>15</v>
      </c>
      <c r="BW32" s="124">
        <f t="shared" si="54"/>
        <v>15</v>
      </c>
      <c r="BX32" s="124">
        <f t="shared" si="54"/>
        <v>15</v>
      </c>
      <c r="BY32" s="124">
        <f t="shared" si="54"/>
        <v>39</v>
      </c>
      <c r="BZ32" s="124">
        <f t="shared" si="54"/>
        <v>55</v>
      </c>
      <c r="CA32" s="124">
        <f t="shared" si="54"/>
        <v>66</v>
      </c>
      <c r="CB32" s="111"/>
      <c r="CC32" s="124">
        <f>CC31-CA31</f>
        <v>66</v>
      </c>
      <c r="CD32" s="165">
        <f t="shared" ref="CD32:CN32" si="55">CD31-CC31</f>
        <v>67</v>
      </c>
      <c r="CE32" s="124">
        <f t="shared" si="55"/>
        <v>50</v>
      </c>
      <c r="CF32" s="124">
        <f t="shared" si="55"/>
        <v>29</v>
      </c>
      <c r="CG32" s="124">
        <f t="shared" si="55"/>
        <v>22</v>
      </c>
      <c r="CH32" s="124">
        <f t="shared" si="55"/>
        <v>12</v>
      </c>
      <c r="CI32" s="124">
        <f t="shared" si="55"/>
        <v>13</v>
      </c>
      <c r="CJ32" s="124">
        <f t="shared" si="55"/>
        <v>14</v>
      </c>
      <c r="CK32" s="124">
        <f t="shared" si="55"/>
        <v>16</v>
      </c>
      <c r="CL32" s="124">
        <f t="shared" si="55"/>
        <v>33</v>
      </c>
      <c r="CM32" s="124">
        <f t="shared" si="55"/>
        <v>45</v>
      </c>
      <c r="CN32" s="124">
        <f t="shared" si="55"/>
        <v>58</v>
      </c>
      <c r="CO32" s="111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</row>
    <row r="33" ht="15.75" customHeight="1" outlineLevel="1">
      <c r="A33" s="126" t="s">
        <v>157</v>
      </c>
      <c r="B33" s="91"/>
      <c r="C33" s="154"/>
      <c r="D33" s="154"/>
      <c r="E33" s="154"/>
      <c r="F33" s="154"/>
      <c r="G33" s="154"/>
      <c r="H33" s="154">
        <v>494.0</v>
      </c>
      <c r="I33" s="154">
        <v>494.0</v>
      </c>
      <c r="J33" s="154">
        <v>494.0</v>
      </c>
      <c r="K33" s="154">
        <v>494.0</v>
      </c>
      <c r="L33" s="154">
        <v>494.0</v>
      </c>
      <c r="M33" s="154">
        <v>494.0</v>
      </c>
      <c r="N33" s="166">
        <v>494.0</v>
      </c>
      <c r="O33" s="156"/>
      <c r="P33" s="154">
        <v>494.0</v>
      </c>
      <c r="Q33" s="154">
        <v>494.0</v>
      </c>
      <c r="R33" s="154">
        <v>494.0</v>
      </c>
      <c r="S33" s="154">
        <v>494.0</v>
      </c>
      <c r="T33" s="154">
        <v>494.0</v>
      </c>
      <c r="U33" s="154">
        <v>494.0</v>
      </c>
      <c r="V33" s="154">
        <v>494.0</v>
      </c>
      <c r="W33" s="154">
        <v>494.0</v>
      </c>
      <c r="X33" s="154">
        <v>494.0</v>
      </c>
      <c r="Y33" s="154">
        <v>494.0</v>
      </c>
      <c r="Z33" s="154">
        <v>494.0</v>
      </c>
      <c r="AA33" s="166">
        <v>494.0</v>
      </c>
      <c r="AB33" s="156"/>
      <c r="AC33" s="158">
        <v>494.0</v>
      </c>
      <c r="AD33" s="158">
        <v>494.0</v>
      </c>
      <c r="AE33" s="158">
        <v>494.0</v>
      </c>
      <c r="AF33" s="158">
        <v>494.0</v>
      </c>
      <c r="AG33" s="158">
        <v>494.0</v>
      </c>
      <c r="AH33" s="158">
        <v>494.0</v>
      </c>
      <c r="AI33" s="158">
        <v>494.0</v>
      </c>
      <c r="AJ33" s="158">
        <v>494.0</v>
      </c>
      <c r="AK33" s="158">
        <v>494.0</v>
      </c>
      <c r="AL33" s="158">
        <v>494.0</v>
      </c>
      <c r="AM33" s="158">
        <v>494.0</v>
      </c>
      <c r="AN33" s="167">
        <v>494.0</v>
      </c>
      <c r="AO33" s="111"/>
      <c r="AP33" s="154">
        <v>494.0</v>
      </c>
      <c r="AQ33" s="154">
        <v>494.0</v>
      </c>
      <c r="AR33" s="154">
        <v>494.0</v>
      </c>
      <c r="AS33" s="154">
        <v>494.0</v>
      </c>
      <c r="AT33" s="154">
        <v>494.0</v>
      </c>
      <c r="AU33" s="154">
        <v>494.0</v>
      </c>
      <c r="AV33" s="154">
        <v>494.0</v>
      </c>
      <c r="AW33" s="154">
        <v>494.0</v>
      </c>
      <c r="AX33" s="154">
        <v>494.0</v>
      </c>
      <c r="AY33" s="154">
        <v>494.0</v>
      </c>
      <c r="AZ33" s="154">
        <v>494.0</v>
      </c>
      <c r="BA33" s="154">
        <v>494.0</v>
      </c>
      <c r="BB33" s="111"/>
      <c r="BC33" s="154">
        <v>547.0</v>
      </c>
      <c r="BD33" s="154">
        <v>547.0</v>
      </c>
      <c r="BE33" s="154">
        <v>547.0</v>
      </c>
      <c r="BF33" s="154">
        <v>547.0</v>
      </c>
      <c r="BG33" s="154">
        <v>547.0</v>
      </c>
      <c r="BH33" s="154">
        <v>547.0</v>
      </c>
      <c r="BI33" s="154">
        <v>547.0</v>
      </c>
      <c r="BJ33" s="154">
        <v>547.0</v>
      </c>
      <c r="BK33" s="154">
        <v>547.0</v>
      </c>
      <c r="BL33" s="154">
        <v>547.0</v>
      </c>
      <c r="BM33" s="154">
        <v>547.0</v>
      </c>
      <c r="BN33" s="154">
        <v>547.0</v>
      </c>
      <c r="BO33" s="111"/>
      <c r="BP33" s="154">
        <v>634.0</v>
      </c>
      <c r="BQ33" s="154">
        <v>634.0</v>
      </c>
      <c r="BR33" s="154">
        <v>634.0</v>
      </c>
      <c r="BS33" s="154">
        <v>634.0</v>
      </c>
      <c r="BT33" s="154">
        <v>634.0</v>
      </c>
      <c r="BU33" s="154">
        <v>634.0</v>
      </c>
      <c r="BV33" s="154">
        <v>634.0</v>
      </c>
      <c r="BW33" s="154">
        <v>634.0</v>
      </c>
      <c r="BX33" s="154">
        <v>634.0</v>
      </c>
      <c r="BY33" s="154">
        <v>634.0</v>
      </c>
      <c r="BZ33" s="154">
        <v>749.0</v>
      </c>
      <c r="CA33" s="154">
        <v>749.0</v>
      </c>
      <c r="CB33" s="111"/>
      <c r="CC33" s="154">
        <v>749.0</v>
      </c>
      <c r="CD33" s="154">
        <v>749.0</v>
      </c>
      <c r="CE33" s="157">
        <v>749.0</v>
      </c>
      <c r="CF33" s="157">
        <v>887.0</v>
      </c>
      <c r="CG33" s="157">
        <v>887.0</v>
      </c>
      <c r="CH33" s="157">
        <v>887.0</v>
      </c>
      <c r="CI33" s="157">
        <v>887.0</v>
      </c>
      <c r="CJ33" s="157">
        <v>887.0</v>
      </c>
      <c r="CK33" s="157">
        <v>887.0</v>
      </c>
      <c r="CL33" s="157">
        <v>887.0</v>
      </c>
      <c r="CM33" s="157">
        <v>887.0</v>
      </c>
      <c r="CN33" s="157">
        <v>887.0</v>
      </c>
      <c r="CO33" s="111"/>
      <c r="CP33" s="154"/>
      <c r="CQ33" s="154"/>
      <c r="CR33" s="111"/>
      <c r="CS33" s="111"/>
      <c r="CT33" s="111"/>
      <c r="CU33" s="111"/>
      <c r="CV33" s="111"/>
      <c r="CW33" s="111"/>
      <c r="CX33" s="111"/>
      <c r="CY33" s="111"/>
      <c r="CZ33" s="111"/>
      <c r="DA33" s="111"/>
    </row>
    <row r="34" ht="15.75" customHeight="1">
      <c r="A34" s="114" t="s">
        <v>158</v>
      </c>
      <c r="B34" s="148"/>
      <c r="C34" s="143"/>
      <c r="D34" s="143"/>
      <c r="E34" s="143"/>
      <c r="F34" s="143"/>
      <c r="G34" s="143"/>
      <c r="H34" s="143">
        <f t="shared" ref="H34:N34" si="56">H32*H33</f>
        <v>6422</v>
      </c>
      <c r="I34" s="143">
        <f t="shared" si="56"/>
        <v>7904</v>
      </c>
      <c r="J34" s="143">
        <f t="shared" si="56"/>
        <v>8892</v>
      </c>
      <c r="K34" s="143">
        <f t="shared" si="56"/>
        <v>10868</v>
      </c>
      <c r="L34" s="143">
        <f t="shared" si="56"/>
        <v>21242</v>
      </c>
      <c r="M34" s="143">
        <f t="shared" si="56"/>
        <v>29146</v>
      </c>
      <c r="N34" s="144">
        <f t="shared" si="56"/>
        <v>26676</v>
      </c>
      <c r="O34" s="145"/>
      <c r="P34" s="143">
        <f t="shared" ref="P34:AA34" si="57">P32*P33</f>
        <v>35074</v>
      </c>
      <c r="Q34" s="143">
        <f t="shared" si="57"/>
        <v>27170</v>
      </c>
      <c r="R34" s="143">
        <f t="shared" si="57"/>
        <v>22724</v>
      </c>
      <c r="S34" s="143">
        <f t="shared" si="57"/>
        <v>988</v>
      </c>
      <c r="T34" s="143">
        <f t="shared" si="57"/>
        <v>988</v>
      </c>
      <c r="U34" s="143">
        <f t="shared" si="57"/>
        <v>6916</v>
      </c>
      <c r="V34" s="143">
        <f t="shared" si="57"/>
        <v>7904</v>
      </c>
      <c r="W34" s="143">
        <f t="shared" si="57"/>
        <v>7904</v>
      </c>
      <c r="X34" s="143">
        <f t="shared" si="57"/>
        <v>7904</v>
      </c>
      <c r="Y34" s="143">
        <f t="shared" si="57"/>
        <v>12844</v>
      </c>
      <c r="Z34" s="143">
        <f t="shared" si="57"/>
        <v>18772</v>
      </c>
      <c r="AA34" s="144">
        <f t="shared" si="57"/>
        <v>29640</v>
      </c>
      <c r="AB34" s="145"/>
      <c r="AC34" s="143">
        <f t="shared" ref="AC34:AN34" si="58">AC32*AC33</f>
        <v>31122</v>
      </c>
      <c r="AD34" s="143">
        <f t="shared" si="58"/>
        <v>24700</v>
      </c>
      <c r="AE34" s="143">
        <f t="shared" si="58"/>
        <v>21736</v>
      </c>
      <c r="AF34" s="143">
        <f t="shared" si="58"/>
        <v>24206</v>
      </c>
      <c r="AG34" s="143">
        <f t="shared" si="58"/>
        <v>14820</v>
      </c>
      <c r="AH34" s="143">
        <f t="shared" si="58"/>
        <v>6916</v>
      </c>
      <c r="AI34" s="143">
        <f t="shared" si="58"/>
        <v>8398</v>
      </c>
      <c r="AJ34" s="143">
        <f t="shared" si="58"/>
        <v>7904</v>
      </c>
      <c r="AK34" s="143">
        <f t="shared" si="58"/>
        <v>11362</v>
      </c>
      <c r="AL34" s="143">
        <f t="shared" si="58"/>
        <v>22230</v>
      </c>
      <c r="AM34" s="143">
        <f t="shared" si="58"/>
        <v>29640</v>
      </c>
      <c r="AN34" s="144">
        <f t="shared" si="58"/>
        <v>31616</v>
      </c>
      <c r="AO34" s="112"/>
      <c r="AP34" s="146">
        <f t="shared" ref="AP34:BA34" si="59">AP32*AP33</f>
        <v>32604</v>
      </c>
      <c r="AQ34" s="146">
        <f t="shared" si="59"/>
        <v>27170</v>
      </c>
      <c r="AR34" s="146">
        <f t="shared" si="59"/>
        <v>29146</v>
      </c>
      <c r="AS34" s="146">
        <f t="shared" si="59"/>
        <v>22724</v>
      </c>
      <c r="AT34" s="146">
        <f t="shared" si="59"/>
        <v>10374</v>
      </c>
      <c r="AU34" s="146">
        <f t="shared" si="59"/>
        <v>1976</v>
      </c>
      <c r="AV34" s="146">
        <f t="shared" si="59"/>
        <v>8398</v>
      </c>
      <c r="AW34" s="146">
        <f t="shared" si="59"/>
        <v>7904</v>
      </c>
      <c r="AX34" s="146">
        <f t="shared" si="59"/>
        <v>12844</v>
      </c>
      <c r="AY34" s="146">
        <f t="shared" si="59"/>
        <v>18772</v>
      </c>
      <c r="AZ34" s="146">
        <f t="shared" si="59"/>
        <v>26182</v>
      </c>
      <c r="BA34" s="146">
        <f t="shared" si="59"/>
        <v>30628</v>
      </c>
      <c r="BB34" s="112"/>
      <c r="BC34" s="146">
        <f t="shared" ref="BC34:BN34" si="60">BC32*BC33</f>
        <v>30632</v>
      </c>
      <c r="BD34" s="146">
        <f t="shared" si="60"/>
        <v>35555</v>
      </c>
      <c r="BE34" s="146">
        <f t="shared" si="60"/>
        <v>29538</v>
      </c>
      <c r="BF34" s="146">
        <f t="shared" si="60"/>
        <v>26803</v>
      </c>
      <c r="BG34" s="146">
        <f t="shared" si="60"/>
        <v>14769</v>
      </c>
      <c r="BH34" s="146">
        <f t="shared" si="60"/>
        <v>8205</v>
      </c>
      <c r="BI34" s="146">
        <f t="shared" si="60"/>
        <v>9299</v>
      </c>
      <c r="BJ34" s="146">
        <f t="shared" si="60"/>
        <v>8752</v>
      </c>
      <c r="BK34" s="146">
        <f t="shared" si="60"/>
        <v>7111</v>
      </c>
      <c r="BL34" s="146">
        <f t="shared" si="60"/>
        <v>18051</v>
      </c>
      <c r="BM34" s="146">
        <f t="shared" si="60"/>
        <v>27897</v>
      </c>
      <c r="BN34" s="146">
        <f t="shared" si="60"/>
        <v>37196</v>
      </c>
      <c r="BO34" s="112"/>
      <c r="BP34" s="146">
        <f t="shared" ref="BP34:CA34" si="61">BP32*BP33</f>
        <v>44380</v>
      </c>
      <c r="BQ34" s="146">
        <f t="shared" si="61"/>
        <v>31066</v>
      </c>
      <c r="BR34" s="146">
        <f t="shared" si="61"/>
        <v>29164</v>
      </c>
      <c r="BS34" s="146">
        <f t="shared" si="61"/>
        <v>22190</v>
      </c>
      <c r="BT34" s="146">
        <f t="shared" si="61"/>
        <v>12046</v>
      </c>
      <c r="BU34" s="146">
        <f t="shared" si="61"/>
        <v>8876</v>
      </c>
      <c r="BV34" s="146">
        <f t="shared" si="61"/>
        <v>9510</v>
      </c>
      <c r="BW34" s="146">
        <f t="shared" si="61"/>
        <v>9510</v>
      </c>
      <c r="BX34" s="146">
        <f t="shared" si="61"/>
        <v>9510</v>
      </c>
      <c r="BY34" s="146">
        <f t="shared" si="61"/>
        <v>24726</v>
      </c>
      <c r="BZ34" s="146">
        <f t="shared" si="61"/>
        <v>41195</v>
      </c>
      <c r="CA34" s="146">
        <f t="shared" si="61"/>
        <v>49434</v>
      </c>
      <c r="CB34" s="112"/>
      <c r="CC34" s="146">
        <f t="shared" ref="CC34:CN34" si="62">CC32*CC33</f>
        <v>49434</v>
      </c>
      <c r="CD34" s="146">
        <f t="shared" si="62"/>
        <v>50183</v>
      </c>
      <c r="CE34" s="146">
        <f t="shared" si="62"/>
        <v>37450</v>
      </c>
      <c r="CF34" s="146">
        <f t="shared" si="62"/>
        <v>25723</v>
      </c>
      <c r="CG34" s="146">
        <f t="shared" si="62"/>
        <v>19514</v>
      </c>
      <c r="CH34" s="146">
        <f t="shared" si="62"/>
        <v>10644</v>
      </c>
      <c r="CI34" s="146">
        <f t="shared" si="62"/>
        <v>11531</v>
      </c>
      <c r="CJ34" s="146">
        <f t="shared" si="62"/>
        <v>12418</v>
      </c>
      <c r="CK34" s="146">
        <f t="shared" si="62"/>
        <v>14192</v>
      </c>
      <c r="CL34" s="146">
        <f t="shared" si="62"/>
        <v>29271</v>
      </c>
      <c r="CM34" s="146">
        <f t="shared" si="62"/>
        <v>39915</v>
      </c>
      <c r="CN34" s="146">
        <f t="shared" si="62"/>
        <v>51446</v>
      </c>
      <c r="CO34" s="112"/>
      <c r="CP34" s="168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</row>
    <row r="35" ht="15.75" customHeight="1">
      <c r="A35" s="126" t="s">
        <v>159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49"/>
      <c r="O35" s="111"/>
      <c r="P35" s="91"/>
      <c r="Q35" s="91"/>
      <c r="R35" s="91"/>
      <c r="S35" s="91"/>
      <c r="T35" s="91"/>
      <c r="U35" s="91"/>
      <c r="V35" s="91"/>
      <c r="W35" s="91"/>
      <c r="X35" s="111"/>
      <c r="Y35" s="111"/>
      <c r="Z35" s="111"/>
      <c r="AA35" s="111"/>
      <c r="AB35" s="9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49"/>
      <c r="AO35" s="111"/>
      <c r="AP35" s="111"/>
      <c r="AQ35" s="111"/>
      <c r="AR35" s="111"/>
      <c r="AS35" s="111"/>
      <c r="AT35" s="111"/>
      <c r="AU35" s="169" t="s">
        <v>166</v>
      </c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/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/>
      <c r="CS35" s="111"/>
      <c r="CT35" s="111"/>
      <c r="CU35" s="111"/>
      <c r="CV35" s="111"/>
      <c r="CW35" s="111"/>
      <c r="CX35" s="111"/>
      <c r="CY35" s="111"/>
      <c r="CZ35" s="111"/>
      <c r="DA35" s="111"/>
    </row>
    <row r="36" ht="15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91"/>
      <c r="Q36" s="91"/>
      <c r="R36" s="91"/>
      <c r="S36" s="91"/>
      <c r="T36" s="91"/>
      <c r="U36" s="91"/>
      <c r="V36" s="91"/>
      <c r="W36" s="91"/>
      <c r="X36" s="111"/>
      <c r="Y36" s="111"/>
      <c r="Z36" s="111"/>
      <c r="AA36" s="111"/>
      <c r="AB36" s="9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49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1"/>
      <c r="CF36" s="111"/>
      <c r="CG36" s="111"/>
      <c r="CH36" s="111"/>
      <c r="CI36" s="111"/>
      <c r="CJ36" s="111"/>
      <c r="CK36" s="111"/>
      <c r="CL36" s="111"/>
      <c r="CM36" s="111"/>
      <c r="CN36" s="111"/>
      <c r="CO36" s="111"/>
      <c r="CP36" s="111"/>
      <c r="CQ36" s="111"/>
      <c r="CR36" s="111"/>
      <c r="CS36" s="111"/>
      <c r="CT36" s="111"/>
      <c r="CU36" s="111"/>
      <c r="CV36" s="111"/>
      <c r="CW36" s="111"/>
      <c r="CX36" s="111"/>
      <c r="CY36" s="111"/>
      <c r="CZ36" s="111"/>
      <c r="DA36" s="111"/>
    </row>
    <row r="37" ht="15.75" customHeight="1">
      <c r="A37" s="170" t="s">
        <v>167</v>
      </c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9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2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1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</row>
    <row r="38" ht="15.75" customHeight="1">
      <c r="A38" s="173" t="s">
        <v>146</v>
      </c>
      <c r="B38" s="111"/>
      <c r="C38" s="174" t="str">
        <f t="shared" ref="C38:N38" si="63">C9/C2/100</f>
        <v>#DIV/0!</v>
      </c>
      <c r="D38" s="174" t="str">
        <f t="shared" si="63"/>
        <v>#DIV/0!</v>
      </c>
      <c r="E38" s="174" t="str">
        <f t="shared" si="63"/>
        <v>#DIV/0!</v>
      </c>
      <c r="F38" s="174" t="str">
        <f t="shared" si="63"/>
        <v>#DIV/0!</v>
      </c>
      <c r="G38" s="174" t="str">
        <f t="shared" si="63"/>
        <v>#DIV/0!</v>
      </c>
      <c r="H38" s="174" t="str">
        <f t="shared" si="63"/>
        <v>#DIV/0!</v>
      </c>
      <c r="I38" s="174" t="str">
        <f t="shared" si="63"/>
        <v>#DIV/0!</v>
      </c>
      <c r="J38" s="174" t="str">
        <f t="shared" si="63"/>
        <v>#DIV/0!</v>
      </c>
      <c r="K38" s="174" t="str">
        <f t="shared" si="63"/>
        <v>#DIV/0!</v>
      </c>
      <c r="L38" s="174" t="str">
        <f t="shared" si="63"/>
        <v>#DIV/0!</v>
      </c>
      <c r="M38" s="174" t="str">
        <f t="shared" si="63"/>
        <v>#DIV/0!</v>
      </c>
      <c r="N38" s="174" t="str">
        <f t="shared" si="63"/>
        <v>#DIV/0!</v>
      </c>
      <c r="O38" s="175"/>
      <c r="P38" s="174" t="str">
        <f t="shared" ref="P38:AA38" si="64">P9/P2/100</f>
        <v>#DIV/0!</v>
      </c>
      <c r="Q38" s="174" t="str">
        <f t="shared" si="64"/>
        <v>#DIV/0!</v>
      </c>
      <c r="R38" s="174" t="str">
        <f t="shared" si="64"/>
        <v>#DIV/0!</v>
      </c>
      <c r="S38" s="174" t="str">
        <f t="shared" si="64"/>
        <v>#DIV/0!</v>
      </c>
      <c r="T38" s="174" t="str">
        <f t="shared" si="64"/>
        <v>#DIV/0!</v>
      </c>
      <c r="U38" s="174" t="str">
        <f t="shared" si="64"/>
        <v>#DIV/0!</v>
      </c>
      <c r="V38" s="174" t="str">
        <f t="shared" si="64"/>
        <v>#DIV/0!</v>
      </c>
      <c r="W38" s="174" t="str">
        <f t="shared" si="64"/>
        <v>#DIV/0!</v>
      </c>
      <c r="X38" s="174" t="str">
        <f t="shared" si="64"/>
        <v>#DIV/0!</v>
      </c>
      <c r="Y38" s="174" t="str">
        <f t="shared" si="64"/>
        <v>#DIV/0!</v>
      </c>
      <c r="Z38" s="174" t="str">
        <f t="shared" si="64"/>
        <v>#DIV/0!</v>
      </c>
      <c r="AA38" s="174" t="str">
        <f t="shared" si="64"/>
        <v>#DIV/0!</v>
      </c>
      <c r="AB38" s="175"/>
      <c r="AC38" s="174" t="str">
        <f t="shared" ref="AC38:AN38" si="65">AC9/AC2/100</f>
        <v>#DIV/0!</v>
      </c>
      <c r="AD38" s="174" t="str">
        <f t="shared" si="65"/>
        <v>#DIV/0!</v>
      </c>
      <c r="AE38" s="174" t="str">
        <f t="shared" si="65"/>
        <v>#DIV/0!</v>
      </c>
      <c r="AF38" s="174" t="str">
        <f t="shared" si="65"/>
        <v>#DIV/0!</v>
      </c>
      <c r="AG38" s="174" t="str">
        <f t="shared" si="65"/>
        <v>#DIV/0!</v>
      </c>
      <c r="AH38" s="174" t="str">
        <f t="shared" si="65"/>
        <v>#DIV/0!</v>
      </c>
      <c r="AI38" s="174" t="str">
        <f t="shared" si="65"/>
        <v>#DIV/0!</v>
      </c>
      <c r="AJ38" s="174" t="str">
        <f t="shared" si="65"/>
        <v>#DIV/0!</v>
      </c>
      <c r="AK38" s="174" t="str">
        <f t="shared" si="65"/>
        <v>#DIV/0!</v>
      </c>
      <c r="AL38" s="174" t="str">
        <f t="shared" si="65"/>
        <v>#DIV/0!</v>
      </c>
      <c r="AM38" s="174" t="str">
        <f t="shared" si="65"/>
        <v>#DIV/0!</v>
      </c>
      <c r="AN38" s="176" t="str">
        <f t="shared" si="65"/>
        <v>#DIV/0!</v>
      </c>
      <c r="AO38" s="175"/>
      <c r="AP38" s="174">
        <f t="shared" ref="AP38:BA38" si="66">AP9/AP2/100</f>
        <v>60.14285714</v>
      </c>
      <c r="AQ38" s="174">
        <f t="shared" si="66"/>
        <v>58.921875</v>
      </c>
      <c r="AR38" s="174">
        <f t="shared" si="66"/>
        <v>66.61538462</v>
      </c>
      <c r="AS38" s="174">
        <f t="shared" si="66"/>
        <v>60</v>
      </c>
      <c r="AT38" s="174">
        <f t="shared" si="66"/>
        <v>63.87272727</v>
      </c>
      <c r="AU38" s="174">
        <f t="shared" si="66"/>
        <v>62.98214286</v>
      </c>
      <c r="AV38" s="174">
        <f t="shared" si="66"/>
        <v>47.12941176</v>
      </c>
      <c r="AW38" s="174">
        <f t="shared" si="66"/>
        <v>51.82954545</v>
      </c>
      <c r="AX38" s="174">
        <f t="shared" si="66"/>
        <v>51.26470588</v>
      </c>
      <c r="AY38" s="174">
        <f t="shared" si="66"/>
        <v>60.21621622</v>
      </c>
      <c r="AZ38" s="174">
        <f t="shared" si="66"/>
        <v>65.81690141</v>
      </c>
      <c r="BA38" s="174">
        <f t="shared" si="66"/>
        <v>71.24615385</v>
      </c>
      <c r="BB38" s="175"/>
      <c r="BC38" s="174">
        <f t="shared" ref="BC38:BN38" si="67">BC9/BC2/100</f>
        <v>61.41891892</v>
      </c>
      <c r="BD38" s="174">
        <f t="shared" si="67"/>
        <v>57.20481928</v>
      </c>
      <c r="BE38" s="174">
        <f t="shared" si="67"/>
        <v>62.1884058</v>
      </c>
      <c r="BF38" s="174">
        <f t="shared" si="67"/>
        <v>54</v>
      </c>
      <c r="BG38" s="174">
        <f t="shared" si="67"/>
        <v>54.02564103</v>
      </c>
      <c r="BH38" s="174">
        <f t="shared" si="67"/>
        <v>54.75384615</v>
      </c>
      <c r="BI38" s="174">
        <f t="shared" si="67"/>
        <v>50.65555556</v>
      </c>
      <c r="BJ38" s="174">
        <f t="shared" si="67"/>
        <v>49</v>
      </c>
      <c r="BK38" s="174">
        <f t="shared" si="67"/>
        <v>60.76470588</v>
      </c>
      <c r="BL38" s="174">
        <f t="shared" si="67"/>
        <v>64.09859155</v>
      </c>
      <c r="BM38" s="174">
        <f t="shared" si="67"/>
        <v>83.79245283</v>
      </c>
      <c r="BN38" s="174">
        <f t="shared" si="67"/>
        <v>70.90140845</v>
      </c>
      <c r="BO38" s="175"/>
      <c r="BP38" s="174">
        <f t="shared" ref="BP38:CA38" si="68">BP10/BP2/100</f>
        <v>77.47692308</v>
      </c>
      <c r="BQ38" s="174">
        <f t="shared" si="68"/>
        <v>70.17948718</v>
      </c>
      <c r="BR38" s="174">
        <f t="shared" si="68"/>
        <v>64.26865672</v>
      </c>
      <c r="BS38" s="174">
        <f t="shared" si="68"/>
        <v>91.16363636</v>
      </c>
      <c r="BT38" s="174">
        <f t="shared" si="68"/>
        <v>57.89473684</v>
      </c>
      <c r="BU38" s="174">
        <f t="shared" si="68"/>
        <v>67.94736842</v>
      </c>
      <c r="BV38" s="174">
        <f t="shared" si="68"/>
        <v>61.32142857</v>
      </c>
      <c r="BW38" s="174">
        <f t="shared" si="68"/>
        <v>55.84444444</v>
      </c>
      <c r="BX38" s="174">
        <f t="shared" si="68"/>
        <v>59.69333333</v>
      </c>
      <c r="BY38" s="174">
        <f t="shared" si="68"/>
        <v>60.05063291</v>
      </c>
      <c r="BZ38" s="174">
        <f t="shared" si="68"/>
        <v>64</v>
      </c>
      <c r="CA38" s="174">
        <f t="shared" si="68"/>
        <v>73.4</v>
      </c>
      <c r="CB38" s="175"/>
      <c r="CC38" s="174">
        <f t="shared" ref="CC38:CN38" si="69">CC10/CC2/100</f>
        <v>80.41935484</v>
      </c>
      <c r="CD38" s="174">
        <f t="shared" si="69"/>
        <v>66.52054795</v>
      </c>
      <c r="CE38" s="174">
        <f t="shared" si="69"/>
        <v>70.2739726</v>
      </c>
      <c r="CF38" s="174">
        <f t="shared" si="69"/>
        <v>51.69565217</v>
      </c>
      <c r="CG38" s="174">
        <f t="shared" si="69"/>
        <v>52.94252874</v>
      </c>
      <c r="CH38" s="174">
        <f t="shared" si="69"/>
        <v>40.1547619</v>
      </c>
      <c r="CI38" s="174">
        <f t="shared" si="69"/>
        <v>45.76344086</v>
      </c>
      <c r="CJ38" s="174">
        <f t="shared" si="69"/>
        <v>49.65217391</v>
      </c>
      <c r="CK38" s="174">
        <f t="shared" si="69"/>
        <v>47.32911392</v>
      </c>
      <c r="CL38" s="174">
        <f t="shared" si="69"/>
        <v>58.48</v>
      </c>
      <c r="CM38" s="174">
        <f t="shared" si="69"/>
        <v>82.75925926</v>
      </c>
      <c r="CN38" s="174">
        <f t="shared" si="69"/>
        <v>61.32467532</v>
      </c>
      <c r="CO38" s="175"/>
      <c r="CP38" s="174" t="str">
        <f t="shared" ref="CP38:DA38" si="70">CP9/CP2/100</f>
        <v>#DIV/0!</v>
      </c>
      <c r="CQ38" s="174" t="str">
        <f t="shared" si="70"/>
        <v>#DIV/0!</v>
      </c>
      <c r="CR38" s="174" t="str">
        <f t="shared" si="70"/>
        <v>#DIV/0!</v>
      </c>
      <c r="CS38" s="174" t="str">
        <f t="shared" si="70"/>
        <v>#DIV/0!</v>
      </c>
      <c r="CT38" s="174" t="str">
        <f t="shared" si="70"/>
        <v>#DIV/0!</v>
      </c>
      <c r="CU38" s="174" t="str">
        <f t="shared" si="70"/>
        <v>#DIV/0!</v>
      </c>
      <c r="CV38" s="174" t="str">
        <f t="shared" si="70"/>
        <v>#DIV/0!</v>
      </c>
      <c r="CW38" s="174" t="str">
        <f t="shared" si="70"/>
        <v>#DIV/0!</v>
      </c>
      <c r="CX38" s="174" t="str">
        <f t="shared" si="70"/>
        <v>#DIV/0!</v>
      </c>
      <c r="CY38" s="174" t="str">
        <f t="shared" si="70"/>
        <v>#DIV/0!</v>
      </c>
      <c r="CZ38" s="174" t="str">
        <f t="shared" si="70"/>
        <v>#DIV/0!</v>
      </c>
      <c r="DA38" s="174" t="str">
        <f t="shared" si="70"/>
        <v>#DIV/0!</v>
      </c>
    </row>
    <row r="39" ht="15.75" customHeight="1">
      <c r="A39" s="173" t="s">
        <v>168</v>
      </c>
      <c r="B39" s="111"/>
      <c r="C39" s="174" t="str">
        <f t="shared" ref="C39:N39" si="71">C23/C2/100</f>
        <v>#DIV/0!</v>
      </c>
      <c r="D39" s="174" t="str">
        <f t="shared" si="71"/>
        <v>#DIV/0!</v>
      </c>
      <c r="E39" s="174" t="str">
        <f t="shared" si="71"/>
        <v>#DIV/0!</v>
      </c>
      <c r="F39" s="174" t="str">
        <f t="shared" si="71"/>
        <v>#DIV/0!</v>
      </c>
      <c r="G39" s="174" t="str">
        <f t="shared" si="71"/>
        <v>#DIV/0!</v>
      </c>
      <c r="H39" s="174" t="str">
        <f t="shared" si="71"/>
        <v>#DIV/0!</v>
      </c>
      <c r="I39" s="174" t="str">
        <f t="shared" si="71"/>
        <v>#DIV/0!</v>
      </c>
      <c r="J39" s="174" t="str">
        <f t="shared" si="71"/>
        <v>#DIV/0!</v>
      </c>
      <c r="K39" s="174" t="str">
        <f t="shared" si="71"/>
        <v>#DIV/0!</v>
      </c>
      <c r="L39" s="174" t="str">
        <f t="shared" si="71"/>
        <v>#DIV/0!</v>
      </c>
      <c r="M39" s="174" t="str">
        <f t="shared" si="71"/>
        <v>#DIV/0!</v>
      </c>
      <c r="N39" s="174" t="str">
        <f t="shared" si="71"/>
        <v>#DIV/0!</v>
      </c>
      <c r="O39" s="175"/>
      <c r="P39" s="174" t="str">
        <f t="shared" ref="P39:AA39" si="72">P23/P2/100</f>
        <v>#DIV/0!</v>
      </c>
      <c r="Q39" s="174" t="str">
        <f t="shared" si="72"/>
        <v>#DIV/0!</v>
      </c>
      <c r="R39" s="174" t="str">
        <f t="shared" si="72"/>
        <v>#DIV/0!</v>
      </c>
      <c r="S39" s="174" t="str">
        <f t="shared" si="72"/>
        <v>#DIV/0!</v>
      </c>
      <c r="T39" s="174" t="str">
        <f t="shared" si="72"/>
        <v>#DIV/0!</v>
      </c>
      <c r="U39" s="174" t="str">
        <f t="shared" si="72"/>
        <v>#DIV/0!</v>
      </c>
      <c r="V39" s="174" t="str">
        <f t="shared" si="72"/>
        <v>#DIV/0!</v>
      </c>
      <c r="W39" s="174" t="str">
        <f t="shared" si="72"/>
        <v>#DIV/0!</v>
      </c>
      <c r="X39" s="174" t="str">
        <f t="shared" si="72"/>
        <v>#DIV/0!</v>
      </c>
      <c r="Y39" s="174" t="str">
        <f t="shared" si="72"/>
        <v>#DIV/0!</v>
      </c>
      <c r="Z39" s="174" t="str">
        <f t="shared" si="72"/>
        <v>#DIV/0!</v>
      </c>
      <c r="AA39" s="174" t="str">
        <f t="shared" si="72"/>
        <v>#DIV/0!</v>
      </c>
      <c r="AB39" s="175"/>
      <c r="AC39" s="174" t="str">
        <f t="shared" ref="AC39:AN39" si="73">AC23/AC2/100</f>
        <v>#DIV/0!</v>
      </c>
      <c r="AD39" s="174" t="str">
        <f t="shared" si="73"/>
        <v>#DIV/0!</v>
      </c>
      <c r="AE39" s="174" t="str">
        <f t="shared" si="73"/>
        <v>#DIV/0!</v>
      </c>
      <c r="AF39" s="174" t="str">
        <f t="shared" si="73"/>
        <v>#DIV/0!</v>
      </c>
      <c r="AG39" s="174" t="str">
        <f t="shared" si="73"/>
        <v>#DIV/0!</v>
      </c>
      <c r="AH39" s="174" t="str">
        <f t="shared" si="73"/>
        <v>#DIV/0!</v>
      </c>
      <c r="AI39" s="174" t="str">
        <f t="shared" si="73"/>
        <v>#DIV/0!</v>
      </c>
      <c r="AJ39" s="174" t="str">
        <f t="shared" si="73"/>
        <v>#DIV/0!</v>
      </c>
      <c r="AK39" s="174" t="str">
        <f t="shared" si="73"/>
        <v>#DIV/0!</v>
      </c>
      <c r="AL39" s="174" t="str">
        <f t="shared" si="73"/>
        <v>#DIV/0!</v>
      </c>
      <c r="AM39" s="174" t="str">
        <f t="shared" si="73"/>
        <v>#DIV/0!</v>
      </c>
      <c r="AN39" s="176" t="str">
        <f t="shared" si="73"/>
        <v>#DIV/0!</v>
      </c>
      <c r="AO39" s="175"/>
      <c r="AP39" s="174">
        <f t="shared" ref="AP39:BA39" si="74">AP23/AP2/100</f>
        <v>1.079365079</v>
      </c>
      <c r="AQ39" s="174">
        <f t="shared" si="74"/>
        <v>1.4375</v>
      </c>
      <c r="AR39" s="174">
        <f t="shared" si="74"/>
        <v>1.661538462</v>
      </c>
      <c r="AS39" s="174">
        <f t="shared" si="74"/>
        <v>1.675675676</v>
      </c>
      <c r="AT39" s="174">
        <f t="shared" si="74"/>
        <v>1.654545455</v>
      </c>
      <c r="AU39" s="174">
        <f t="shared" si="74"/>
        <v>1.589285714</v>
      </c>
      <c r="AV39" s="174">
        <f t="shared" si="74"/>
        <v>1.6</v>
      </c>
      <c r="AW39" s="174">
        <f t="shared" si="74"/>
        <v>1.636363636</v>
      </c>
      <c r="AX39" s="174">
        <f t="shared" si="74"/>
        <v>1.411764706</v>
      </c>
      <c r="AY39" s="174">
        <f t="shared" si="74"/>
        <v>2.135135135</v>
      </c>
      <c r="AZ39" s="174">
        <f t="shared" si="74"/>
        <v>1.521126761</v>
      </c>
      <c r="BA39" s="174">
        <f t="shared" si="74"/>
        <v>1.630769231</v>
      </c>
      <c r="BB39" s="175"/>
      <c r="BC39" s="174">
        <f t="shared" ref="BC39:BN39" si="75">BC23/BC2/100</f>
        <v>1.445945946</v>
      </c>
      <c r="BD39" s="174">
        <f t="shared" si="75"/>
        <v>1.530120482</v>
      </c>
      <c r="BE39" s="174">
        <f t="shared" si="75"/>
        <v>1.492753623</v>
      </c>
      <c r="BF39" s="174">
        <f t="shared" si="75"/>
        <v>1.564102564</v>
      </c>
      <c r="BG39" s="174">
        <f t="shared" si="75"/>
        <v>1.487179487</v>
      </c>
      <c r="BH39" s="174">
        <f t="shared" si="75"/>
        <v>1.323076923</v>
      </c>
      <c r="BI39" s="174">
        <f t="shared" si="75"/>
        <v>1.666666667</v>
      </c>
      <c r="BJ39" s="174">
        <f t="shared" si="75"/>
        <v>1.550561798</v>
      </c>
      <c r="BK39" s="174">
        <f t="shared" si="75"/>
        <v>1.426470588</v>
      </c>
      <c r="BL39" s="174">
        <f t="shared" si="75"/>
        <v>1.521126761</v>
      </c>
      <c r="BM39" s="174">
        <f t="shared" si="75"/>
        <v>1.58490566</v>
      </c>
      <c r="BN39" s="174">
        <f t="shared" si="75"/>
        <v>1.704225352</v>
      </c>
      <c r="BO39" s="175"/>
      <c r="BP39" s="174">
        <f t="shared" ref="BP39:CA39" si="76">BP24/BP2/100</f>
        <v>1.446153846</v>
      </c>
      <c r="BQ39" s="174">
        <f t="shared" si="76"/>
        <v>1.397435897</v>
      </c>
      <c r="BR39" s="174">
        <f t="shared" si="76"/>
        <v>1.47761194</v>
      </c>
      <c r="BS39" s="174">
        <f t="shared" si="76"/>
        <v>1.854545455</v>
      </c>
      <c r="BT39" s="174">
        <f t="shared" si="76"/>
        <v>1.355263158</v>
      </c>
      <c r="BU39" s="174">
        <f t="shared" si="76"/>
        <v>1.543859649</v>
      </c>
      <c r="BV39" s="174">
        <f t="shared" si="76"/>
        <v>1.511904762</v>
      </c>
      <c r="BW39" s="174">
        <f t="shared" si="76"/>
        <v>1.466666667</v>
      </c>
      <c r="BX39" s="174">
        <f t="shared" si="76"/>
        <v>1.213333333</v>
      </c>
      <c r="BY39" s="174">
        <f t="shared" si="76"/>
        <v>1.46835443</v>
      </c>
      <c r="BZ39" s="174">
        <f t="shared" si="76"/>
        <v>1.134328358</v>
      </c>
      <c r="CA39" s="174">
        <f t="shared" si="76"/>
        <v>1.728571429</v>
      </c>
      <c r="CB39" s="175"/>
      <c r="CC39" s="174">
        <f t="shared" ref="CC39:CN39" si="77">CC24/CC2/100</f>
        <v>1.693548387</v>
      </c>
      <c r="CD39" s="174">
        <f t="shared" si="77"/>
        <v>1.493150685</v>
      </c>
      <c r="CE39" s="174">
        <f t="shared" si="77"/>
        <v>1.589041096</v>
      </c>
      <c r="CF39" s="174">
        <f t="shared" si="77"/>
        <v>1.152173913</v>
      </c>
      <c r="CG39" s="174">
        <f t="shared" si="77"/>
        <v>1.83908046</v>
      </c>
      <c r="CH39" s="174">
        <f t="shared" si="77"/>
        <v>0.7976190476</v>
      </c>
      <c r="CI39" s="174">
        <f t="shared" si="77"/>
        <v>1.064516129</v>
      </c>
      <c r="CJ39" s="174">
        <f t="shared" si="77"/>
        <v>1.065217391</v>
      </c>
      <c r="CK39" s="174">
        <f t="shared" si="77"/>
        <v>0.8860759494</v>
      </c>
      <c r="CL39" s="174">
        <f t="shared" si="77"/>
        <v>1.226666667</v>
      </c>
      <c r="CM39" s="174">
        <f t="shared" si="77"/>
        <v>1.481481481</v>
      </c>
      <c r="CN39" s="174">
        <f t="shared" si="77"/>
        <v>1.116883117</v>
      </c>
      <c r="CO39" s="175"/>
      <c r="CP39" s="174" t="str">
        <f t="shared" ref="CP39:DA39" si="78">CP23/CP2/100</f>
        <v>#DIV/0!</v>
      </c>
      <c r="CQ39" s="174" t="str">
        <f t="shared" si="78"/>
        <v>#DIV/0!</v>
      </c>
      <c r="CR39" s="174" t="str">
        <f t="shared" si="78"/>
        <v>#DIV/0!</v>
      </c>
      <c r="CS39" s="174" t="str">
        <f t="shared" si="78"/>
        <v>#DIV/0!</v>
      </c>
      <c r="CT39" s="174" t="str">
        <f t="shared" si="78"/>
        <v>#DIV/0!</v>
      </c>
      <c r="CU39" s="174" t="str">
        <f t="shared" si="78"/>
        <v>#DIV/0!</v>
      </c>
      <c r="CV39" s="174" t="str">
        <f t="shared" si="78"/>
        <v>#DIV/0!</v>
      </c>
      <c r="CW39" s="174" t="str">
        <f t="shared" si="78"/>
        <v>#DIV/0!</v>
      </c>
      <c r="CX39" s="174" t="str">
        <f t="shared" si="78"/>
        <v>#DIV/0!</v>
      </c>
      <c r="CY39" s="174" t="str">
        <f t="shared" si="78"/>
        <v>#DIV/0!</v>
      </c>
      <c r="CZ39" s="174" t="str">
        <f t="shared" si="78"/>
        <v>#DIV/0!</v>
      </c>
      <c r="DA39" s="174" t="str">
        <f t="shared" si="78"/>
        <v>#DIV/0!</v>
      </c>
    </row>
    <row r="40" ht="15.75" customHeight="1">
      <c r="A40" s="173" t="s">
        <v>169</v>
      </c>
      <c r="B40" s="111"/>
      <c r="C40" s="174" t="str">
        <f t="shared" ref="C40:N40" si="79">#REF!/C2/100</f>
        <v>#REF!</v>
      </c>
      <c r="D40" s="174" t="str">
        <f t="shared" si="79"/>
        <v>#REF!</v>
      </c>
      <c r="E40" s="174" t="str">
        <f t="shared" si="79"/>
        <v>#REF!</v>
      </c>
      <c r="F40" s="174" t="str">
        <f t="shared" si="79"/>
        <v>#REF!</v>
      </c>
      <c r="G40" s="174" t="str">
        <f t="shared" si="79"/>
        <v>#REF!</v>
      </c>
      <c r="H40" s="174" t="str">
        <f t="shared" si="79"/>
        <v>#REF!</v>
      </c>
      <c r="I40" s="174" t="str">
        <f t="shared" si="79"/>
        <v>#REF!</v>
      </c>
      <c r="J40" s="174" t="str">
        <f t="shared" si="79"/>
        <v>#REF!</v>
      </c>
      <c r="K40" s="174" t="str">
        <f t="shared" si="79"/>
        <v>#REF!</v>
      </c>
      <c r="L40" s="174" t="str">
        <f t="shared" si="79"/>
        <v>#REF!</v>
      </c>
      <c r="M40" s="174" t="str">
        <f t="shared" si="79"/>
        <v>#REF!</v>
      </c>
      <c r="N40" s="174" t="str">
        <f t="shared" si="79"/>
        <v>#REF!</v>
      </c>
      <c r="O40" s="175"/>
      <c r="P40" s="174" t="str">
        <f t="shared" ref="P40:AA40" si="80">#REF!/P2/100</f>
        <v>#REF!</v>
      </c>
      <c r="Q40" s="174" t="str">
        <f t="shared" si="80"/>
        <v>#REF!</v>
      </c>
      <c r="R40" s="174" t="str">
        <f t="shared" si="80"/>
        <v>#REF!</v>
      </c>
      <c r="S40" s="174" t="str">
        <f t="shared" si="80"/>
        <v>#REF!</v>
      </c>
      <c r="T40" s="174" t="str">
        <f t="shared" si="80"/>
        <v>#REF!</v>
      </c>
      <c r="U40" s="174" t="str">
        <f t="shared" si="80"/>
        <v>#REF!</v>
      </c>
      <c r="V40" s="174" t="str">
        <f t="shared" si="80"/>
        <v>#REF!</v>
      </c>
      <c r="W40" s="174" t="str">
        <f t="shared" si="80"/>
        <v>#REF!</v>
      </c>
      <c r="X40" s="174" t="str">
        <f t="shared" si="80"/>
        <v>#REF!</v>
      </c>
      <c r="Y40" s="174" t="str">
        <f t="shared" si="80"/>
        <v>#REF!</v>
      </c>
      <c r="Z40" s="174" t="str">
        <f t="shared" si="80"/>
        <v>#REF!</v>
      </c>
      <c r="AA40" s="174" t="str">
        <f t="shared" si="80"/>
        <v>#REF!</v>
      </c>
      <c r="AB40" s="175"/>
      <c r="AC40" s="174" t="str">
        <f t="shared" ref="AC40:AN40" si="81">#REF!/AC2/100</f>
        <v>#REF!</v>
      </c>
      <c r="AD40" s="174" t="str">
        <f t="shared" si="81"/>
        <v>#REF!</v>
      </c>
      <c r="AE40" s="174" t="str">
        <f t="shared" si="81"/>
        <v>#REF!</v>
      </c>
      <c r="AF40" s="174" t="str">
        <f t="shared" si="81"/>
        <v>#REF!</v>
      </c>
      <c r="AG40" s="174" t="str">
        <f t="shared" si="81"/>
        <v>#REF!</v>
      </c>
      <c r="AH40" s="174" t="str">
        <f t="shared" si="81"/>
        <v>#REF!</v>
      </c>
      <c r="AI40" s="174" t="str">
        <f t="shared" si="81"/>
        <v>#REF!</v>
      </c>
      <c r="AJ40" s="174" t="str">
        <f t="shared" si="81"/>
        <v>#REF!</v>
      </c>
      <c r="AK40" s="174" t="str">
        <f t="shared" si="81"/>
        <v>#REF!</v>
      </c>
      <c r="AL40" s="174" t="str">
        <f t="shared" si="81"/>
        <v>#REF!</v>
      </c>
      <c r="AM40" s="174" t="str">
        <f t="shared" si="81"/>
        <v>#REF!</v>
      </c>
      <c r="AN40" s="176" t="str">
        <f t="shared" si="81"/>
        <v>#REF!</v>
      </c>
      <c r="AO40" s="175"/>
      <c r="AP40" s="174">
        <f t="shared" ref="AP40:BA40" si="82">AP32/AP2/100</f>
        <v>1.047619048</v>
      </c>
      <c r="AQ40" s="174">
        <f t="shared" si="82"/>
        <v>0.859375</v>
      </c>
      <c r="AR40" s="174">
        <f t="shared" si="82"/>
        <v>0.9076923077</v>
      </c>
      <c r="AS40" s="174">
        <f t="shared" si="82"/>
        <v>0.6216216216</v>
      </c>
      <c r="AT40" s="174">
        <f t="shared" si="82"/>
        <v>0.3818181818</v>
      </c>
      <c r="AU40" s="174">
        <f t="shared" si="82"/>
        <v>0.07142857143</v>
      </c>
      <c r="AV40" s="174">
        <f t="shared" si="82"/>
        <v>0.2</v>
      </c>
      <c r="AW40" s="174">
        <f t="shared" si="82"/>
        <v>0.1818181818</v>
      </c>
      <c r="AX40" s="174">
        <f t="shared" si="82"/>
        <v>0.3823529412</v>
      </c>
      <c r="AY40" s="174">
        <f t="shared" si="82"/>
        <v>0.5135135135</v>
      </c>
      <c r="AZ40" s="174">
        <f t="shared" si="82"/>
        <v>0.7464788732</v>
      </c>
      <c r="BA40" s="174">
        <f t="shared" si="82"/>
        <v>0.9538461538</v>
      </c>
      <c r="BB40" s="174"/>
      <c r="BC40" s="174">
        <f t="shared" ref="BC40:BN40" si="83">BC32/BC2/100</f>
        <v>0.7567567568</v>
      </c>
      <c r="BD40" s="174">
        <f t="shared" si="83"/>
        <v>0.7831325301</v>
      </c>
      <c r="BE40" s="174">
        <f t="shared" si="83"/>
        <v>0.7826086957</v>
      </c>
      <c r="BF40" s="174">
        <f t="shared" si="83"/>
        <v>0.6282051282</v>
      </c>
      <c r="BG40" s="174">
        <f t="shared" si="83"/>
        <v>0.3461538462</v>
      </c>
      <c r="BH40" s="174">
        <f t="shared" si="83"/>
        <v>0.2307692308</v>
      </c>
      <c r="BI40" s="174">
        <f t="shared" si="83"/>
        <v>0.1888888889</v>
      </c>
      <c r="BJ40" s="174">
        <f t="shared" si="83"/>
        <v>0.1797752809</v>
      </c>
      <c r="BK40" s="174">
        <f t="shared" si="83"/>
        <v>0.1911764706</v>
      </c>
      <c r="BL40" s="174">
        <f t="shared" si="83"/>
        <v>0.4647887324</v>
      </c>
      <c r="BM40" s="174">
        <f t="shared" si="83"/>
        <v>0.9622641509</v>
      </c>
      <c r="BN40" s="174">
        <f t="shared" si="83"/>
        <v>0.9577464789</v>
      </c>
      <c r="BO40" s="174"/>
      <c r="BP40" s="174">
        <f t="shared" ref="BP40:CA40" si="84">BP32/BP2/100</f>
        <v>1.076923077</v>
      </c>
      <c r="BQ40" s="174">
        <f t="shared" si="84"/>
        <v>0.6282051282</v>
      </c>
      <c r="BR40" s="174">
        <f t="shared" si="84"/>
        <v>0.6865671642</v>
      </c>
      <c r="BS40" s="174">
        <f t="shared" si="84"/>
        <v>0.6363636364</v>
      </c>
      <c r="BT40" s="174">
        <f t="shared" si="84"/>
        <v>0.25</v>
      </c>
      <c r="BU40" s="174">
        <f t="shared" si="84"/>
        <v>0.2456140351</v>
      </c>
      <c r="BV40" s="174">
        <f t="shared" si="84"/>
        <v>0.1785714286</v>
      </c>
      <c r="BW40" s="174">
        <f t="shared" si="84"/>
        <v>0.1666666667</v>
      </c>
      <c r="BX40" s="174">
        <f t="shared" si="84"/>
        <v>0.2</v>
      </c>
      <c r="BY40" s="174">
        <f t="shared" si="84"/>
        <v>0.4936708861</v>
      </c>
      <c r="BZ40" s="174">
        <f t="shared" si="84"/>
        <v>0.8208955224</v>
      </c>
      <c r="CA40" s="174">
        <f t="shared" si="84"/>
        <v>0.9428571429</v>
      </c>
      <c r="CB40" s="174"/>
      <c r="CC40" s="174">
        <f t="shared" ref="CC40:CN40" si="85">CC32/CC2/100</f>
        <v>1.064516129</v>
      </c>
      <c r="CD40" s="174">
        <f t="shared" si="85"/>
        <v>0.9178082192</v>
      </c>
      <c r="CE40" s="174">
        <f t="shared" si="85"/>
        <v>0.6849315068</v>
      </c>
      <c r="CF40" s="174">
        <f t="shared" si="85"/>
        <v>0.3152173913</v>
      </c>
      <c r="CG40" s="174">
        <f t="shared" si="85"/>
        <v>0.2528735632</v>
      </c>
      <c r="CH40" s="174">
        <f t="shared" si="85"/>
        <v>0.1428571429</v>
      </c>
      <c r="CI40" s="174">
        <f t="shared" si="85"/>
        <v>0.1397849462</v>
      </c>
      <c r="CJ40" s="174">
        <f t="shared" si="85"/>
        <v>0.152173913</v>
      </c>
      <c r="CK40" s="174">
        <f t="shared" si="85"/>
        <v>0.2025316456</v>
      </c>
      <c r="CL40" s="174">
        <f t="shared" si="85"/>
        <v>0.44</v>
      </c>
      <c r="CM40" s="174">
        <f t="shared" si="85"/>
        <v>0.8333333333</v>
      </c>
      <c r="CN40" s="174">
        <f t="shared" si="85"/>
        <v>0.7532467532</v>
      </c>
      <c r="CO40" s="174"/>
      <c r="CP40" s="174" t="str">
        <f t="shared" ref="CP40:DA40" si="86">CP32/CP2/100</f>
        <v>#DIV/0!</v>
      </c>
      <c r="CQ40" s="174" t="str">
        <f t="shared" si="86"/>
        <v>#DIV/0!</v>
      </c>
      <c r="CR40" s="174" t="str">
        <f t="shared" si="86"/>
        <v>#DIV/0!</v>
      </c>
      <c r="CS40" s="174" t="str">
        <f t="shared" si="86"/>
        <v>#DIV/0!</v>
      </c>
      <c r="CT40" s="174" t="str">
        <f t="shared" si="86"/>
        <v>#DIV/0!</v>
      </c>
      <c r="CU40" s="174" t="str">
        <f t="shared" si="86"/>
        <v>#DIV/0!</v>
      </c>
      <c r="CV40" s="174" t="str">
        <f t="shared" si="86"/>
        <v>#DIV/0!</v>
      </c>
      <c r="CW40" s="174" t="str">
        <f t="shared" si="86"/>
        <v>#DIV/0!</v>
      </c>
      <c r="CX40" s="174" t="str">
        <f t="shared" si="86"/>
        <v>#DIV/0!</v>
      </c>
      <c r="CY40" s="174" t="str">
        <f t="shared" si="86"/>
        <v>#DIV/0!</v>
      </c>
      <c r="CZ40" s="174" t="str">
        <f t="shared" si="86"/>
        <v>#DIV/0!</v>
      </c>
      <c r="DA40" s="174" t="str">
        <f t="shared" si="86"/>
        <v>#DIV/0!</v>
      </c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91"/>
      <c r="Q41" s="91"/>
      <c r="R41" s="91"/>
      <c r="S41" s="91"/>
      <c r="T41" s="91"/>
      <c r="U41" s="91"/>
      <c r="V41" s="91"/>
      <c r="W41" s="9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  <c r="CZ41" s="111"/>
      <c r="DA41" s="111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91"/>
      <c r="Q42" s="91"/>
      <c r="R42" s="91"/>
      <c r="S42" s="91"/>
      <c r="T42" s="91"/>
      <c r="U42" s="91"/>
      <c r="V42" s="91"/>
      <c r="W42" s="9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11"/>
      <c r="CS42" s="111"/>
      <c r="CT42" s="111"/>
      <c r="CU42" s="111"/>
      <c r="CV42" s="111"/>
      <c r="CW42" s="111"/>
      <c r="CX42" s="111"/>
      <c r="CY42" s="111"/>
      <c r="CZ42" s="111"/>
      <c r="DA42" s="111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91"/>
      <c r="Q43" s="91"/>
      <c r="R43" s="91"/>
      <c r="S43" s="91"/>
      <c r="T43" s="91"/>
      <c r="U43" s="91"/>
      <c r="V43" s="91"/>
      <c r="W43" s="9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11"/>
      <c r="CS43" s="111"/>
      <c r="CT43" s="111"/>
      <c r="CU43" s="111"/>
      <c r="CV43" s="111"/>
      <c r="CW43" s="111"/>
      <c r="CX43" s="111"/>
      <c r="CY43" s="111"/>
      <c r="CZ43" s="111"/>
      <c r="DA43" s="111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91"/>
      <c r="Q44" s="91"/>
      <c r="R44" s="91"/>
      <c r="S44" s="91"/>
      <c r="T44" s="91"/>
      <c r="U44" s="91"/>
      <c r="V44" s="91"/>
      <c r="W44" s="9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1"/>
      <c r="DA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91"/>
      <c r="Q45" s="91"/>
      <c r="R45" s="91"/>
      <c r="S45" s="91"/>
      <c r="T45" s="91"/>
      <c r="U45" s="91"/>
      <c r="V45" s="91"/>
      <c r="W45" s="9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  <c r="CZ45" s="111"/>
      <c r="DA45" s="111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91"/>
      <c r="Q46" s="91"/>
      <c r="R46" s="91"/>
      <c r="S46" s="91"/>
      <c r="T46" s="91"/>
      <c r="U46" s="91"/>
      <c r="V46" s="91"/>
      <c r="W46" s="9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  <c r="CZ46" s="111"/>
      <c r="DA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91"/>
      <c r="Q47" s="91"/>
      <c r="R47" s="91"/>
      <c r="S47" s="91"/>
      <c r="T47" s="91"/>
      <c r="U47" s="91"/>
      <c r="V47" s="91"/>
      <c r="W47" s="9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  <c r="CZ47" s="111"/>
      <c r="DA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91"/>
      <c r="Q48" s="91"/>
      <c r="R48" s="91"/>
      <c r="S48" s="91"/>
      <c r="T48" s="91"/>
      <c r="U48" s="91"/>
      <c r="V48" s="91"/>
      <c r="W48" s="9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1"/>
      <c r="DA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91"/>
      <c r="Q49" s="91"/>
      <c r="R49" s="91"/>
      <c r="S49" s="91"/>
      <c r="T49" s="91"/>
      <c r="U49" s="91"/>
      <c r="V49" s="91"/>
      <c r="W49" s="9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1"/>
      <c r="DA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91"/>
      <c r="Q50" s="91"/>
      <c r="R50" s="91"/>
      <c r="S50" s="91"/>
      <c r="T50" s="91"/>
      <c r="U50" s="91"/>
      <c r="V50" s="91"/>
      <c r="W50" s="9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1"/>
      <c r="DA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91"/>
      <c r="Q51" s="91"/>
      <c r="R51" s="91"/>
      <c r="S51" s="91"/>
      <c r="T51" s="91"/>
      <c r="U51" s="91"/>
      <c r="V51" s="91"/>
      <c r="W51" s="9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  <c r="CI51" s="111"/>
      <c r="CJ51" s="111"/>
      <c r="CK51" s="111"/>
      <c r="CL51" s="111"/>
      <c r="CM51" s="111"/>
      <c r="CN51" s="111"/>
      <c r="CO51" s="111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  <c r="CZ51" s="111"/>
      <c r="DA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91"/>
      <c r="Q52" s="91"/>
      <c r="R52" s="91"/>
      <c r="S52" s="91"/>
      <c r="T52" s="91"/>
      <c r="U52" s="91"/>
      <c r="V52" s="91"/>
      <c r="W52" s="9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  <c r="CI52" s="111"/>
      <c r="CJ52" s="111"/>
      <c r="CK52" s="111"/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1"/>
      <c r="DA52" s="111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91"/>
      <c r="Q53" s="91"/>
      <c r="R53" s="91"/>
      <c r="S53" s="91"/>
      <c r="T53" s="91"/>
      <c r="U53" s="91"/>
      <c r="V53" s="91"/>
      <c r="W53" s="9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  <c r="CZ53" s="111"/>
      <c r="DA53" s="111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91"/>
      <c r="Q54" s="91"/>
      <c r="R54" s="91"/>
      <c r="S54" s="91"/>
      <c r="T54" s="91"/>
      <c r="U54" s="91"/>
      <c r="V54" s="91"/>
      <c r="W54" s="9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1"/>
      <c r="DA54" s="111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91"/>
      <c r="Q55" s="91"/>
      <c r="R55" s="91"/>
      <c r="S55" s="91"/>
      <c r="T55" s="91"/>
      <c r="U55" s="91"/>
      <c r="V55" s="91"/>
      <c r="W55" s="9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1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1"/>
      <c r="DA55" s="111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91"/>
      <c r="Q56" s="91"/>
      <c r="R56" s="91"/>
      <c r="S56" s="91"/>
      <c r="T56" s="91"/>
      <c r="U56" s="91"/>
      <c r="V56" s="91"/>
      <c r="W56" s="9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1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11"/>
      <c r="CS56" s="111"/>
      <c r="CT56" s="111"/>
      <c r="CU56" s="111"/>
      <c r="CV56" s="111"/>
      <c r="CW56" s="111"/>
      <c r="CX56" s="111"/>
      <c r="CY56" s="111"/>
      <c r="CZ56" s="111"/>
      <c r="DA56" s="111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91"/>
      <c r="Q57" s="91"/>
      <c r="R57" s="91"/>
      <c r="S57" s="91"/>
      <c r="T57" s="91"/>
      <c r="U57" s="91"/>
      <c r="V57" s="91"/>
      <c r="W57" s="9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11"/>
      <c r="CS57" s="111"/>
      <c r="CT57" s="111"/>
      <c r="CU57" s="111"/>
      <c r="CV57" s="111"/>
      <c r="CW57" s="111"/>
      <c r="CX57" s="111"/>
      <c r="CY57" s="111"/>
      <c r="CZ57" s="111"/>
      <c r="DA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91"/>
      <c r="Q58" s="91"/>
      <c r="R58" s="91"/>
      <c r="S58" s="91"/>
      <c r="T58" s="91"/>
      <c r="U58" s="91"/>
      <c r="V58" s="91"/>
      <c r="W58" s="9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/>
      <c r="CS58" s="111"/>
      <c r="CT58" s="111"/>
      <c r="CU58" s="111"/>
      <c r="CV58" s="111"/>
      <c r="CW58" s="111"/>
      <c r="CX58" s="111"/>
      <c r="CY58" s="111"/>
      <c r="CZ58" s="111"/>
      <c r="DA58" s="111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91"/>
      <c r="Q59" s="91"/>
      <c r="R59" s="91"/>
      <c r="S59" s="91"/>
      <c r="T59" s="91"/>
      <c r="U59" s="91"/>
      <c r="V59" s="91"/>
      <c r="W59" s="9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11"/>
      <c r="CS59" s="111"/>
      <c r="CT59" s="111"/>
      <c r="CU59" s="111"/>
      <c r="CV59" s="111"/>
      <c r="CW59" s="111"/>
      <c r="CX59" s="111"/>
      <c r="CY59" s="111"/>
      <c r="CZ59" s="111"/>
      <c r="DA59" s="111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91"/>
      <c r="Q60" s="91"/>
      <c r="R60" s="91"/>
      <c r="S60" s="91"/>
      <c r="T60" s="91"/>
      <c r="U60" s="91"/>
      <c r="V60" s="91"/>
      <c r="W60" s="9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/>
      <c r="CS60" s="111"/>
      <c r="CT60" s="111"/>
      <c r="CU60" s="111"/>
      <c r="CV60" s="111"/>
      <c r="CW60" s="111"/>
      <c r="CX60" s="111"/>
      <c r="CY60" s="111"/>
      <c r="CZ60" s="111"/>
      <c r="DA60" s="111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91"/>
      <c r="Q61" s="91"/>
      <c r="R61" s="91"/>
      <c r="S61" s="91"/>
      <c r="T61" s="91"/>
      <c r="U61" s="91"/>
      <c r="V61" s="91"/>
      <c r="W61" s="9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1"/>
      <c r="BT61" s="111"/>
      <c r="BU61" s="111"/>
      <c r="BV61" s="111"/>
      <c r="BW61" s="111"/>
      <c r="BX61" s="111"/>
      <c r="BY61" s="111"/>
      <c r="BZ61" s="111"/>
      <c r="CA61" s="111"/>
      <c r="CB61" s="111"/>
      <c r="CC61" s="111"/>
      <c r="CD61" s="111"/>
      <c r="CE61" s="111"/>
      <c r="CF61" s="111"/>
      <c r="CG61" s="111"/>
      <c r="CH61" s="111"/>
      <c r="CI61" s="111"/>
      <c r="CJ61" s="111"/>
      <c r="CK61" s="111"/>
      <c r="CL61" s="111"/>
      <c r="CM61" s="111"/>
      <c r="CN61" s="111"/>
      <c r="CO61" s="111"/>
      <c r="CP61" s="111"/>
      <c r="CQ61" s="111"/>
      <c r="CR61" s="111"/>
      <c r="CS61" s="111"/>
      <c r="CT61" s="111"/>
      <c r="CU61" s="111"/>
      <c r="CV61" s="111"/>
      <c r="CW61" s="111"/>
      <c r="CX61" s="111"/>
      <c r="CY61" s="111"/>
      <c r="CZ61" s="111"/>
      <c r="DA61" s="111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91"/>
      <c r="Q62" s="91"/>
      <c r="R62" s="91"/>
      <c r="S62" s="91"/>
      <c r="T62" s="91"/>
      <c r="U62" s="91"/>
      <c r="V62" s="91"/>
      <c r="W62" s="9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11"/>
      <c r="CS62" s="111"/>
      <c r="CT62" s="111"/>
      <c r="CU62" s="111"/>
      <c r="CV62" s="111"/>
      <c r="CW62" s="111"/>
      <c r="CX62" s="111"/>
      <c r="CY62" s="111"/>
      <c r="CZ62" s="111"/>
      <c r="DA62" s="111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91"/>
      <c r="Q63" s="91"/>
      <c r="R63" s="91"/>
      <c r="S63" s="91"/>
      <c r="T63" s="91"/>
      <c r="U63" s="91"/>
      <c r="V63" s="91"/>
      <c r="W63" s="9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/>
      <c r="CS63" s="111"/>
      <c r="CT63" s="111"/>
      <c r="CU63" s="111"/>
      <c r="CV63" s="111"/>
      <c r="CW63" s="111"/>
      <c r="CX63" s="111"/>
      <c r="CY63" s="111"/>
      <c r="CZ63" s="111"/>
      <c r="DA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91"/>
      <c r="Q64" s="91"/>
      <c r="R64" s="91"/>
      <c r="S64" s="91"/>
      <c r="T64" s="91"/>
      <c r="U64" s="91"/>
      <c r="V64" s="91"/>
      <c r="W64" s="9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/>
      <c r="CS64" s="111"/>
      <c r="CT64" s="111"/>
      <c r="CU64" s="111"/>
      <c r="CV64" s="111"/>
      <c r="CW64" s="111"/>
      <c r="CX64" s="111"/>
      <c r="CY64" s="111"/>
      <c r="CZ64" s="111"/>
      <c r="DA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91"/>
      <c r="Q65" s="91"/>
      <c r="R65" s="91"/>
      <c r="S65" s="91"/>
      <c r="T65" s="91"/>
      <c r="U65" s="91"/>
      <c r="V65" s="91"/>
      <c r="W65" s="9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/>
      <c r="CS65" s="111"/>
      <c r="CT65" s="111"/>
      <c r="CU65" s="111"/>
      <c r="CV65" s="111"/>
      <c r="CW65" s="111"/>
      <c r="CX65" s="111"/>
      <c r="CY65" s="111"/>
      <c r="CZ65" s="111"/>
      <c r="DA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91"/>
      <c r="Q66" s="91"/>
      <c r="R66" s="91"/>
      <c r="S66" s="91"/>
      <c r="T66" s="91"/>
      <c r="U66" s="91"/>
      <c r="V66" s="91"/>
      <c r="W66" s="9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11"/>
      <c r="CE66" s="111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11"/>
      <c r="CS66" s="111"/>
      <c r="CT66" s="111"/>
      <c r="CU66" s="111"/>
      <c r="CV66" s="111"/>
      <c r="CW66" s="111"/>
      <c r="CX66" s="111"/>
      <c r="CY66" s="111"/>
      <c r="CZ66" s="111"/>
      <c r="DA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91"/>
      <c r="Q67" s="91"/>
      <c r="R67" s="91"/>
      <c r="S67" s="91"/>
      <c r="T67" s="91"/>
      <c r="U67" s="91"/>
      <c r="V67" s="91"/>
      <c r="W67" s="9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111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11"/>
      <c r="CS67" s="111"/>
      <c r="CT67" s="111"/>
      <c r="CU67" s="111"/>
      <c r="CV67" s="111"/>
      <c r="CW67" s="111"/>
      <c r="CX67" s="111"/>
      <c r="CY67" s="111"/>
      <c r="CZ67" s="111"/>
      <c r="DA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91"/>
      <c r="Q68" s="91"/>
      <c r="R68" s="91"/>
      <c r="S68" s="91"/>
      <c r="T68" s="91"/>
      <c r="U68" s="91"/>
      <c r="V68" s="91"/>
      <c r="W68" s="9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111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111"/>
      <c r="CS68" s="111"/>
      <c r="CT68" s="111"/>
      <c r="CU68" s="111"/>
      <c r="CV68" s="111"/>
      <c r="CW68" s="111"/>
      <c r="CX68" s="111"/>
      <c r="CY68" s="111"/>
      <c r="CZ68" s="111"/>
      <c r="DA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91"/>
      <c r="Q69" s="91"/>
      <c r="R69" s="91"/>
      <c r="S69" s="91"/>
      <c r="T69" s="91"/>
      <c r="U69" s="91"/>
      <c r="V69" s="91"/>
      <c r="W69" s="9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111"/>
      <c r="CF69" s="111"/>
      <c r="CG69" s="111"/>
      <c r="CH69" s="111"/>
      <c r="CI69" s="111"/>
      <c r="CJ69" s="111"/>
      <c r="CK69" s="111"/>
      <c r="CL69" s="111"/>
      <c r="CM69" s="111"/>
      <c r="CN69" s="111"/>
      <c r="CO69" s="111"/>
      <c r="CP69" s="111"/>
      <c r="CQ69" s="111"/>
      <c r="CR69" s="111"/>
      <c r="CS69" s="111"/>
      <c r="CT69" s="111"/>
      <c r="CU69" s="111"/>
      <c r="CV69" s="111"/>
      <c r="CW69" s="111"/>
      <c r="CX69" s="111"/>
      <c r="CY69" s="111"/>
      <c r="CZ69" s="111"/>
      <c r="DA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91"/>
      <c r="Q70" s="91"/>
      <c r="R70" s="91"/>
      <c r="S70" s="91"/>
      <c r="T70" s="91"/>
      <c r="U70" s="91"/>
      <c r="V70" s="91"/>
      <c r="W70" s="9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111"/>
      <c r="BT70" s="111"/>
      <c r="BU70" s="111"/>
      <c r="BV70" s="111"/>
      <c r="BW70" s="111"/>
      <c r="BX70" s="111"/>
      <c r="BY70" s="111"/>
      <c r="BZ70" s="111"/>
      <c r="CA70" s="111"/>
      <c r="CB70" s="111"/>
      <c r="CC70" s="111"/>
      <c r="CD70" s="111"/>
      <c r="CE70" s="111"/>
      <c r="CF70" s="111"/>
      <c r="CG70" s="111"/>
      <c r="CH70" s="111"/>
      <c r="CI70" s="111"/>
      <c r="CJ70" s="111"/>
      <c r="CK70" s="111"/>
      <c r="CL70" s="111"/>
      <c r="CM70" s="111"/>
      <c r="CN70" s="111"/>
      <c r="CO70" s="111"/>
      <c r="CP70" s="111"/>
      <c r="CQ70" s="111"/>
      <c r="CR70" s="111"/>
      <c r="CS70" s="111"/>
      <c r="CT70" s="111"/>
      <c r="CU70" s="111"/>
      <c r="CV70" s="111"/>
      <c r="CW70" s="111"/>
      <c r="CX70" s="111"/>
      <c r="CY70" s="111"/>
      <c r="CZ70" s="111"/>
      <c r="DA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91"/>
      <c r="Q71" s="91"/>
      <c r="R71" s="91"/>
      <c r="S71" s="91"/>
      <c r="T71" s="91"/>
      <c r="U71" s="91"/>
      <c r="V71" s="91"/>
      <c r="W71" s="9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  <c r="BO71" s="111"/>
      <c r="BP71" s="111"/>
      <c r="BQ71" s="111"/>
      <c r="BR71" s="111"/>
      <c r="BS71" s="111"/>
      <c r="BT71" s="111"/>
      <c r="BU71" s="111"/>
      <c r="BV71" s="111"/>
      <c r="BW71" s="111"/>
      <c r="BX71" s="111"/>
      <c r="BY71" s="111"/>
      <c r="BZ71" s="111"/>
      <c r="CA71" s="111"/>
      <c r="CB71" s="111"/>
      <c r="CC71" s="111"/>
      <c r="CD71" s="111"/>
      <c r="CE71" s="111"/>
      <c r="CF71" s="111"/>
      <c r="CG71" s="111"/>
      <c r="CH71" s="111"/>
      <c r="CI71" s="111"/>
      <c r="CJ71" s="111"/>
      <c r="CK71" s="111"/>
      <c r="CL71" s="111"/>
      <c r="CM71" s="111"/>
      <c r="CN71" s="111"/>
      <c r="CO71" s="111"/>
      <c r="CP71" s="111"/>
      <c r="CQ71" s="111"/>
      <c r="CR71" s="111"/>
      <c r="CS71" s="111"/>
      <c r="CT71" s="111"/>
      <c r="CU71" s="111"/>
      <c r="CV71" s="111"/>
      <c r="CW71" s="111"/>
      <c r="CX71" s="111"/>
      <c r="CY71" s="111"/>
      <c r="CZ71" s="111"/>
      <c r="DA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91"/>
      <c r="Q72" s="91"/>
      <c r="R72" s="91"/>
      <c r="S72" s="91"/>
      <c r="T72" s="91"/>
      <c r="U72" s="91"/>
      <c r="V72" s="91"/>
      <c r="W72" s="9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1"/>
      <c r="BQ72" s="111"/>
      <c r="BR72" s="111"/>
      <c r="BS72" s="111"/>
      <c r="BT72" s="111"/>
      <c r="BU72" s="111"/>
      <c r="BV72" s="111"/>
      <c r="BW72" s="111"/>
      <c r="BX72" s="111"/>
      <c r="BY72" s="111"/>
      <c r="BZ72" s="111"/>
      <c r="CA72" s="111"/>
      <c r="CB72" s="111"/>
      <c r="CC72" s="111"/>
      <c r="CD72" s="111"/>
      <c r="CE72" s="111"/>
      <c r="CF72" s="111"/>
      <c r="CG72" s="111"/>
      <c r="CH72" s="111"/>
      <c r="CI72" s="111"/>
      <c r="CJ72" s="111"/>
      <c r="CK72" s="111"/>
      <c r="CL72" s="111"/>
      <c r="CM72" s="111"/>
      <c r="CN72" s="111"/>
      <c r="CO72" s="111"/>
      <c r="CP72" s="111"/>
      <c r="CQ72" s="111"/>
      <c r="CR72" s="111"/>
      <c r="CS72" s="111"/>
      <c r="CT72" s="111"/>
      <c r="CU72" s="111"/>
      <c r="CV72" s="111"/>
      <c r="CW72" s="111"/>
      <c r="CX72" s="111"/>
      <c r="CY72" s="111"/>
      <c r="CZ72" s="111"/>
      <c r="DA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91"/>
      <c r="Q73" s="91"/>
      <c r="R73" s="91"/>
      <c r="S73" s="91"/>
      <c r="T73" s="91"/>
      <c r="U73" s="91"/>
      <c r="V73" s="91"/>
      <c r="W73" s="9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  <c r="BO73" s="111"/>
      <c r="BP73" s="111"/>
      <c r="BQ73" s="111"/>
      <c r="BR73" s="111"/>
      <c r="BS73" s="111"/>
      <c r="BT73" s="111"/>
      <c r="BU73" s="111"/>
      <c r="BV73" s="111"/>
      <c r="BW73" s="111"/>
      <c r="BX73" s="111"/>
      <c r="BY73" s="111"/>
      <c r="BZ73" s="111"/>
      <c r="CA73" s="111"/>
      <c r="CB73" s="111"/>
      <c r="CC73" s="111"/>
      <c r="CD73" s="111"/>
      <c r="CE73" s="111"/>
      <c r="CF73" s="111"/>
      <c r="CG73" s="111"/>
      <c r="CH73" s="111"/>
      <c r="CI73" s="111"/>
      <c r="CJ73" s="111"/>
      <c r="CK73" s="111"/>
      <c r="CL73" s="111"/>
      <c r="CM73" s="111"/>
      <c r="CN73" s="111"/>
      <c r="CO73" s="111"/>
      <c r="CP73" s="111"/>
      <c r="CQ73" s="111"/>
      <c r="CR73" s="111"/>
      <c r="CS73" s="111"/>
      <c r="CT73" s="111"/>
      <c r="CU73" s="111"/>
      <c r="CV73" s="111"/>
      <c r="CW73" s="111"/>
      <c r="CX73" s="111"/>
      <c r="CY73" s="111"/>
      <c r="CZ73" s="111"/>
      <c r="DA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91"/>
      <c r="Q74" s="91"/>
      <c r="R74" s="91"/>
      <c r="S74" s="91"/>
      <c r="T74" s="91"/>
      <c r="U74" s="91"/>
      <c r="V74" s="91"/>
      <c r="W74" s="9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  <c r="BO74" s="111"/>
      <c r="BP74" s="111"/>
      <c r="BQ74" s="111"/>
      <c r="BR74" s="111"/>
      <c r="BS74" s="111"/>
      <c r="BT74" s="111"/>
      <c r="BU74" s="111"/>
      <c r="BV74" s="111"/>
      <c r="BW74" s="111"/>
      <c r="BX74" s="111"/>
      <c r="BY74" s="111"/>
      <c r="BZ74" s="111"/>
      <c r="CA74" s="111"/>
      <c r="CB74" s="111"/>
      <c r="CC74" s="111"/>
      <c r="CD74" s="111"/>
      <c r="CE74" s="111"/>
      <c r="CF74" s="111"/>
      <c r="CG74" s="111"/>
      <c r="CH74" s="111"/>
      <c r="CI74" s="111"/>
      <c r="CJ74" s="111"/>
      <c r="CK74" s="111"/>
      <c r="CL74" s="111"/>
      <c r="CM74" s="111"/>
      <c r="CN74" s="111"/>
      <c r="CO74" s="111"/>
      <c r="CP74" s="111"/>
      <c r="CQ74" s="111"/>
      <c r="CR74" s="111"/>
      <c r="CS74" s="111"/>
      <c r="CT74" s="111"/>
      <c r="CU74" s="111"/>
      <c r="CV74" s="111"/>
      <c r="CW74" s="111"/>
      <c r="CX74" s="111"/>
      <c r="CY74" s="111"/>
      <c r="CZ74" s="111"/>
      <c r="DA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91"/>
      <c r="Q75" s="91"/>
      <c r="R75" s="91"/>
      <c r="S75" s="91"/>
      <c r="T75" s="91"/>
      <c r="U75" s="91"/>
      <c r="V75" s="91"/>
      <c r="W75" s="9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/>
      <c r="BS75" s="111"/>
      <c r="BT75" s="111"/>
      <c r="BU75" s="111"/>
      <c r="BV75" s="111"/>
      <c r="BW75" s="111"/>
      <c r="BX75" s="111"/>
      <c r="BY75" s="111"/>
      <c r="BZ75" s="111"/>
      <c r="CA75" s="111"/>
      <c r="CB75" s="111"/>
      <c r="CC75" s="111"/>
      <c r="CD75" s="111"/>
      <c r="CE75" s="111"/>
      <c r="CF75" s="111"/>
      <c r="CG75" s="111"/>
      <c r="CH75" s="111"/>
      <c r="CI75" s="111"/>
      <c r="CJ75" s="111"/>
      <c r="CK75" s="111"/>
      <c r="CL75" s="111"/>
      <c r="CM75" s="111"/>
      <c r="CN75" s="111"/>
      <c r="CO75" s="111"/>
      <c r="CP75" s="111"/>
      <c r="CQ75" s="111"/>
      <c r="CR75" s="111"/>
      <c r="CS75" s="111"/>
      <c r="CT75" s="111"/>
      <c r="CU75" s="111"/>
      <c r="CV75" s="111"/>
      <c r="CW75" s="111"/>
      <c r="CX75" s="111"/>
      <c r="CY75" s="111"/>
      <c r="CZ75" s="111"/>
      <c r="DA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91"/>
      <c r="Q76" s="91"/>
      <c r="R76" s="91"/>
      <c r="S76" s="91"/>
      <c r="T76" s="91"/>
      <c r="U76" s="91"/>
      <c r="V76" s="91"/>
      <c r="W76" s="9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111"/>
      <c r="CA76" s="111"/>
      <c r="CB76" s="111"/>
      <c r="CC76" s="111"/>
      <c r="CD76" s="111"/>
      <c r="CE76" s="111"/>
      <c r="CF76" s="111"/>
      <c r="CG76" s="111"/>
      <c r="CH76" s="111"/>
      <c r="CI76" s="111"/>
      <c r="CJ76" s="111"/>
      <c r="CK76" s="111"/>
      <c r="CL76" s="111"/>
      <c r="CM76" s="111"/>
      <c r="CN76" s="111"/>
      <c r="CO76" s="111"/>
      <c r="CP76" s="111"/>
      <c r="CQ76" s="111"/>
      <c r="CR76" s="111"/>
      <c r="CS76" s="111"/>
      <c r="CT76" s="111"/>
      <c r="CU76" s="111"/>
      <c r="CV76" s="111"/>
      <c r="CW76" s="111"/>
      <c r="CX76" s="111"/>
      <c r="CY76" s="111"/>
      <c r="CZ76" s="111"/>
      <c r="DA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91"/>
      <c r="Q77" s="91"/>
      <c r="R77" s="91"/>
      <c r="S77" s="91"/>
      <c r="T77" s="91"/>
      <c r="U77" s="91"/>
      <c r="V77" s="91"/>
      <c r="W77" s="9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111"/>
      <c r="CA77" s="111"/>
      <c r="CB77" s="111"/>
      <c r="CC77" s="111"/>
      <c r="CD77" s="111"/>
      <c r="CE77" s="111"/>
      <c r="CF77" s="111"/>
      <c r="CG77" s="111"/>
      <c r="CH77" s="111"/>
      <c r="CI77" s="111"/>
      <c r="CJ77" s="111"/>
      <c r="CK77" s="111"/>
      <c r="CL77" s="111"/>
      <c r="CM77" s="111"/>
      <c r="CN77" s="111"/>
      <c r="CO77" s="111"/>
      <c r="CP77" s="111"/>
      <c r="CQ77" s="111"/>
      <c r="CR77" s="111"/>
      <c r="CS77" s="111"/>
      <c r="CT77" s="111"/>
      <c r="CU77" s="111"/>
      <c r="CV77" s="111"/>
      <c r="CW77" s="111"/>
      <c r="CX77" s="111"/>
      <c r="CY77" s="111"/>
      <c r="CZ77" s="111"/>
      <c r="DA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91"/>
      <c r="Q78" s="91"/>
      <c r="R78" s="91"/>
      <c r="S78" s="91"/>
      <c r="T78" s="91"/>
      <c r="U78" s="91"/>
      <c r="V78" s="91"/>
      <c r="W78" s="9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111"/>
      <c r="CA78" s="111"/>
      <c r="CB78" s="111"/>
      <c r="CC78" s="111"/>
      <c r="CD78" s="111"/>
      <c r="CE78" s="111"/>
      <c r="CF78" s="111"/>
      <c r="CG78" s="111"/>
      <c r="CH78" s="111"/>
      <c r="CI78" s="111"/>
      <c r="CJ78" s="111"/>
      <c r="CK78" s="111"/>
      <c r="CL78" s="111"/>
      <c r="CM78" s="111"/>
      <c r="CN78" s="111"/>
      <c r="CO78" s="111"/>
      <c r="CP78" s="111"/>
      <c r="CQ78" s="111"/>
      <c r="CR78" s="111"/>
      <c r="CS78" s="111"/>
      <c r="CT78" s="111"/>
      <c r="CU78" s="111"/>
      <c r="CV78" s="111"/>
      <c r="CW78" s="111"/>
      <c r="CX78" s="111"/>
      <c r="CY78" s="111"/>
      <c r="CZ78" s="111"/>
      <c r="DA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91"/>
      <c r="Q79" s="91"/>
      <c r="R79" s="91"/>
      <c r="S79" s="91"/>
      <c r="T79" s="91"/>
      <c r="U79" s="91"/>
      <c r="V79" s="91"/>
      <c r="W79" s="9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111"/>
      <c r="CA79" s="111"/>
      <c r="CB79" s="111"/>
      <c r="CC79" s="111"/>
      <c r="CD79" s="111"/>
      <c r="CE79" s="111"/>
      <c r="CF79" s="111"/>
      <c r="CG79" s="111"/>
      <c r="CH79" s="111"/>
      <c r="CI79" s="111"/>
      <c r="CJ79" s="111"/>
      <c r="CK79" s="111"/>
      <c r="CL79" s="111"/>
      <c r="CM79" s="111"/>
      <c r="CN79" s="111"/>
      <c r="CO79" s="111"/>
      <c r="CP79" s="111"/>
      <c r="CQ79" s="111"/>
      <c r="CR79" s="111"/>
      <c r="CS79" s="111"/>
      <c r="CT79" s="111"/>
      <c r="CU79" s="111"/>
      <c r="CV79" s="111"/>
      <c r="CW79" s="111"/>
      <c r="CX79" s="111"/>
      <c r="CY79" s="111"/>
      <c r="CZ79" s="111"/>
      <c r="DA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91"/>
      <c r="Q80" s="91"/>
      <c r="R80" s="91"/>
      <c r="S80" s="91"/>
      <c r="T80" s="91"/>
      <c r="U80" s="91"/>
      <c r="V80" s="91"/>
      <c r="W80" s="9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  <c r="BW80" s="111"/>
      <c r="BX80" s="111"/>
      <c r="BY80" s="111"/>
      <c r="BZ80" s="111"/>
      <c r="CA80" s="111"/>
      <c r="CB80" s="111"/>
      <c r="CC80" s="111"/>
      <c r="CD80" s="111"/>
      <c r="CE80" s="111"/>
      <c r="CF80" s="111"/>
      <c r="CG80" s="111"/>
      <c r="CH80" s="111"/>
      <c r="CI80" s="111"/>
      <c r="CJ80" s="111"/>
      <c r="CK80" s="111"/>
      <c r="CL80" s="111"/>
      <c r="CM80" s="111"/>
      <c r="CN80" s="111"/>
      <c r="CO80" s="111"/>
      <c r="CP80" s="111"/>
      <c r="CQ80" s="111"/>
      <c r="CR80" s="111"/>
      <c r="CS80" s="111"/>
      <c r="CT80" s="111"/>
      <c r="CU80" s="111"/>
      <c r="CV80" s="111"/>
      <c r="CW80" s="111"/>
      <c r="CX80" s="111"/>
      <c r="CY80" s="111"/>
      <c r="CZ80" s="111"/>
      <c r="DA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91"/>
      <c r="Q81" s="91"/>
      <c r="R81" s="91"/>
      <c r="S81" s="91"/>
      <c r="T81" s="91"/>
      <c r="U81" s="91"/>
      <c r="V81" s="91"/>
      <c r="W81" s="9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1"/>
      <c r="BQ81" s="111"/>
      <c r="BR81" s="111"/>
      <c r="BS81" s="111"/>
      <c r="BT81" s="111"/>
      <c r="BU81" s="111"/>
      <c r="BV81" s="111"/>
      <c r="BW81" s="111"/>
      <c r="BX81" s="111"/>
      <c r="BY81" s="111"/>
      <c r="BZ81" s="111"/>
      <c r="CA81" s="111"/>
      <c r="CB81" s="111"/>
      <c r="CC81" s="111"/>
      <c r="CD81" s="111"/>
      <c r="CE81" s="111"/>
      <c r="CF81" s="111"/>
      <c r="CG81" s="111"/>
      <c r="CH81" s="111"/>
      <c r="CI81" s="111"/>
      <c r="CJ81" s="111"/>
      <c r="CK81" s="111"/>
      <c r="CL81" s="111"/>
      <c r="CM81" s="111"/>
      <c r="CN81" s="111"/>
      <c r="CO81" s="111"/>
      <c r="CP81" s="111"/>
      <c r="CQ81" s="111"/>
      <c r="CR81" s="111"/>
      <c r="CS81" s="111"/>
      <c r="CT81" s="111"/>
      <c r="CU81" s="111"/>
      <c r="CV81" s="111"/>
      <c r="CW81" s="111"/>
      <c r="CX81" s="111"/>
      <c r="CY81" s="111"/>
      <c r="CZ81" s="111"/>
      <c r="DA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91"/>
      <c r="Q82" s="91"/>
      <c r="R82" s="91"/>
      <c r="S82" s="91"/>
      <c r="T82" s="91"/>
      <c r="U82" s="91"/>
      <c r="V82" s="91"/>
      <c r="W82" s="9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1"/>
      <c r="BQ82" s="111"/>
      <c r="BR82" s="111"/>
      <c r="BS82" s="111"/>
      <c r="BT82" s="111"/>
      <c r="BU82" s="111"/>
      <c r="BV82" s="111"/>
      <c r="BW82" s="111"/>
      <c r="BX82" s="111"/>
      <c r="BY82" s="111"/>
      <c r="BZ82" s="111"/>
      <c r="CA82" s="111"/>
      <c r="CB82" s="111"/>
      <c r="CC82" s="111"/>
      <c r="CD82" s="111"/>
      <c r="CE82" s="111"/>
      <c r="CF82" s="111"/>
      <c r="CG82" s="111"/>
      <c r="CH82" s="111"/>
      <c r="CI82" s="111"/>
      <c r="CJ82" s="111"/>
      <c r="CK82" s="111"/>
      <c r="CL82" s="111"/>
      <c r="CM82" s="111"/>
      <c r="CN82" s="111"/>
      <c r="CO82" s="111"/>
      <c r="CP82" s="111"/>
      <c r="CQ82" s="111"/>
      <c r="CR82" s="111"/>
      <c r="CS82" s="111"/>
      <c r="CT82" s="111"/>
      <c r="CU82" s="111"/>
      <c r="CV82" s="111"/>
      <c r="CW82" s="111"/>
      <c r="CX82" s="111"/>
      <c r="CY82" s="111"/>
      <c r="CZ82" s="111"/>
      <c r="DA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91"/>
      <c r="Q83" s="91"/>
      <c r="R83" s="91"/>
      <c r="S83" s="91"/>
      <c r="T83" s="91"/>
      <c r="U83" s="91"/>
      <c r="V83" s="91"/>
      <c r="W83" s="9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  <c r="BO83" s="111"/>
      <c r="BP83" s="111"/>
      <c r="BQ83" s="111"/>
      <c r="BR83" s="111"/>
      <c r="BS83" s="111"/>
      <c r="BT83" s="111"/>
      <c r="BU83" s="111"/>
      <c r="BV83" s="111"/>
      <c r="BW83" s="111"/>
      <c r="BX83" s="111"/>
      <c r="BY83" s="111"/>
      <c r="BZ83" s="111"/>
      <c r="CA83" s="111"/>
      <c r="CB83" s="111"/>
      <c r="CC83" s="111"/>
      <c r="CD83" s="111"/>
      <c r="CE83" s="111"/>
      <c r="CF83" s="111"/>
      <c r="CG83" s="111"/>
      <c r="CH83" s="111"/>
      <c r="CI83" s="111"/>
      <c r="CJ83" s="111"/>
      <c r="CK83" s="111"/>
      <c r="CL83" s="111"/>
      <c r="CM83" s="111"/>
      <c r="CN83" s="111"/>
      <c r="CO83" s="111"/>
      <c r="CP83" s="111"/>
      <c r="CQ83" s="111"/>
      <c r="CR83" s="111"/>
      <c r="CS83" s="111"/>
      <c r="CT83" s="111"/>
      <c r="CU83" s="111"/>
      <c r="CV83" s="111"/>
      <c r="CW83" s="111"/>
      <c r="CX83" s="111"/>
      <c r="CY83" s="111"/>
      <c r="CZ83" s="111"/>
      <c r="DA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91"/>
      <c r="Q84" s="91"/>
      <c r="R84" s="91"/>
      <c r="S84" s="91"/>
      <c r="T84" s="91"/>
      <c r="U84" s="91"/>
      <c r="V84" s="91"/>
      <c r="W84" s="9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  <c r="BW84" s="111"/>
      <c r="BX84" s="111"/>
      <c r="BY84" s="111"/>
      <c r="BZ84" s="111"/>
      <c r="CA84" s="111"/>
      <c r="CB84" s="111"/>
      <c r="CC84" s="111"/>
      <c r="CD84" s="111"/>
      <c r="CE84" s="111"/>
      <c r="CF84" s="111"/>
      <c r="CG84" s="111"/>
      <c r="CH84" s="111"/>
      <c r="CI84" s="111"/>
      <c r="CJ84" s="111"/>
      <c r="CK84" s="111"/>
      <c r="CL84" s="111"/>
      <c r="CM84" s="111"/>
      <c r="CN84" s="111"/>
      <c r="CO84" s="111"/>
      <c r="CP84" s="111"/>
      <c r="CQ84" s="111"/>
      <c r="CR84" s="111"/>
      <c r="CS84" s="111"/>
      <c r="CT84" s="111"/>
      <c r="CU84" s="111"/>
      <c r="CV84" s="111"/>
      <c r="CW84" s="111"/>
      <c r="CX84" s="111"/>
      <c r="CY84" s="111"/>
      <c r="CZ84" s="111"/>
      <c r="DA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91"/>
      <c r="Q85" s="91"/>
      <c r="R85" s="91"/>
      <c r="S85" s="91"/>
      <c r="T85" s="91"/>
      <c r="U85" s="91"/>
      <c r="V85" s="91"/>
      <c r="W85" s="9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111"/>
      <c r="CA85" s="111"/>
      <c r="CB85" s="111"/>
      <c r="CC85" s="111"/>
      <c r="CD85" s="111"/>
      <c r="CE85" s="111"/>
      <c r="CF85" s="111"/>
      <c r="CG85" s="111"/>
      <c r="CH85" s="111"/>
      <c r="CI85" s="111"/>
      <c r="CJ85" s="111"/>
      <c r="CK85" s="111"/>
      <c r="CL85" s="111"/>
      <c r="CM85" s="111"/>
      <c r="CN85" s="111"/>
      <c r="CO85" s="111"/>
      <c r="CP85" s="111"/>
      <c r="CQ85" s="111"/>
      <c r="CR85" s="111"/>
      <c r="CS85" s="111"/>
      <c r="CT85" s="111"/>
      <c r="CU85" s="111"/>
      <c r="CV85" s="111"/>
      <c r="CW85" s="111"/>
      <c r="CX85" s="111"/>
      <c r="CY85" s="111"/>
      <c r="CZ85" s="111"/>
      <c r="DA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91"/>
      <c r="Q86" s="91"/>
      <c r="R86" s="91"/>
      <c r="S86" s="91"/>
      <c r="T86" s="91"/>
      <c r="U86" s="91"/>
      <c r="V86" s="91"/>
      <c r="W86" s="9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  <c r="BW86" s="111"/>
      <c r="BX86" s="111"/>
      <c r="BY86" s="111"/>
      <c r="BZ86" s="111"/>
      <c r="CA86" s="111"/>
      <c r="CB86" s="111"/>
      <c r="CC86" s="111"/>
      <c r="CD86" s="111"/>
      <c r="CE86" s="111"/>
      <c r="CF86" s="111"/>
      <c r="CG86" s="111"/>
      <c r="CH86" s="111"/>
      <c r="CI86" s="111"/>
      <c r="CJ86" s="111"/>
      <c r="CK86" s="111"/>
      <c r="CL86" s="111"/>
      <c r="CM86" s="111"/>
      <c r="CN86" s="111"/>
      <c r="CO86" s="111"/>
      <c r="CP86" s="111"/>
      <c r="CQ86" s="111"/>
      <c r="CR86" s="111"/>
      <c r="CS86" s="111"/>
      <c r="CT86" s="111"/>
      <c r="CU86" s="111"/>
      <c r="CV86" s="111"/>
      <c r="CW86" s="111"/>
      <c r="CX86" s="111"/>
      <c r="CY86" s="111"/>
      <c r="CZ86" s="111"/>
      <c r="DA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91"/>
      <c r="Q87" s="91"/>
      <c r="R87" s="91"/>
      <c r="S87" s="91"/>
      <c r="T87" s="91"/>
      <c r="U87" s="91"/>
      <c r="V87" s="91"/>
      <c r="W87" s="9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  <c r="BO87" s="111"/>
      <c r="BP87" s="111"/>
      <c r="BQ87" s="111"/>
      <c r="BR87" s="111"/>
      <c r="BS87" s="111"/>
      <c r="BT87" s="111"/>
      <c r="BU87" s="111"/>
      <c r="BV87" s="111"/>
      <c r="BW87" s="111"/>
      <c r="BX87" s="111"/>
      <c r="BY87" s="111"/>
      <c r="BZ87" s="111"/>
      <c r="CA87" s="111"/>
      <c r="CB87" s="111"/>
      <c r="CC87" s="111"/>
      <c r="CD87" s="111"/>
      <c r="CE87" s="111"/>
      <c r="CF87" s="111"/>
      <c r="CG87" s="111"/>
      <c r="CH87" s="111"/>
      <c r="CI87" s="111"/>
      <c r="CJ87" s="111"/>
      <c r="CK87" s="111"/>
      <c r="CL87" s="111"/>
      <c r="CM87" s="111"/>
      <c r="CN87" s="111"/>
      <c r="CO87" s="111"/>
      <c r="CP87" s="111"/>
      <c r="CQ87" s="111"/>
      <c r="CR87" s="111"/>
      <c r="CS87" s="111"/>
      <c r="CT87" s="111"/>
      <c r="CU87" s="111"/>
      <c r="CV87" s="111"/>
      <c r="CW87" s="111"/>
      <c r="CX87" s="111"/>
      <c r="CY87" s="111"/>
      <c r="CZ87" s="111"/>
      <c r="DA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91"/>
      <c r="Q88" s="91"/>
      <c r="R88" s="91"/>
      <c r="S88" s="91"/>
      <c r="T88" s="91"/>
      <c r="U88" s="91"/>
      <c r="V88" s="91"/>
      <c r="W88" s="9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  <c r="BO88" s="111"/>
      <c r="BP88" s="111"/>
      <c r="BQ88" s="111"/>
      <c r="BR88" s="111"/>
      <c r="BS88" s="111"/>
      <c r="BT88" s="111"/>
      <c r="BU88" s="111"/>
      <c r="BV88" s="111"/>
      <c r="BW88" s="111"/>
      <c r="BX88" s="111"/>
      <c r="BY88" s="111"/>
      <c r="BZ88" s="111"/>
      <c r="CA88" s="111"/>
      <c r="CB88" s="111"/>
      <c r="CC88" s="111"/>
      <c r="CD88" s="111"/>
      <c r="CE88" s="111"/>
      <c r="CF88" s="111"/>
      <c r="CG88" s="111"/>
      <c r="CH88" s="111"/>
      <c r="CI88" s="111"/>
      <c r="CJ88" s="111"/>
      <c r="CK88" s="111"/>
      <c r="CL88" s="111"/>
      <c r="CM88" s="111"/>
      <c r="CN88" s="111"/>
      <c r="CO88" s="111"/>
      <c r="CP88" s="111"/>
      <c r="CQ88" s="111"/>
      <c r="CR88" s="111"/>
      <c r="CS88" s="111"/>
      <c r="CT88" s="111"/>
      <c r="CU88" s="111"/>
      <c r="CV88" s="111"/>
      <c r="CW88" s="111"/>
      <c r="CX88" s="111"/>
      <c r="CY88" s="111"/>
      <c r="CZ88" s="111"/>
      <c r="DA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91"/>
      <c r="Q89" s="91"/>
      <c r="R89" s="91"/>
      <c r="S89" s="91"/>
      <c r="T89" s="91"/>
      <c r="U89" s="91"/>
      <c r="V89" s="91"/>
      <c r="W89" s="9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  <c r="BW89" s="111"/>
      <c r="BX89" s="111"/>
      <c r="BY89" s="111"/>
      <c r="BZ89" s="111"/>
      <c r="CA89" s="111"/>
      <c r="CB89" s="111"/>
      <c r="CC89" s="111"/>
      <c r="CD89" s="111"/>
      <c r="CE89" s="111"/>
      <c r="CF89" s="111"/>
      <c r="CG89" s="111"/>
      <c r="CH89" s="111"/>
      <c r="CI89" s="111"/>
      <c r="CJ89" s="111"/>
      <c r="CK89" s="111"/>
      <c r="CL89" s="111"/>
      <c r="CM89" s="111"/>
      <c r="CN89" s="111"/>
      <c r="CO89" s="111"/>
      <c r="CP89" s="111"/>
      <c r="CQ89" s="111"/>
      <c r="CR89" s="111"/>
      <c r="CS89" s="111"/>
      <c r="CT89" s="111"/>
      <c r="CU89" s="111"/>
      <c r="CV89" s="111"/>
      <c r="CW89" s="111"/>
      <c r="CX89" s="111"/>
      <c r="CY89" s="111"/>
      <c r="CZ89" s="111"/>
      <c r="DA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91"/>
      <c r="Q90" s="91"/>
      <c r="R90" s="91"/>
      <c r="S90" s="91"/>
      <c r="T90" s="91"/>
      <c r="U90" s="91"/>
      <c r="V90" s="91"/>
      <c r="W90" s="9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11"/>
      <c r="CD90" s="111"/>
      <c r="CE90" s="111"/>
      <c r="CF90" s="111"/>
      <c r="CG90" s="111"/>
      <c r="CH90" s="111"/>
      <c r="CI90" s="111"/>
      <c r="CJ90" s="111"/>
      <c r="CK90" s="111"/>
      <c r="CL90" s="111"/>
      <c r="CM90" s="111"/>
      <c r="CN90" s="111"/>
      <c r="CO90" s="111"/>
      <c r="CP90" s="111"/>
      <c r="CQ90" s="111"/>
      <c r="CR90" s="111"/>
      <c r="CS90" s="111"/>
      <c r="CT90" s="111"/>
      <c r="CU90" s="111"/>
      <c r="CV90" s="111"/>
      <c r="CW90" s="111"/>
      <c r="CX90" s="111"/>
      <c r="CY90" s="111"/>
      <c r="CZ90" s="111"/>
      <c r="DA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91"/>
      <c r="Q91" s="91"/>
      <c r="R91" s="91"/>
      <c r="S91" s="91"/>
      <c r="T91" s="91"/>
      <c r="U91" s="91"/>
      <c r="V91" s="91"/>
      <c r="W91" s="9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  <c r="BW91" s="111"/>
      <c r="BX91" s="111"/>
      <c r="BY91" s="111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P91" s="111"/>
      <c r="CQ91" s="111"/>
      <c r="CR91" s="111"/>
      <c r="CS91" s="111"/>
      <c r="CT91" s="111"/>
      <c r="CU91" s="111"/>
      <c r="CV91" s="111"/>
      <c r="CW91" s="111"/>
      <c r="CX91" s="111"/>
      <c r="CY91" s="111"/>
      <c r="CZ91" s="111"/>
      <c r="DA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91"/>
      <c r="Q92" s="91"/>
      <c r="R92" s="91"/>
      <c r="S92" s="91"/>
      <c r="T92" s="91"/>
      <c r="U92" s="91"/>
      <c r="V92" s="91"/>
      <c r="W92" s="9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  <c r="CU92" s="111"/>
      <c r="CV92" s="111"/>
      <c r="CW92" s="111"/>
      <c r="CX92" s="111"/>
      <c r="CY92" s="111"/>
      <c r="CZ92" s="111"/>
      <c r="DA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91"/>
      <c r="Q93" s="91"/>
      <c r="R93" s="91"/>
      <c r="S93" s="91"/>
      <c r="T93" s="91"/>
      <c r="U93" s="91"/>
      <c r="V93" s="91"/>
      <c r="W93" s="9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  <c r="CU93" s="111"/>
      <c r="CV93" s="111"/>
      <c r="CW93" s="111"/>
      <c r="CX93" s="111"/>
      <c r="CY93" s="111"/>
      <c r="CZ93" s="111"/>
      <c r="DA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91"/>
      <c r="Q94" s="91"/>
      <c r="R94" s="91"/>
      <c r="S94" s="91"/>
      <c r="T94" s="91"/>
      <c r="U94" s="91"/>
      <c r="V94" s="91"/>
      <c r="W94" s="9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  <c r="CZ94" s="111"/>
      <c r="DA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91"/>
      <c r="Q95" s="91"/>
      <c r="R95" s="91"/>
      <c r="S95" s="91"/>
      <c r="T95" s="91"/>
      <c r="U95" s="91"/>
      <c r="V95" s="91"/>
      <c r="W95" s="9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  <c r="CU95" s="111"/>
      <c r="CV95" s="111"/>
      <c r="CW95" s="111"/>
      <c r="CX95" s="111"/>
      <c r="CY95" s="111"/>
      <c r="CZ95" s="111"/>
      <c r="DA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91"/>
      <c r="Q96" s="91"/>
      <c r="R96" s="91"/>
      <c r="S96" s="91"/>
      <c r="T96" s="91"/>
      <c r="U96" s="91"/>
      <c r="V96" s="91"/>
      <c r="W96" s="9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  <c r="CU96" s="111"/>
      <c r="CV96" s="111"/>
      <c r="CW96" s="111"/>
      <c r="CX96" s="111"/>
      <c r="CY96" s="111"/>
      <c r="CZ96" s="111"/>
      <c r="DA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91"/>
      <c r="Q97" s="91"/>
      <c r="R97" s="91"/>
      <c r="S97" s="91"/>
      <c r="T97" s="91"/>
      <c r="U97" s="91"/>
      <c r="V97" s="91"/>
      <c r="W97" s="9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  <c r="CU97" s="111"/>
      <c r="CV97" s="111"/>
      <c r="CW97" s="111"/>
      <c r="CX97" s="111"/>
      <c r="CY97" s="111"/>
      <c r="CZ97" s="111"/>
      <c r="DA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91"/>
      <c r="Q98" s="91"/>
      <c r="R98" s="91"/>
      <c r="S98" s="91"/>
      <c r="T98" s="91"/>
      <c r="U98" s="91"/>
      <c r="V98" s="91"/>
      <c r="W98" s="9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  <c r="BW98" s="111"/>
      <c r="BX98" s="111"/>
      <c r="BY98" s="111"/>
      <c r="BZ98" s="111"/>
      <c r="CA98" s="111"/>
      <c r="CB98" s="111"/>
      <c r="CC98" s="111"/>
      <c r="CD98" s="111"/>
      <c r="CE98" s="111"/>
      <c r="CF98" s="111"/>
      <c r="CG98" s="111"/>
      <c r="CH98" s="111"/>
      <c r="CI98" s="111"/>
      <c r="CJ98" s="111"/>
      <c r="CK98" s="111"/>
      <c r="CL98" s="111"/>
      <c r="CM98" s="111"/>
      <c r="CN98" s="111"/>
      <c r="CO98" s="111"/>
      <c r="CP98" s="111"/>
      <c r="CQ98" s="111"/>
      <c r="CR98" s="111"/>
      <c r="CS98" s="111"/>
      <c r="CT98" s="111"/>
      <c r="CU98" s="111"/>
      <c r="CV98" s="111"/>
      <c r="CW98" s="111"/>
      <c r="CX98" s="111"/>
      <c r="CY98" s="111"/>
      <c r="CZ98" s="111"/>
      <c r="DA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91"/>
      <c r="Q99" s="91"/>
      <c r="R99" s="91"/>
      <c r="S99" s="91"/>
      <c r="T99" s="91"/>
      <c r="U99" s="91"/>
      <c r="V99" s="91"/>
      <c r="W99" s="9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  <c r="BW99" s="111"/>
      <c r="BX99" s="111"/>
      <c r="BY99" s="111"/>
      <c r="BZ99" s="111"/>
      <c r="CA99" s="111"/>
      <c r="CB99" s="111"/>
      <c r="CC99" s="111"/>
      <c r="CD99" s="111"/>
      <c r="CE99" s="111"/>
      <c r="CF99" s="111"/>
      <c r="CG99" s="111"/>
      <c r="CH99" s="111"/>
      <c r="CI99" s="111"/>
      <c r="CJ99" s="111"/>
      <c r="CK99" s="111"/>
      <c r="CL99" s="111"/>
      <c r="CM99" s="111"/>
      <c r="CN99" s="111"/>
      <c r="CO99" s="111"/>
      <c r="CP99" s="111"/>
      <c r="CQ99" s="111"/>
      <c r="CR99" s="111"/>
      <c r="CS99" s="111"/>
      <c r="CT99" s="111"/>
      <c r="CU99" s="111"/>
      <c r="CV99" s="111"/>
      <c r="CW99" s="111"/>
      <c r="CX99" s="111"/>
      <c r="CY99" s="111"/>
      <c r="CZ99" s="111"/>
      <c r="DA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91"/>
      <c r="Q100" s="91"/>
      <c r="R100" s="91"/>
      <c r="S100" s="91"/>
      <c r="T100" s="91"/>
      <c r="U100" s="91"/>
      <c r="V100" s="91"/>
      <c r="W100" s="9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  <c r="CU100" s="111"/>
      <c r="CV100" s="111"/>
      <c r="CW100" s="111"/>
      <c r="CX100" s="111"/>
      <c r="CY100" s="111"/>
      <c r="CZ100" s="111"/>
      <c r="DA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91"/>
      <c r="Q101" s="91"/>
      <c r="R101" s="91"/>
      <c r="S101" s="91"/>
      <c r="T101" s="91"/>
      <c r="U101" s="91"/>
      <c r="V101" s="91"/>
      <c r="W101" s="9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  <c r="CU101" s="111"/>
      <c r="CV101" s="111"/>
      <c r="CW101" s="111"/>
      <c r="CX101" s="111"/>
      <c r="CY101" s="111"/>
      <c r="CZ101" s="111"/>
      <c r="DA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91"/>
      <c r="Q102" s="91"/>
      <c r="R102" s="91"/>
      <c r="S102" s="91"/>
      <c r="T102" s="91"/>
      <c r="U102" s="91"/>
      <c r="V102" s="91"/>
      <c r="W102" s="9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  <c r="CU102" s="111"/>
      <c r="CV102" s="111"/>
      <c r="CW102" s="111"/>
      <c r="CX102" s="111"/>
      <c r="CY102" s="111"/>
      <c r="CZ102" s="111"/>
      <c r="DA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91"/>
      <c r="Q103" s="91"/>
      <c r="R103" s="91"/>
      <c r="S103" s="91"/>
      <c r="T103" s="91"/>
      <c r="U103" s="91"/>
      <c r="V103" s="91"/>
      <c r="W103" s="9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  <c r="CU103" s="111"/>
      <c r="CV103" s="111"/>
      <c r="CW103" s="111"/>
      <c r="CX103" s="111"/>
      <c r="CY103" s="111"/>
      <c r="CZ103" s="111"/>
      <c r="DA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91"/>
      <c r="Q104" s="91"/>
      <c r="R104" s="91"/>
      <c r="S104" s="91"/>
      <c r="T104" s="91"/>
      <c r="U104" s="91"/>
      <c r="V104" s="91"/>
      <c r="W104" s="9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  <c r="CS104" s="111"/>
      <c r="CT104" s="111"/>
      <c r="CU104" s="111"/>
      <c r="CV104" s="111"/>
      <c r="CW104" s="111"/>
      <c r="CX104" s="111"/>
      <c r="CY104" s="111"/>
      <c r="CZ104" s="111"/>
      <c r="DA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91"/>
      <c r="Q105" s="91"/>
      <c r="R105" s="91"/>
      <c r="S105" s="91"/>
      <c r="T105" s="91"/>
      <c r="U105" s="91"/>
      <c r="V105" s="91"/>
      <c r="W105" s="9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  <c r="BP105" s="111"/>
      <c r="BQ105" s="111"/>
      <c r="BR105" s="111"/>
      <c r="BS105" s="111"/>
      <c r="BT105" s="111"/>
      <c r="BU105" s="111"/>
      <c r="BV105" s="111"/>
      <c r="BW105" s="111"/>
      <c r="BX105" s="111"/>
      <c r="BY105" s="111"/>
      <c r="BZ105" s="111"/>
      <c r="CA105" s="111"/>
      <c r="CB105" s="111"/>
      <c r="CC105" s="111"/>
      <c r="CD105" s="111"/>
      <c r="CE105" s="111"/>
      <c r="CF105" s="111"/>
      <c r="CG105" s="111"/>
      <c r="CH105" s="111"/>
      <c r="CI105" s="111"/>
      <c r="CJ105" s="111"/>
      <c r="CK105" s="111"/>
      <c r="CL105" s="111"/>
      <c r="CM105" s="111"/>
      <c r="CN105" s="111"/>
      <c r="CO105" s="111"/>
      <c r="CP105" s="111"/>
      <c r="CQ105" s="111"/>
      <c r="CR105" s="111"/>
      <c r="CS105" s="111"/>
      <c r="CT105" s="111"/>
      <c r="CU105" s="111"/>
      <c r="CV105" s="111"/>
      <c r="CW105" s="111"/>
      <c r="CX105" s="111"/>
      <c r="CY105" s="111"/>
      <c r="CZ105" s="111"/>
      <c r="DA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91"/>
      <c r="Q106" s="91"/>
      <c r="R106" s="91"/>
      <c r="S106" s="91"/>
      <c r="T106" s="91"/>
      <c r="U106" s="91"/>
      <c r="V106" s="91"/>
      <c r="W106" s="9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  <c r="BP106" s="111"/>
      <c r="BQ106" s="111"/>
      <c r="BR106" s="111"/>
      <c r="BS106" s="111"/>
      <c r="BT106" s="111"/>
      <c r="BU106" s="111"/>
      <c r="BV106" s="111"/>
      <c r="BW106" s="111"/>
      <c r="BX106" s="111"/>
      <c r="BY106" s="111"/>
      <c r="BZ106" s="111"/>
      <c r="CA106" s="111"/>
      <c r="CB106" s="111"/>
      <c r="CC106" s="111"/>
      <c r="CD106" s="111"/>
      <c r="CE106" s="111"/>
      <c r="CF106" s="111"/>
      <c r="CG106" s="111"/>
      <c r="CH106" s="111"/>
      <c r="CI106" s="111"/>
      <c r="CJ106" s="111"/>
      <c r="CK106" s="111"/>
      <c r="CL106" s="111"/>
      <c r="CM106" s="111"/>
      <c r="CN106" s="111"/>
      <c r="CO106" s="111"/>
      <c r="CP106" s="111"/>
      <c r="CQ106" s="111"/>
      <c r="CR106" s="111"/>
      <c r="CS106" s="111"/>
      <c r="CT106" s="111"/>
      <c r="CU106" s="111"/>
      <c r="CV106" s="111"/>
      <c r="CW106" s="111"/>
      <c r="CX106" s="111"/>
      <c r="CY106" s="111"/>
      <c r="CZ106" s="111"/>
      <c r="DA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91"/>
      <c r="Q107" s="91"/>
      <c r="R107" s="91"/>
      <c r="S107" s="91"/>
      <c r="T107" s="91"/>
      <c r="U107" s="91"/>
      <c r="V107" s="91"/>
      <c r="W107" s="9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  <c r="BO107" s="111"/>
      <c r="BP107" s="111"/>
      <c r="BQ107" s="111"/>
      <c r="BR107" s="111"/>
      <c r="BS107" s="111"/>
      <c r="BT107" s="111"/>
      <c r="BU107" s="111"/>
      <c r="BV107" s="111"/>
      <c r="BW107" s="111"/>
      <c r="BX107" s="111"/>
      <c r="BY107" s="111"/>
      <c r="BZ107" s="111"/>
      <c r="CA107" s="111"/>
      <c r="CB107" s="111"/>
      <c r="CC107" s="111"/>
      <c r="CD107" s="111"/>
      <c r="CE107" s="111"/>
      <c r="CF107" s="111"/>
      <c r="CG107" s="111"/>
      <c r="CH107" s="111"/>
      <c r="CI107" s="111"/>
      <c r="CJ107" s="111"/>
      <c r="CK107" s="111"/>
      <c r="CL107" s="111"/>
      <c r="CM107" s="111"/>
      <c r="CN107" s="111"/>
      <c r="CO107" s="111"/>
      <c r="CP107" s="111"/>
      <c r="CQ107" s="111"/>
      <c r="CR107" s="111"/>
      <c r="CS107" s="111"/>
      <c r="CT107" s="111"/>
      <c r="CU107" s="111"/>
      <c r="CV107" s="111"/>
      <c r="CW107" s="111"/>
      <c r="CX107" s="111"/>
      <c r="CY107" s="111"/>
      <c r="CZ107" s="111"/>
      <c r="DA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91"/>
      <c r="Q108" s="91"/>
      <c r="R108" s="91"/>
      <c r="S108" s="91"/>
      <c r="T108" s="91"/>
      <c r="U108" s="91"/>
      <c r="V108" s="91"/>
      <c r="W108" s="9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  <c r="BO108" s="111"/>
      <c r="BP108" s="111"/>
      <c r="BQ108" s="111"/>
      <c r="BR108" s="111"/>
      <c r="BS108" s="111"/>
      <c r="BT108" s="111"/>
      <c r="BU108" s="111"/>
      <c r="BV108" s="111"/>
      <c r="BW108" s="111"/>
      <c r="BX108" s="111"/>
      <c r="BY108" s="111"/>
      <c r="BZ108" s="111"/>
      <c r="CA108" s="111"/>
      <c r="CB108" s="111"/>
      <c r="CC108" s="111"/>
      <c r="CD108" s="111"/>
      <c r="CE108" s="111"/>
      <c r="CF108" s="111"/>
      <c r="CG108" s="111"/>
      <c r="CH108" s="111"/>
      <c r="CI108" s="111"/>
      <c r="CJ108" s="111"/>
      <c r="CK108" s="111"/>
      <c r="CL108" s="111"/>
      <c r="CM108" s="111"/>
      <c r="CN108" s="111"/>
      <c r="CO108" s="111"/>
      <c r="CP108" s="111"/>
      <c r="CQ108" s="111"/>
      <c r="CR108" s="111"/>
      <c r="CS108" s="111"/>
      <c r="CT108" s="111"/>
      <c r="CU108" s="111"/>
      <c r="CV108" s="111"/>
      <c r="CW108" s="111"/>
      <c r="CX108" s="111"/>
      <c r="CY108" s="111"/>
      <c r="CZ108" s="111"/>
      <c r="DA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91"/>
      <c r="Q109" s="91"/>
      <c r="R109" s="91"/>
      <c r="S109" s="91"/>
      <c r="T109" s="91"/>
      <c r="U109" s="91"/>
      <c r="V109" s="91"/>
      <c r="W109" s="9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1"/>
      <c r="BQ109" s="111"/>
      <c r="BR109" s="111"/>
      <c r="BS109" s="111"/>
      <c r="BT109" s="111"/>
      <c r="BU109" s="111"/>
      <c r="BV109" s="111"/>
      <c r="BW109" s="111"/>
      <c r="BX109" s="111"/>
      <c r="BY109" s="111"/>
      <c r="BZ109" s="111"/>
      <c r="CA109" s="111"/>
      <c r="CB109" s="111"/>
      <c r="CC109" s="111"/>
      <c r="CD109" s="111"/>
      <c r="CE109" s="111"/>
      <c r="CF109" s="111"/>
      <c r="CG109" s="111"/>
      <c r="CH109" s="111"/>
      <c r="CI109" s="111"/>
      <c r="CJ109" s="111"/>
      <c r="CK109" s="111"/>
      <c r="CL109" s="111"/>
      <c r="CM109" s="111"/>
      <c r="CN109" s="111"/>
      <c r="CO109" s="111"/>
      <c r="CP109" s="111"/>
      <c r="CQ109" s="111"/>
      <c r="CR109" s="111"/>
      <c r="CS109" s="111"/>
      <c r="CT109" s="111"/>
      <c r="CU109" s="111"/>
      <c r="CV109" s="111"/>
      <c r="CW109" s="111"/>
      <c r="CX109" s="111"/>
      <c r="CY109" s="111"/>
      <c r="CZ109" s="111"/>
      <c r="DA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91"/>
      <c r="Q110" s="91"/>
      <c r="R110" s="91"/>
      <c r="S110" s="91"/>
      <c r="T110" s="91"/>
      <c r="U110" s="91"/>
      <c r="V110" s="91"/>
      <c r="W110" s="9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  <c r="BO110" s="111"/>
      <c r="BP110" s="111"/>
      <c r="BQ110" s="111"/>
      <c r="BR110" s="111"/>
      <c r="BS110" s="111"/>
      <c r="BT110" s="111"/>
      <c r="BU110" s="111"/>
      <c r="BV110" s="111"/>
      <c r="BW110" s="111"/>
      <c r="BX110" s="111"/>
      <c r="BY110" s="111"/>
      <c r="BZ110" s="111"/>
      <c r="CA110" s="111"/>
      <c r="CB110" s="111"/>
      <c r="CC110" s="111"/>
      <c r="CD110" s="111"/>
      <c r="CE110" s="111"/>
      <c r="CF110" s="111"/>
      <c r="CG110" s="111"/>
      <c r="CH110" s="111"/>
      <c r="CI110" s="111"/>
      <c r="CJ110" s="111"/>
      <c r="CK110" s="111"/>
      <c r="CL110" s="111"/>
      <c r="CM110" s="111"/>
      <c r="CN110" s="111"/>
      <c r="CO110" s="111"/>
      <c r="CP110" s="111"/>
      <c r="CQ110" s="111"/>
      <c r="CR110" s="111"/>
      <c r="CS110" s="111"/>
      <c r="CT110" s="111"/>
      <c r="CU110" s="111"/>
      <c r="CV110" s="111"/>
      <c r="CW110" s="111"/>
      <c r="CX110" s="111"/>
      <c r="CY110" s="111"/>
      <c r="CZ110" s="111"/>
      <c r="DA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91"/>
      <c r="Q111" s="91"/>
      <c r="R111" s="91"/>
      <c r="S111" s="91"/>
      <c r="T111" s="91"/>
      <c r="U111" s="91"/>
      <c r="V111" s="91"/>
      <c r="W111" s="9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  <c r="BO111" s="111"/>
      <c r="BP111" s="111"/>
      <c r="BQ111" s="111"/>
      <c r="BR111" s="111"/>
      <c r="BS111" s="111"/>
      <c r="BT111" s="111"/>
      <c r="BU111" s="111"/>
      <c r="BV111" s="111"/>
      <c r="BW111" s="111"/>
      <c r="BX111" s="111"/>
      <c r="BY111" s="111"/>
      <c r="BZ111" s="111"/>
      <c r="CA111" s="111"/>
      <c r="CB111" s="111"/>
      <c r="CC111" s="111"/>
      <c r="CD111" s="111"/>
      <c r="CE111" s="111"/>
      <c r="CF111" s="111"/>
      <c r="CG111" s="111"/>
      <c r="CH111" s="111"/>
      <c r="CI111" s="111"/>
      <c r="CJ111" s="111"/>
      <c r="CK111" s="111"/>
      <c r="CL111" s="111"/>
      <c r="CM111" s="111"/>
      <c r="CN111" s="111"/>
      <c r="CO111" s="111"/>
      <c r="CP111" s="111"/>
      <c r="CQ111" s="111"/>
      <c r="CR111" s="111"/>
      <c r="CS111" s="111"/>
      <c r="CT111" s="111"/>
      <c r="CU111" s="111"/>
      <c r="CV111" s="111"/>
      <c r="CW111" s="111"/>
      <c r="CX111" s="111"/>
      <c r="CY111" s="111"/>
      <c r="CZ111" s="111"/>
      <c r="DA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91"/>
      <c r="Q112" s="91"/>
      <c r="R112" s="91"/>
      <c r="S112" s="91"/>
      <c r="T112" s="91"/>
      <c r="U112" s="91"/>
      <c r="V112" s="91"/>
      <c r="W112" s="9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  <c r="BO112" s="111"/>
      <c r="BP112" s="111"/>
      <c r="BQ112" s="111"/>
      <c r="BR112" s="111"/>
      <c r="BS112" s="111"/>
      <c r="BT112" s="111"/>
      <c r="BU112" s="111"/>
      <c r="BV112" s="111"/>
      <c r="BW112" s="111"/>
      <c r="BX112" s="111"/>
      <c r="BY112" s="111"/>
      <c r="BZ112" s="111"/>
      <c r="CA112" s="111"/>
      <c r="CB112" s="111"/>
      <c r="CC112" s="111"/>
      <c r="CD112" s="111"/>
      <c r="CE112" s="111"/>
      <c r="CF112" s="111"/>
      <c r="CG112" s="111"/>
      <c r="CH112" s="111"/>
      <c r="CI112" s="111"/>
      <c r="CJ112" s="111"/>
      <c r="CK112" s="111"/>
      <c r="CL112" s="111"/>
      <c r="CM112" s="111"/>
      <c r="CN112" s="111"/>
      <c r="CO112" s="111"/>
      <c r="CP112" s="111"/>
      <c r="CQ112" s="111"/>
      <c r="CR112" s="111"/>
      <c r="CS112" s="111"/>
      <c r="CT112" s="111"/>
      <c r="CU112" s="111"/>
      <c r="CV112" s="111"/>
      <c r="CW112" s="111"/>
      <c r="CX112" s="111"/>
      <c r="CY112" s="111"/>
      <c r="CZ112" s="111"/>
      <c r="DA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91"/>
      <c r="Q113" s="91"/>
      <c r="R113" s="91"/>
      <c r="S113" s="91"/>
      <c r="T113" s="91"/>
      <c r="U113" s="91"/>
      <c r="V113" s="91"/>
      <c r="W113" s="9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  <c r="CU113" s="111"/>
      <c r="CV113" s="111"/>
      <c r="CW113" s="111"/>
      <c r="CX113" s="111"/>
      <c r="CY113" s="111"/>
      <c r="CZ113" s="111"/>
      <c r="DA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91"/>
      <c r="Q114" s="91"/>
      <c r="R114" s="91"/>
      <c r="S114" s="91"/>
      <c r="T114" s="91"/>
      <c r="U114" s="91"/>
      <c r="V114" s="91"/>
      <c r="W114" s="9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1"/>
      <c r="BP114" s="111"/>
      <c r="BQ114" s="111"/>
      <c r="BR114" s="111"/>
      <c r="BS114" s="111"/>
      <c r="BT114" s="111"/>
      <c r="BU114" s="111"/>
      <c r="BV114" s="111"/>
      <c r="BW114" s="111"/>
      <c r="BX114" s="111"/>
      <c r="BY114" s="111"/>
      <c r="BZ114" s="111"/>
      <c r="CA114" s="111"/>
      <c r="CB114" s="111"/>
      <c r="CC114" s="111"/>
      <c r="CD114" s="111"/>
      <c r="CE114" s="111"/>
      <c r="CF114" s="111"/>
      <c r="CG114" s="111"/>
      <c r="CH114" s="111"/>
      <c r="CI114" s="111"/>
      <c r="CJ114" s="111"/>
      <c r="CK114" s="111"/>
      <c r="CL114" s="111"/>
      <c r="CM114" s="111"/>
      <c r="CN114" s="111"/>
      <c r="CO114" s="111"/>
      <c r="CP114" s="111"/>
      <c r="CQ114" s="111"/>
      <c r="CR114" s="111"/>
      <c r="CS114" s="111"/>
      <c r="CT114" s="111"/>
      <c r="CU114" s="111"/>
      <c r="CV114" s="111"/>
      <c r="CW114" s="111"/>
      <c r="CX114" s="111"/>
      <c r="CY114" s="111"/>
      <c r="CZ114" s="111"/>
      <c r="DA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91"/>
      <c r="Q115" s="91"/>
      <c r="R115" s="91"/>
      <c r="S115" s="91"/>
      <c r="T115" s="91"/>
      <c r="U115" s="91"/>
      <c r="V115" s="91"/>
      <c r="W115" s="9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  <c r="CU115" s="111"/>
      <c r="CV115" s="111"/>
      <c r="CW115" s="111"/>
      <c r="CX115" s="111"/>
      <c r="CY115" s="111"/>
      <c r="CZ115" s="111"/>
      <c r="DA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91"/>
      <c r="Q116" s="91"/>
      <c r="R116" s="91"/>
      <c r="S116" s="91"/>
      <c r="T116" s="91"/>
      <c r="U116" s="91"/>
      <c r="V116" s="91"/>
      <c r="W116" s="9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1"/>
      <c r="BP116" s="111"/>
      <c r="BQ116" s="111"/>
      <c r="BR116" s="111"/>
      <c r="BS116" s="111"/>
      <c r="BT116" s="111"/>
      <c r="BU116" s="111"/>
      <c r="BV116" s="111"/>
      <c r="BW116" s="111"/>
      <c r="BX116" s="111"/>
      <c r="BY116" s="111"/>
      <c r="BZ116" s="111"/>
      <c r="CA116" s="111"/>
      <c r="CB116" s="111"/>
      <c r="CC116" s="111"/>
      <c r="CD116" s="111"/>
      <c r="CE116" s="111"/>
      <c r="CF116" s="111"/>
      <c r="CG116" s="111"/>
      <c r="CH116" s="111"/>
      <c r="CI116" s="111"/>
      <c r="CJ116" s="111"/>
      <c r="CK116" s="111"/>
      <c r="CL116" s="111"/>
      <c r="CM116" s="111"/>
      <c r="CN116" s="111"/>
      <c r="CO116" s="111"/>
      <c r="CP116" s="111"/>
      <c r="CQ116" s="111"/>
      <c r="CR116" s="111"/>
      <c r="CS116" s="111"/>
      <c r="CT116" s="111"/>
      <c r="CU116" s="111"/>
      <c r="CV116" s="111"/>
      <c r="CW116" s="111"/>
      <c r="CX116" s="111"/>
      <c r="CY116" s="111"/>
      <c r="CZ116" s="111"/>
      <c r="DA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91"/>
      <c r="Q117" s="91"/>
      <c r="R117" s="91"/>
      <c r="S117" s="91"/>
      <c r="T117" s="91"/>
      <c r="U117" s="91"/>
      <c r="V117" s="91"/>
      <c r="W117" s="9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  <c r="BO117" s="111"/>
      <c r="BP117" s="111"/>
      <c r="BQ117" s="111"/>
      <c r="BR117" s="111"/>
      <c r="BS117" s="111"/>
      <c r="BT117" s="111"/>
      <c r="BU117" s="111"/>
      <c r="BV117" s="111"/>
      <c r="BW117" s="111"/>
      <c r="BX117" s="111"/>
      <c r="BY117" s="111"/>
      <c r="BZ117" s="111"/>
      <c r="CA117" s="111"/>
      <c r="CB117" s="111"/>
      <c r="CC117" s="111"/>
      <c r="CD117" s="111"/>
      <c r="CE117" s="111"/>
      <c r="CF117" s="111"/>
      <c r="CG117" s="111"/>
      <c r="CH117" s="111"/>
      <c r="CI117" s="111"/>
      <c r="CJ117" s="111"/>
      <c r="CK117" s="111"/>
      <c r="CL117" s="111"/>
      <c r="CM117" s="111"/>
      <c r="CN117" s="111"/>
      <c r="CO117" s="111"/>
      <c r="CP117" s="111"/>
      <c r="CQ117" s="111"/>
      <c r="CR117" s="111"/>
      <c r="CS117" s="111"/>
      <c r="CT117" s="111"/>
      <c r="CU117" s="111"/>
      <c r="CV117" s="111"/>
      <c r="CW117" s="111"/>
      <c r="CX117" s="111"/>
      <c r="CY117" s="111"/>
      <c r="CZ117" s="111"/>
      <c r="DA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91"/>
      <c r="Q118" s="91"/>
      <c r="R118" s="91"/>
      <c r="S118" s="91"/>
      <c r="T118" s="91"/>
      <c r="U118" s="91"/>
      <c r="V118" s="91"/>
      <c r="W118" s="9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  <c r="BQ118" s="111"/>
      <c r="BR118" s="111"/>
      <c r="BS118" s="111"/>
      <c r="BT118" s="111"/>
      <c r="BU118" s="111"/>
      <c r="BV118" s="111"/>
      <c r="BW118" s="111"/>
      <c r="BX118" s="111"/>
      <c r="BY118" s="111"/>
      <c r="BZ118" s="111"/>
      <c r="CA118" s="111"/>
      <c r="CB118" s="111"/>
      <c r="CC118" s="111"/>
      <c r="CD118" s="111"/>
      <c r="CE118" s="111"/>
      <c r="CF118" s="111"/>
      <c r="CG118" s="111"/>
      <c r="CH118" s="111"/>
      <c r="CI118" s="111"/>
      <c r="CJ118" s="111"/>
      <c r="CK118" s="111"/>
      <c r="CL118" s="111"/>
      <c r="CM118" s="111"/>
      <c r="CN118" s="111"/>
      <c r="CO118" s="111"/>
      <c r="CP118" s="111"/>
      <c r="CQ118" s="111"/>
      <c r="CR118" s="111"/>
      <c r="CS118" s="111"/>
      <c r="CT118" s="111"/>
      <c r="CU118" s="111"/>
      <c r="CV118" s="111"/>
      <c r="CW118" s="111"/>
      <c r="CX118" s="111"/>
      <c r="CY118" s="111"/>
      <c r="CZ118" s="111"/>
      <c r="DA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91"/>
      <c r="Q119" s="91"/>
      <c r="R119" s="91"/>
      <c r="S119" s="91"/>
      <c r="T119" s="91"/>
      <c r="U119" s="91"/>
      <c r="V119" s="91"/>
      <c r="W119" s="9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  <c r="BW119" s="111"/>
      <c r="BX119" s="111"/>
      <c r="BY119" s="111"/>
      <c r="BZ119" s="111"/>
      <c r="CA119" s="111"/>
      <c r="CB119" s="111"/>
      <c r="CC119" s="111"/>
      <c r="CD119" s="111"/>
      <c r="CE119" s="111"/>
      <c r="CF119" s="111"/>
      <c r="CG119" s="111"/>
      <c r="CH119" s="111"/>
      <c r="CI119" s="111"/>
      <c r="CJ119" s="111"/>
      <c r="CK119" s="111"/>
      <c r="CL119" s="111"/>
      <c r="CM119" s="111"/>
      <c r="CN119" s="111"/>
      <c r="CO119" s="111"/>
      <c r="CP119" s="111"/>
      <c r="CQ119" s="111"/>
      <c r="CR119" s="111"/>
      <c r="CS119" s="111"/>
      <c r="CT119" s="111"/>
      <c r="CU119" s="111"/>
      <c r="CV119" s="111"/>
      <c r="CW119" s="111"/>
      <c r="CX119" s="111"/>
      <c r="CY119" s="111"/>
      <c r="CZ119" s="111"/>
      <c r="DA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91"/>
      <c r="Q120" s="91"/>
      <c r="R120" s="91"/>
      <c r="S120" s="91"/>
      <c r="T120" s="91"/>
      <c r="U120" s="91"/>
      <c r="V120" s="91"/>
      <c r="W120" s="9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/>
      <c r="CS120" s="111"/>
      <c r="CT120" s="111"/>
      <c r="CU120" s="111"/>
      <c r="CV120" s="111"/>
      <c r="CW120" s="111"/>
      <c r="CX120" s="111"/>
      <c r="CY120" s="111"/>
      <c r="CZ120" s="111"/>
      <c r="DA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91"/>
      <c r="Q121" s="91"/>
      <c r="R121" s="91"/>
      <c r="S121" s="91"/>
      <c r="T121" s="91"/>
      <c r="U121" s="91"/>
      <c r="V121" s="91"/>
      <c r="W121" s="9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  <c r="BQ121" s="111"/>
      <c r="BR121" s="111"/>
      <c r="BS121" s="111"/>
      <c r="BT121" s="111"/>
      <c r="BU121" s="111"/>
      <c r="BV121" s="111"/>
      <c r="BW121" s="111"/>
      <c r="BX121" s="111"/>
      <c r="BY121" s="111"/>
      <c r="BZ121" s="111"/>
      <c r="CA121" s="111"/>
      <c r="CB121" s="111"/>
      <c r="CC121" s="111"/>
      <c r="CD121" s="111"/>
      <c r="CE121" s="111"/>
      <c r="CF121" s="111"/>
      <c r="CG121" s="111"/>
      <c r="CH121" s="111"/>
      <c r="CI121" s="111"/>
      <c r="CJ121" s="111"/>
      <c r="CK121" s="111"/>
      <c r="CL121" s="111"/>
      <c r="CM121" s="111"/>
      <c r="CN121" s="111"/>
      <c r="CO121" s="111"/>
      <c r="CP121" s="111"/>
      <c r="CQ121" s="111"/>
      <c r="CR121" s="111"/>
      <c r="CS121" s="111"/>
      <c r="CT121" s="111"/>
      <c r="CU121" s="111"/>
      <c r="CV121" s="111"/>
      <c r="CW121" s="111"/>
      <c r="CX121" s="111"/>
      <c r="CY121" s="111"/>
      <c r="CZ121" s="111"/>
      <c r="DA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91"/>
      <c r="Q122" s="91"/>
      <c r="R122" s="91"/>
      <c r="S122" s="91"/>
      <c r="T122" s="91"/>
      <c r="U122" s="91"/>
      <c r="V122" s="91"/>
      <c r="W122" s="9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  <c r="BO122" s="111"/>
      <c r="BP122" s="111"/>
      <c r="BQ122" s="111"/>
      <c r="BR122" s="111"/>
      <c r="BS122" s="111"/>
      <c r="BT122" s="111"/>
      <c r="BU122" s="111"/>
      <c r="BV122" s="111"/>
      <c r="BW122" s="111"/>
      <c r="BX122" s="111"/>
      <c r="BY122" s="111"/>
      <c r="BZ122" s="111"/>
      <c r="CA122" s="111"/>
      <c r="CB122" s="111"/>
      <c r="CC122" s="111"/>
      <c r="CD122" s="111"/>
      <c r="CE122" s="111"/>
      <c r="CF122" s="111"/>
      <c r="CG122" s="111"/>
      <c r="CH122" s="111"/>
      <c r="CI122" s="111"/>
      <c r="CJ122" s="111"/>
      <c r="CK122" s="111"/>
      <c r="CL122" s="111"/>
      <c r="CM122" s="111"/>
      <c r="CN122" s="111"/>
      <c r="CO122" s="111"/>
      <c r="CP122" s="111"/>
      <c r="CQ122" s="111"/>
      <c r="CR122" s="111"/>
      <c r="CS122" s="111"/>
      <c r="CT122" s="111"/>
      <c r="CU122" s="111"/>
      <c r="CV122" s="111"/>
      <c r="CW122" s="111"/>
      <c r="CX122" s="111"/>
      <c r="CY122" s="111"/>
      <c r="CZ122" s="111"/>
      <c r="DA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91"/>
      <c r="Q123" s="91"/>
      <c r="R123" s="91"/>
      <c r="S123" s="91"/>
      <c r="T123" s="91"/>
      <c r="U123" s="91"/>
      <c r="V123" s="91"/>
      <c r="W123" s="9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11"/>
      <c r="CD123" s="111"/>
      <c r="CE123" s="111"/>
      <c r="CF123" s="111"/>
      <c r="CG123" s="111"/>
      <c r="CH123" s="111"/>
      <c r="CI123" s="111"/>
      <c r="CJ123" s="111"/>
      <c r="CK123" s="111"/>
      <c r="CL123" s="111"/>
      <c r="CM123" s="111"/>
      <c r="CN123" s="111"/>
      <c r="CO123" s="111"/>
      <c r="CP123" s="111"/>
      <c r="CQ123" s="111"/>
      <c r="CR123" s="111"/>
      <c r="CS123" s="111"/>
      <c r="CT123" s="111"/>
      <c r="CU123" s="111"/>
      <c r="CV123" s="111"/>
      <c r="CW123" s="111"/>
      <c r="CX123" s="111"/>
      <c r="CY123" s="111"/>
      <c r="CZ123" s="111"/>
      <c r="DA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91"/>
      <c r="Q124" s="91"/>
      <c r="R124" s="91"/>
      <c r="S124" s="91"/>
      <c r="T124" s="91"/>
      <c r="U124" s="91"/>
      <c r="V124" s="91"/>
      <c r="W124" s="9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11"/>
      <c r="CA124" s="111"/>
      <c r="CB124" s="111"/>
      <c r="CC124" s="111"/>
      <c r="CD124" s="111"/>
      <c r="CE124" s="111"/>
      <c r="CF124" s="111"/>
      <c r="CG124" s="111"/>
      <c r="CH124" s="111"/>
      <c r="CI124" s="111"/>
      <c r="CJ124" s="111"/>
      <c r="CK124" s="111"/>
      <c r="CL124" s="111"/>
      <c r="CM124" s="111"/>
      <c r="CN124" s="111"/>
      <c r="CO124" s="111"/>
      <c r="CP124" s="111"/>
      <c r="CQ124" s="111"/>
      <c r="CR124" s="111"/>
      <c r="CS124" s="111"/>
      <c r="CT124" s="111"/>
      <c r="CU124" s="111"/>
      <c r="CV124" s="111"/>
      <c r="CW124" s="111"/>
      <c r="CX124" s="111"/>
      <c r="CY124" s="111"/>
      <c r="CZ124" s="111"/>
      <c r="DA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91"/>
      <c r="Q125" s="91"/>
      <c r="R125" s="91"/>
      <c r="S125" s="91"/>
      <c r="T125" s="91"/>
      <c r="U125" s="91"/>
      <c r="V125" s="91"/>
      <c r="W125" s="9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  <c r="CS125" s="111"/>
      <c r="CT125" s="111"/>
      <c r="CU125" s="111"/>
      <c r="CV125" s="111"/>
      <c r="CW125" s="111"/>
      <c r="CX125" s="111"/>
      <c r="CY125" s="111"/>
      <c r="CZ125" s="111"/>
      <c r="DA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91"/>
      <c r="Q126" s="91"/>
      <c r="R126" s="91"/>
      <c r="S126" s="91"/>
      <c r="T126" s="91"/>
      <c r="U126" s="91"/>
      <c r="V126" s="91"/>
      <c r="W126" s="9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  <c r="CZ126" s="111"/>
      <c r="DA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91"/>
      <c r="Q127" s="91"/>
      <c r="R127" s="91"/>
      <c r="S127" s="91"/>
      <c r="T127" s="91"/>
      <c r="U127" s="91"/>
      <c r="V127" s="91"/>
      <c r="W127" s="9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  <c r="BW127" s="111"/>
      <c r="BX127" s="111"/>
      <c r="BY127" s="111"/>
      <c r="BZ127" s="111"/>
      <c r="CA127" s="111"/>
      <c r="CB127" s="111"/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/>
      <c r="CS127" s="111"/>
      <c r="CT127" s="111"/>
      <c r="CU127" s="111"/>
      <c r="CV127" s="111"/>
      <c r="CW127" s="111"/>
      <c r="CX127" s="111"/>
      <c r="CY127" s="111"/>
      <c r="CZ127" s="111"/>
      <c r="DA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91"/>
      <c r="Q128" s="91"/>
      <c r="R128" s="91"/>
      <c r="S128" s="91"/>
      <c r="T128" s="91"/>
      <c r="U128" s="91"/>
      <c r="V128" s="91"/>
      <c r="W128" s="9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/>
      <c r="CS128" s="111"/>
      <c r="CT128" s="111"/>
      <c r="CU128" s="111"/>
      <c r="CV128" s="111"/>
      <c r="CW128" s="111"/>
      <c r="CX128" s="111"/>
      <c r="CY128" s="111"/>
      <c r="CZ128" s="111"/>
      <c r="DA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91"/>
      <c r="Q129" s="91"/>
      <c r="R129" s="91"/>
      <c r="S129" s="91"/>
      <c r="T129" s="91"/>
      <c r="U129" s="91"/>
      <c r="V129" s="91"/>
      <c r="W129" s="9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  <c r="BQ129" s="111"/>
      <c r="BR129" s="111"/>
      <c r="BS129" s="111"/>
      <c r="BT129" s="111"/>
      <c r="BU129" s="111"/>
      <c r="BV129" s="111"/>
      <c r="BW129" s="111"/>
      <c r="BX129" s="111"/>
      <c r="BY129" s="111"/>
      <c r="BZ129" s="111"/>
      <c r="CA129" s="111"/>
      <c r="CB129" s="111"/>
      <c r="CC129" s="111"/>
      <c r="CD129" s="111"/>
      <c r="CE129" s="111"/>
      <c r="CF129" s="111"/>
      <c r="CG129" s="111"/>
      <c r="CH129" s="111"/>
      <c r="CI129" s="111"/>
      <c r="CJ129" s="111"/>
      <c r="CK129" s="111"/>
      <c r="CL129" s="111"/>
      <c r="CM129" s="111"/>
      <c r="CN129" s="111"/>
      <c r="CO129" s="111"/>
      <c r="CP129" s="111"/>
      <c r="CQ129" s="111"/>
      <c r="CR129" s="111"/>
      <c r="CS129" s="111"/>
      <c r="CT129" s="111"/>
      <c r="CU129" s="111"/>
      <c r="CV129" s="111"/>
      <c r="CW129" s="111"/>
      <c r="CX129" s="111"/>
      <c r="CY129" s="111"/>
      <c r="CZ129" s="111"/>
      <c r="DA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91"/>
      <c r="Q130" s="91"/>
      <c r="R130" s="91"/>
      <c r="S130" s="91"/>
      <c r="T130" s="91"/>
      <c r="U130" s="91"/>
      <c r="V130" s="91"/>
      <c r="W130" s="9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1"/>
      <c r="BQ130" s="111"/>
      <c r="BR130" s="111"/>
      <c r="BS130" s="111"/>
      <c r="BT130" s="111"/>
      <c r="BU130" s="111"/>
      <c r="BV130" s="111"/>
      <c r="BW130" s="111"/>
      <c r="BX130" s="111"/>
      <c r="BY130" s="111"/>
      <c r="BZ130" s="111"/>
      <c r="CA130" s="111"/>
      <c r="CB130" s="111"/>
      <c r="CC130" s="111"/>
      <c r="CD130" s="111"/>
      <c r="CE130" s="111"/>
      <c r="CF130" s="111"/>
      <c r="CG130" s="111"/>
      <c r="CH130" s="111"/>
      <c r="CI130" s="111"/>
      <c r="CJ130" s="111"/>
      <c r="CK130" s="111"/>
      <c r="CL130" s="111"/>
      <c r="CM130" s="111"/>
      <c r="CN130" s="111"/>
      <c r="CO130" s="111"/>
      <c r="CP130" s="111"/>
      <c r="CQ130" s="111"/>
      <c r="CR130" s="111"/>
      <c r="CS130" s="111"/>
      <c r="CT130" s="111"/>
      <c r="CU130" s="111"/>
      <c r="CV130" s="111"/>
      <c r="CW130" s="111"/>
      <c r="CX130" s="111"/>
      <c r="CY130" s="111"/>
      <c r="CZ130" s="111"/>
      <c r="DA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91"/>
      <c r="Q131" s="91"/>
      <c r="R131" s="91"/>
      <c r="S131" s="91"/>
      <c r="T131" s="91"/>
      <c r="U131" s="91"/>
      <c r="V131" s="91"/>
      <c r="W131" s="9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1"/>
      <c r="BQ131" s="111"/>
      <c r="BR131" s="111"/>
      <c r="BS131" s="111"/>
      <c r="BT131" s="111"/>
      <c r="BU131" s="111"/>
      <c r="BV131" s="111"/>
      <c r="BW131" s="111"/>
      <c r="BX131" s="111"/>
      <c r="BY131" s="111"/>
      <c r="BZ131" s="111"/>
      <c r="CA131" s="111"/>
      <c r="CB131" s="111"/>
      <c r="CC131" s="111"/>
      <c r="CD131" s="111"/>
      <c r="CE131" s="111"/>
      <c r="CF131" s="111"/>
      <c r="CG131" s="111"/>
      <c r="CH131" s="111"/>
      <c r="CI131" s="111"/>
      <c r="CJ131" s="111"/>
      <c r="CK131" s="111"/>
      <c r="CL131" s="111"/>
      <c r="CM131" s="111"/>
      <c r="CN131" s="111"/>
      <c r="CO131" s="111"/>
      <c r="CP131" s="111"/>
      <c r="CQ131" s="111"/>
      <c r="CR131" s="111"/>
      <c r="CS131" s="111"/>
      <c r="CT131" s="111"/>
      <c r="CU131" s="111"/>
      <c r="CV131" s="111"/>
      <c r="CW131" s="111"/>
      <c r="CX131" s="111"/>
      <c r="CY131" s="111"/>
      <c r="CZ131" s="111"/>
      <c r="DA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91"/>
      <c r="Q132" s="91"/>
      <c r="R132" s="91"/>
      <c r="S132" s="91"/>
      <c r="T132" s="91"/>
      <c r="U132" s="91"/>
      <c r="V132" s="91"/>
      <c r="W132" s="9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1"/>
      <c r="BQ132" s="111"/>
      <c r="BR132" s="111"/>
      <c r="BS132" s="111"/>
      <c r="BT132" s="111"/>
      <c r="BU132" s="111"/>
      <c r="BV132" s="111"/>
      <c r="BW132" s="111"/>
      <c r="BX132" s="111"/>
      <c r="BY132" s="111"/>
      <c r="BZ132" s="111"/>
      <c r="CA132" s="111"/>
      <c r="CB132" s="111"/>
      <c r="CC132" s="111"/>
      <c r="CD132" s="111"/>
      <c r="CE132" s="111"/>
      <c r="CF132" s="111"/>
      <c r="CG132" s="111"/>
      <c r="CH132" s="111"/>
      <c r="CI132" s="111"/>
      <c r="CJ132" s="111"/>
      <c r="CK132" s="111"/>
      <c r="CL132" s="111"/>
      <c r="CM132" s="111"/>
      <c r="CN132" s="111"/>
      <c r="CO132" s="111"/>
      <c r="CP132" s="111"/>
      <c r="CQ132" s="111"/>
      <c r="CR132" s="111"/>
      <c r="CS132" s="111"/>
      <c r="CT132" s="111"/>
      <c r="CU132" s="111"/>
      <c r="CV132" s="111"/>
      <c r="CW132" s="111"/>
      <c r="CX132" s="111"/>
      <c r="CY132" s="111"/>
      <c r="CZ132" s="111"/>
      <c r="DA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91"/>
      <c r="Q133" s="91"/>
      <c r="R133" s="91"/>
      <c r="S133" s="91"/>
      <c r="T133" s="91"/>
      <c r="U133" s="91"/>
      <c r="V133" s="91"/>
      <c r="W133" s="9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1"/>
      <c r="BQ133" s="111"/>
      <c r="BR133" s="111"/>
      <c r="BS133" s="111"/>
      <c r="BT133" s="111"/>
      <c r="BU133" s="111"/>
      <c r="BV133" s="111"/>
      <c r="BW133" s="111"/>
      <c r="BX133" s="111"/>
      <c r="BY133" s="111"/>
      <c r="BZ133" s="111"/>
      <c r="CA133" s="111"/>
      <c r="CB133" s="111"/>
      <c r="CC133" s="111"/>
      <c r="CD133" s="111"/>
      <c r="CE133" s="111"/>
      <c r="CF133" s="111"/>
      <c r="CG133" s="111"/>
      <c r="CH133" s="111"/>
      <c r="CI133" s="111"/>
      <c r="CJ133" s="111"/>
      <c r="CK133" s="111"/>
      <c r="CL133" s="111"/>
      <c r="CM133" s="111"/>
      <c r="CN133" s="111"/>
      <c r="CO133" s="111"/>
      <c r="CP133" s="111"/>
      <c r="CQ133" s="111"/>
      <c r="CR133" s="111"/>
      <c r="CS133" s="111"/>
      <c r="CT133" s="111"/>
      <c r="CU133" s="111"/>
      <c r="CV133" s="111"/>
      <c r="CW133" s="111"/>
      <c r="CX133" s="111"/>
      <c r="CY133" s="111"/>
      <c r="CZ133" s="111"/>
      <c r="DA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91"/>
      <c r="Q134" s="91"/>
      <c r="R134" s="91"/>
      <c r="S134" s="91"/>
      <c r="T134" s="91"/>
      <c r="U134" s="91"/>
      <c r="V134" s="91"/>
      <c r="W134" s="9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1"/>
      <c r="BQ134" s="111"/>
      <c r="BR134" s="111"/>
      <c r="BS134" s="111"/>
      <c r="BT134" s="111"/>
      <c r="BU134" s="111"/>
      <c r="BV134" s="111"/>
      <c r="BW134" s="111"/>
      <c r="BX134" s="111"/>
      <c r="BY134" s="111"/>
      <c r="BZ134" s="111"/>
      <c r="CA134" s="111"/>
      <c r="CB134" s="111"/>
      <c r="CC134" s="111"/>
      <c r="CD134" s="111"/>
      <c r="CE134" s="111"/>
      <c r="CF134" s="111"/>
      <c r="CG134" s="111"/>
      <c r="CH134" s="111"/>
      <c r="CI134" s="111"/>
      <c r="CJ134" s="111"/>
      <c r="CK134" s="111"/>
      <c r="CL134" s="111"/>
      <c r="CM134" s="111"/>
      <c r="CN134" s="111"/>
      <c r="CO134" s="111"/>
      <c r="CP134" s="111"/>
      <c r="CQ134" s="111"/>
      <c r="CR134" s="111"/>
      <c r="CS134" s="111"/>
      <c r="CT134" s="111"/>
      <c r="CU134" s="111"/>
      <c r="CV134" s="111"/>
      <c r="CW134" s="111"/>
      <c r="CX134" s="111"/>
      <c r="CY134" s="111"/>
      <c r="CZ134" s="111"/>
      <c r="DA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91"/>
      <c r="Q135" s="91"/>
      <c r="R135" s="91"/>
      <c r="S135" s="91"/>
      <c r="T135" s="91"/>
      <c r="U135" s="91"/>
      <c r="V135" s="91"/>
      <c r="W135" s="9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  <c r="BW135" s="111"/>
      <c r="BX135" s="111"/>
      <c r="BY135" s="111"/>
      <c r="BZ135" s="111"/>
      <c r="CA135" s="111"/>
      <c r="CB135" s="111"/>
      <c r="CC135" s="111"/>
      <c r="CD135" s="111"/>
      <c r="CE135" s="111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11"/>
      <c r="CP135" s="111"/>
      <c r="CQ135" s="111"/>
      <c r="CR135" s="111"/>
      <c r="CS135" s="111"/>
      <c r="CT135" s="111"/>
      <c r="CU135" s="111"/>
      <c r="CV135" s="111"/>
      <c r="CW135" s="111"/>
      <c r="CX135" s="111"/>
      <c r="CY135" s="111"/>
      <c r="CZ135" s="111"/>
      <c r="DA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91"/>
      <c r="Q136" s="91"/>
      <c r="R136" s="91"/>
      <c r="S136" s="91"/>
      <c r="T136" s="91"/>
      <c r="U136" s="91"/>
      <c r="V136" s="91"/>
      <c r="W136" s="9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  <c r="BW136" s="111"/>
      <c r="BX136" s="111"/>
      <c r="BY136" s="111"/>
      <c r="BZ136" s="111"/>
      <c r="CA136" s="111"/>
      <c r="CB136" s="111"/>
      <c r="CC136" s="111"/>
      <c r="CD136" s="111"/>
      <c r="CE136" s="111"/>
      <c r="CF136" s="111"/>
      <c r="CG136" s="111"/>
      <c r="CH136" s="111"/>
      <c r="CI136" s="111"/>
      <c r="CJ136" s="111"/>
      <c r="CK136" s="111"/>
      <c r="CL136" s="111"/>
      <c r="CM136" s="111"/>
      <c r="CN136" s="111"/>
      <c r="CO136" s="111"/>
      <c r="CP136" s="111"/>
      <c r="CQ136" s="111"/>
      <c r="CR136" s="111"/>
      <c r="CS136" s="111"/>
      <c r="CT136" s="111"/>
      <c r="CU136" s="111"/>
      <c r="CV136" s="111"/>
      <c r="CW136" s="111"/>
      <c r="CX136" s="111"/>
      <c r="CY136" s="111"/>
      <c r="CZ136" s="111"/>
      <c r="DA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91"/>
      <c r="Q137" s="91"/>
      <c r="R137" s="91"/>
      <c r="S137" s="91"/>
      <c r="T137" s="91"/>
      <c r="U137" s="91"/>
      <c r="V137" s="91"/>
      <c r="W137" s="9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  <c r="BQ137" s="111"/>
      <c r="BR137" s="111"/>
      <c r="BS137" s="111"/>
      <c r="BT137" s="111"/>
      <c r="BU137" s="111"/>
      <c r="BV137" s="111"/>
      <c r="BW137" s="111"/>
      <c r="BX137" s="111"/>
      <c r="BY137" s="111"/>
      <c r="BZ137" s="111"/>
      <c r="CA137" s="111"/>
      <c r="CB137" s="111"/>
      <c r="CC137" s="111"/>
      <c r="CD137" s="111"/>
      <c r="CE137" s="111"/>
      <c r="CF137" s="111"/>
      <c r="CG137" s="111"/>
      <c r="CH137" s="111"/>
      <c r="CI137" s="111"/>
      <c r="CJ137" s="111"/>
      <c r="CK137" s="111"/>
      <c r="CL137" s="111"/>
      <c r="CM137" s="111"/>
      <c r="CN137" s="111"/>
      <c r="CO137" s="111"/>
      <c r="CP137" s="111"/>
      <c r="CQ137" s="111"/>
      <c r="CR137" s="111"/>
      <c r="CS137" s="111"/>
      <c r="CT137" s="111"/>
      <c r="CU137" s="111"/>
      <c r="CV137" s="111"/>
      <c r="CW137" s="111"/>
      <c r="CX137" s="111"/>
      <c r="CY137" s="111"/>
      <c r="CZ137" s="111"/>
      <c r="DA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91"/>
      <c r="Q138" s="91"/>
      <c r="R138" s="91"/>
      <c r="S138" s="91"/>
      <c r="T138" s="91"/>
      <c r="U138" s="91"/>
      <c r="V138" s="91"/>
      <c r="W138" s="9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1"/>
      <c r="CA138" s="111"/>
      <c r="CB138" s="111"/>
      <c r="CC138" s="111"/>
      <c r="CD138" s="111"/>
      <c r="CE138" s="111"/>
      <c r="CF138" s="111"/>
      <c r="CG138" s="111"/>
      <c r="CH138" s="111"/>
      <c r="CI138" s="111"/>
      <c r="CJ138" s="111"/>
      <c r="CK138" s="111"/>
      <c r="CL138" s="111"/>
      <c r="CM138" s="111"/>
      <c r="CN138" s="111"/>
      <c r="CO138" s="111"/>
      <c r="CP138" s="111"/>
      <c r="CQ138" s="111"/>
      <c r="CR138" s="111"/>
      <c r="CS138" s="111"/>
      <c r="CT138" s="111"/>
      <c r="CU138" s="111"/>
      <c r="CV138" s="111"/>
      <c r="CW138" s="111"/>
      <c r="CX138" s="111"/>
      <c r="CY138" s="111"/>
      <c r="CZ138" s="111"/>
      <c r="DA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1"/>
      <c r="CA139" s="111"/>
      <c r="CB139" s="111"/>
      <c r="CC139" s="111"/>
      <c r="CD139" s="111"/>
      <c r="CE139" s="111"/>
      <c r="CF139" s="111"/>
      <c r="CG139" s="111"/>
      <c r="CH139" s="111"/>
      <c r="CI139" s="111"/>
      <c r="CJ139" s="111"/>
      <c r="CK139" s="111"/>
      <c r="CL139" s="111"/>
      <c r="CM139" s="111"/>
      <c r="CN139" s="111"/>
      <c r="CO139" s="111"/>
      <c r="CP139" s="111"/>
      <c r="CQ139" s="111"/>
      <c r="CR139" s="111"/>
      <c r="CS139" s="111"/>
      <c r="CT139" s="111"/>
      <c r="CU139" s="111"/>
      <c r="CV139" s="111"/>
      <c r="CW139" s="111"/>
      <c r="CX139" s="111"/>
      <c r="CY139" s="111"/>
      <c r="CZ139" s="111"/>
      <c r="DA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  <c r="BQ140" s="111"/>
      <c r="BR140" s="111"/>
      <c r="BS140" s="111"/>
      <c r="BT140" s="111"/>
      <c r="BU140" s="111"/>
      <c r="BV140" s="111"/>
      <c r="BW140" s="111"/>
      <c r="BX140" s="111"/>
      <c r="BY140" s="111"/>
      <c r="BZ140" s="111"/>
      <c r="CA140" s="111"/>
      <c r="CB140" s="111"/>
      <c r="CC140" s="111"/>
      <c r="CD140" s="111"/>
      <c r="CE140" s="111"/>
      <c r="CF140" s="111"/>
      <c r="CG140" s="111"/>
      <c r="CH140" s="111"/>
      <c r="CI140" s="111"/>
      <c r="CJ140" s="111"/>
      <c r="CK140" s="111"/>
      <c r="CL140" s="111"/>
      <c r="CM140" s="111"/>
      <c r="CN140" s="111"/>
      <c r="CO140" s="111"/>
      <c r="CP140" s="111"/>
      <c r="CQ140" s="111"/>
      <c r="CR140" s="111"/>
      <c r="CS140" s="111"/>
      <c r="CT140" s="111"/>
      <c r="CU140" s="111"/>
      <c r="CV140" s="111"/>
      <c r="CW140" s="111"/>
      <c r="CX140" s="111"/>
      <c r="CY140" s="111"/>
      <c r="CZ140" s="111"/>
      <c r="DA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1"/>
      <c r="CA141" s="111"/>
      <c r="CB141" s="111"/>
      <c r="CC141" s="111"/>
      <c r="CD141" s="111"/>
      <c r="CE141" s="111"/>
      <c r="CF141" s="111"/>
      <c r="CG141" s="111"/>
      <c r="CH141" s="111"/>
      <c r="CI141" s="111"/>
      <c r="CJ141" s="111"/>
      <c r="CK141" s="111"/>
      <c r="CL141" s="111"/>
      <c r="CM141" s="111"/>
      <c r="CN141" s="111"/>
      <c r="CO141" s="111"/>
      <c r="CP141" s="111"/>
      <c r="CQ141" s="111"/>
      <c r="CR141" s="111"/>
      <c r="CS141" s="111"/>
      <c r="CT141" s="111"/>
      <c r="CU141" s="111"/>
      <c r="CV141" s="111"/>
      <c r="CW141" s="111"/>
      <c r="CX141" s="111"/>
      <c r="CY141" s="111"/>
      <c r="CZ141" s="111"/>
      <c r="DA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11"/>
      <c r="CA142" s="111"/>
      <c r="CB142" s="111"/>
      <c r="CC142" s="111"/>
      <c r="CD142" s="111"/>
      <c r="CE142" s="111"/>
      <c r="CF142" s="111"/>
      <c r="CG142" s="111"/>
      <c r="CH142" s="111"/>
      <c r="CI142" s="111"/>
      <c r="CJ142" s="111"/>
      <c r="CK142" s="111"/>
      <c r="CL142" s="111"/>
      <c r="CM142" s="111"/>
      <c r="CN142" s="111"/>
      <c r="CO142" s="111"/>
      <c r="CP142" s="111"/>
      <c r="CQ142" s="111"/>
      <c r="CR142" s="111"/>
      <c r="CS142" s="111"/>
      <c r="CT142" s="111"/>
      <c r="CU142" s="111"/>
      <c r="CV142" s="111"/>
      <c r="CW142" s="111"/>
      <c r="CX142" s="111"/>
      <c r="CY142" s="111"/>
      <c r="CZ142" s="111"/>
      <c r="DA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  <c r="CC143" s="111"/>
      <c r="CD143" s="111"/>
      <c r="CE143" s="111"/>
      <c r="CF143" s="111"/>
      <c r="CG143" s="111"/>
      <c r="CH143" s="111"/>
      <c r="CI143" s="111"/>
      <c r="CJ143" s="111"/>
      <c r="CK143" s="111"/>
      <c r="CL143" s="111"/>
      <c r="CM143" s="111"/>
      <c r="CN143" s="111"/>
      <c r="CO143" s="111"/>
      <c r="CP143" s="111"/>
      <c r="CQ143" s="111"/>
      <c r="CR143" s="111"/>
      <c r="CS143" s="111"/>
      <c r="CT143" s="111"/>
      <c r="CU143" s="111"/>
      <c r="CV143" s="111"/>
      <c r="CW143" s="111"/>
      <c r="CX143" s="111"/>
      <c r="CY143" s="111"/>
      <c r="CZ143" s="111"/>
      <c r="DA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11"/>
      <c r="CA144" s="111"/>
      <c r="CB144" s="111"/>
      <c r="CC144" s="111"/>
      <c r="CD144" s="111"/>
      <c r="CE144" s="111"/>
      <c r="CF144" s="111"/>
      <c r="CG144" s="111"/>
      <c r="CH144" s="111"/>
      <c r="CI144" s="111"/>
      <c r="CJ144" s="111"/>
      <c r="CK144" s="111"/>
      <c r="CL144" s="111"/>
      <c r="CM144" s="111"/>
      <c r="CN144" s="111"/>
      <c r="CO144" s="111"/>
      <c r="CP144" s="111"/>
      <c r="CQ144" s="111"/>
      <c r="CR144" s="111"/>
      <c r="CS144" s="111"/>
      <c r="CT144" s="111"/>
      <c r="CU144" s="111"/>
      <c r="CV144" s="111"/>
      <c r="CW144" s="111"/>
      <c r="CX144" s="111"/>
      <c r="CY144" s="111"/>
      <c r="CZ144" s="111"/>
      <c r="DA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  <c r="BW145" s="111"/>
      <c r="BX145" s="111"/>
      <c r="BY145" s="111"/>
      <c r="BZ145" s="111"/>
      <c r="CA145" s="111"/>
      <c r="CB145" s="111"/>
      <c r="CC145" s="111"/>
      <c r="CD145" s="111"/>
      <c r="CE145" s="111"/>
      <c r="CF145" s="111"/>
      <c r="CG145" s="111"/>
      <c r="CH145" s="111"/>
      <c r="CI145" s="111"/>
      <c r="CJ145" s="111"/>
      <c r="CK145" s="111"/>
      <c r="CL145" s="111"/>
      <c r="CM145" s="111"/>
      <c r="CN145" s="111"/>
      <c r="CO145" s="111"/>
      <c r="CP145" s="111"/>
      <c r="CQ145" s="111"/>
      <c r="CR145" s="111"/>
      <c r="CS145" s="111"/>
      <c r="CT145" s="111"/>
      <c r="CU145" s="111"/>
      <c r="CV145" s="111"/>
      <c r="CW145" s="111"/>
      <c r="CX145" s="111"/>
      <c r="CY145" s="111"/>
      <c r="CZ145" s="111"/>
      <c r="DA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  <c r="BW146" s="111"/>
      <c r="BX146" s="111"/>
      <c r="BY146" s="111"/>
      <c r="BZ146" s="111"/>
      <c r="CA146" s="111"/>
      <c r="CB146" s="111"/>
      <c r="CC146" s="111"/>
      <c r="CD146" s="111"/>
      <c r="CE146" s="111"/>
      <c r="CF146" s="111"/>
      <c r="CG146" s="111"/>
      <c r="CH146" s="111"/>
      <c r="CI146" s="111"/>
      <c r="CJ146" s="111"/>
      <c r="CK146" s="111"/>
      <c r="CL146" s="111"/>
      <c r="CM146" s="111"/>
      <c r="CN146" s="111"/>
      <c r="CO146" s="111"/>
      <c r="CP146" s="111"/>
      <c r="CQ146" s="111"/>
      <c r="CR146" s="111"/>
      <c r="CS146" s="111"/>
      <c r="CT146" s="111"/>
      <c r="CU146" s="111"/>
      <c r="CV146" s="111"/>
      <c r="CW146" s="111"/>
      <c r="CX146" s="111"/>
      <c r="CY146" s="111"/>
      <c r="CZ146" s="111"/>
      <c r="DA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11"/>
      <c r="CD147" s="111"/>
      <c r="CE147" s="111"/>
      <c r="CF147" s="111"/>
      <c r="CG147" s="111"/>
      <c r="CH147" s="111"/>
      <c r="CI147" s="111"/>
      <c r="CJ147" s="111"/>
      <c r="CK147" s="111"/>
      <c r="CL147" s="111"/>
      <c r="CM147" s="111"/>
      <c r="CN147" s="111"/>
      <c r="CO147" s="111"/>
      <c r="CP147" s="111"/>
      <c r="CQ147" s="111"/>
      <c r="CR147" s="111"/>
      <c r="CS147" s="111"/>
      <c r="CT147" s="111"/>
      <c r="CU147" s="111"/>
      <c r="CV147" s="111"/>
      <c r="CW147" s="111"/>
      <c r="CX147" s="111"/>
      <c r="CY147" s="111"/>
      <c r="CZ147" s="111"/>
      <c r="DA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11"/>
      <c r="CD148" s="111"/>
      <c r="CE148" s="111"/>
      <c r="CF148" s="111"/>
      <c r="CG148" s="111"/>
      <c r="CH148" s="111"/>
      <c r="CI148" s="111"/>
      <c r="CJ148" s="111"/>
      <c r="CK148" s="111"/>
      <c r="CL148" s="111"/>
      <c r="CM148" s="111"/>
      <c r="CN148" s="111"/>
      <c r="CO148" s="111"/>
      <c r="CP148" s="111"/>
      <c r="CQ148" s="111"/>
      <c r="CR148" s="111"/>
      <c r="CS148" s="111"/>
      <c r="CT148" s="111"/>
      <c r="CU148" s="111"/>
      <c r="CV148" s="111"/>
      <c r="CW148" s="111"/>
      <c r="CX148" s="111"/>
      <c r="CY148" s="111"/>
      <c r="CZ148" s="111"/>
      <c r="DA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11"/>
      <c r="CD149" s="111"/>
      <c r="CE149" s="111"/>
      <c r="CF149" s="111"/>
      <c r="CG149" s="111"/>
      <c r="CH149" s="111"/>
      <c r="CI149" s="111"/>
      <c r="CJ149" s="111"/>
      <c r="CK149" s="111"/>
      <c r="CL149" s="111"/>
      <c r="CM149" s="111"/>
      <c r="CN149" s="111"/>
      <c r="CO149" s="111"/>
      <c r="CP149" s="111"/>
      <c r="CQ149" s="111"/>
      <c r="CR149" s="111"/>
      <c r="CS149" s="111"/>
      <c r="CT149" s="111"/>
      <c r="CU149" s="111"/>
      <c r="CV149" s="111"/>
      <c r="CW149" s="111"/>
      <c r="CX149" s="111"/>
      <c r="CY149" s="111"/>
      <c r="CZ149" s="111"/>
      <c r="DA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11"/>
      <c r="CD150" s="111"/>
      <c r="CE150" s="111"/>
      <c r="CF150" s="111"/>
      <c r="CG150" s="111"/>
      <c r="CH150" s="111"/>
      <c r="CI150" s="111"/>
      <c r="CJ150" s="111"/>
      <c r="CK150" s="111"/>
      <c r="CL150" s="111"/>
      <c r="CM150" s="111"/>
      <c r="CN150" s="111"/>
      <c r="CO150" s="111"/>
      <c r="CP150" s="111"/>
      <c r="CQ150" s="111"/>
      <c r="CR150" s="111"/>
      <c r="CS150" s="111"/>
      <c r="CT150" s="111"/>
      <c r="CU150" s="111"/>
      <c r="CV150" s="111"/>
      <c r="CW150" s="111"/>
      <c r="CX150" s="111"/>
      <c r="CY150" s="111"/>
      <c r="CZ150" s="111"/>
      <c r="DA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  <c r="BW151" s="111"/>
      <c r="BX151" s="111"/>
      <c r="BY151" s="111"/>
      <c r="BZ151" s="111"/>
      <c r="CA151" s="111"/>
      <c r="CB151" s="111"/>
      <c r="CC151" s="111"/>
      <c r="CD151" s="111"/>
      <c r="CE151" s="111"/>
      <c r="CF151" s="111"/>
      <c r="CG151" s="111"/>
      <c r="CH151" s="111"/>
      <c r="CI151" s="111"/>
      <c r="CJ151" s="111"/>
      <c r="CK151" s="111"/>
      <c r="CL151" s="111"/>
      <c r="CM151" s="111"/>
      <c r="CN151" s="111"/>
      <c r="CO151" s="111"/>
      <c r="CP151" s="111"/>
      <c r="CQ151" s="111"/>
      <c r="CR151" s="111"/>
      <c r="CS151" s="111"/>
      <c r="CT151" s="111"/>
      <c r="CU151" s="111"/>
      <c r="CV151" s="111"/>
      <c r="CW151" s="111"/>
      <c r="CX151" s="111"/>
      <c r="CY151" s="111"/>
      <c r="CZ151" s="111"/>
      <c r="DA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  <c r="BW152" s="111"/>
      <c r="BX152" s="111"/>
      <c r="BY152" s="111"/>
      <c r="BZ152" s="111"/>
      <c r="CA152" s="111"/>
      <c r="CB152" s="111"/>
      <c r="CC152" s="111"/>
      <c r="CD152" s="111"/>
      <c r="CE152" s="111"/>
      <c r="CF152" s="111"/>
      <c r="CG152" s="111"/>
      <c r="CH152" s="111"/>
      <c r="CI152" s="111"/>
      <c r="CJ152" s="111"/>
      <c r="CK152" s="111"/>
      <c r="CL152" s="111"/>
      <c r="CM152" s="111"/>
      <c r="CN152" s="111"/>
      <c r="CO152" s="111"/>
      <c r="CP152" s="111"/>
      <c r="CQ152" s="111"/>
      <c r="CR152" s="111"/>
      <c r="CS152" s="111"/>
      <c r="CT152" s="111"/>
      <c r="CU152" s="111"/>
      <c r="CV152" s="111"/>
      <c r="CW152" s="111"/>
      <c r="CX152" s="111"/>
      <c r="CY152" s="111"/>
      <c r="CZ152" s="111"/>
      <c r="DA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  <c r="BW153" s="111"/>
      <c r="BX153" s="111"/>
      <c r="BY153" s="111"/>
      <c r="BZ153" s="111"/>
      <c r="CA153" s="111"/>
      <c r="CB153" s="111"/>
      <c r="CC153" s="111"/>
      <c r="CD153" s="111"/>
      <c r="CE153" s="111"/>
      <c r="CF153" s="111"/>
      <c r="CG153" s="111"/>
      <c r="CH153" s="111"/>
      <c r="CI153" s="111"/>
      <c r="CJ153" s="111"/>
      <c r="CK153" s="111"/>
      <c r="CL153" s="111"/>
      <c r="CM153" s="111"/>
      <c r="CN153" s="111"/>
      <c r="CO153" s="111"/>
      <c r="CP153" s="111"/>
      <c r="CQ153" s="111"/>
      <c r="CR153" s="111"/>
      <c r="CS153" s="111"/>
      <c r="CT153" s="111"/>
      <c r="CU153" s="111"/>
      <c r="CV153" s="111"/>
      <c r="CW153" s="111"/>
      <c r="CX153" s="111"/>
      <c r="CY153" s="111"/>
      <c r="CZ153" s="111"/>
      <c r="DA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  <c r="BW154" s="111"/>
      <c r="BX154" s="111"/>
      <c r="BY154" s="111"/>
      <c r="BZ154" s="111"/>
      <c r="CA154" s="111"/>
      <c r="CB154" s="111"/>
      <c r="CC154" s="111"/>
      <c r="CD154" s="111"/>
      <c r="CE154" s="111"/>
      <c r="CF154" s="111"/>
      <c r="CG154" s="111"/>
      <c r="CH154" s="111"/>
      <c r="CI154" s="111"/>
      <c r="CJ154" s="111"/>
      <c r="CK154" s="111"/>
      <c r="CL154" s="111"/>
      <c r="CM154" s="111"/>
      <c r="CN154" s="111"/>
      <c r="CO154" s="111"/>
      <c r="CP154" s="111"/>
      <c r="CQ154" s="111"/>
      <c r="CR154" s="111"/>
      <c r="CS154" s="111"/>
      <c r="CT154" s="111"/>
      <c r="CU154" s="111"/>
      <c r="CV154" s="111"/>
      <c r="CW154" s="111"/>
      <c r="CX154" s="111"/>
      <c r="CY154" s="111"/>
      <c r="CZ154" s="111"/>
      <c r="DA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11"/>
      <c r="CA155" s="111"/>
      <c r="CB155" s="111"/>
      <c r="CC155" s="111"/>
      <c r="CD155" s="111"/>
      <c r="CE155" s="111"/>
      <c r="CF155" s="111"/>
      <c r="CG155" s="111"/>
      <c r="CH155" s="111"/>
      <c r="CI155" s="111"/>
      <c r="CJ155" s="111"/>
      <c r="CK155" s="111"/>
      <c r="CL155" s="111"/>
      <c r="CM155" s="111"/>
      <c r="CN155" s="111"/>
      <c r="CO155" s="111"/>
      <c r="CP155" s="111"/>
      <c r="CQ155" s="111"/>
      <c r="CR155" s="111"/>
      <c r="CS155" s="111"/>
      <c r="CT155" s="111"/>
      <c r="CU155" s="111"/>
      <c r="CV155" s="111"/>
      <c r="CW155" s="111"/>
      <c r="CX155" s="111"/>
      <c r="CY155" s="111"/>
      <c r="CZ155" s="111"/>
      <c r="DA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  <c r="BW156" s="111"/>
      <c r="BX156" s="111"/>
      <c r="BY156" s="111"/>
      <c r="BZ156" s="111"/>
      <c r="CA156" s="111"/>
      <c r="CB156" s="111"/>
      <c r="CC156" s="111"/>
      <c r="CD156" s="111"/>
      <c r="CE156" s="111"/>
      <c r="CF156" s="111"/>
      <c r="CG156" s="111"/>
      <c r="CH156" s="111"/>
      <c r="CI156" s="111"/>
      <c r="CJ156" s="111"/>
      <c r="CK156" s="111"/>
      <c r="CL156" s="111"/>
      <c r="CM156" s="111"/>
      <c r="CN156" s="111"/>
      <c r="CO156" s="111"/>
      <c r="CP156" s="111"/>
      <c r="CQ156" s="111"/>
      <c r="CR156" s="111"/>
      <c r="CS156" s="111"/>
      <c r="CT156" s="111"/>
      <c r="CU156" s="111"/>
      <c r="CV156" s="111"/>
      <c r="CW156" s="111"/>
      <c r="CX156" s="111"/>
      <c r="CY156" s="111"/>
      <c r="CZ156" s="111"/>
      <c r="DA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  <c r="BW157" s="111"/>
      <c r="BX157" s="111"/>
      <c r="BY157" s="111"/>
      <c r="BZ157" s="111"/>
      <c r="CA157" s="111"/>
      <c r="CB157" s="111"/>
      <c r="CC157" s="111"/>
      <c r="CD157" s="111"/>
      <c r="CE157" s="111"/>
      <c r="CF157" s="111"/>
      <c r="CG157" s="111"/>
      <c r="CH157" s="111"/>
      <c r="CI157" s="111"/>
      <c r="CJ157" s="111"/>
      <c r="CK157" s="111"/>
      <c r="CL157" s="111"/>
      <c r="CM157" s="111"/>
      <c r="CN157" s="111"/>
      <c r="CO157" s="111"/>
      <c r="CP157" s="111"/>
      <c r="CQ157" s="111"/>
      <c r="CR157" s="111"/>
      <c r="CS157" s="111"/>
      <c r="CT157" s="111"/>
      <c r="CU157" s="111"/>
      <c r="CV157" s="111"/>
      <c r="CW157" s="111"/>
      <c r="CX157" s="111"/>
      <c r="CY157" s="111"/>
      <c r="CZ157" s="111"/>
      <c r="DA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  <c r="BO158" s="111"/>
      <c r="BP158" s="111"/>
      <c r="BQ158" s="111"/>
      <c r="BR158" s="111"/>
      <c r="BS158" s="111"/>
      <c r="BT158" s="111"/>
      <c r="BU158" s="111"/>
      <c r="BV158" s="111"/>
      <c r="BW158" s="111"/>
      <c r="BX158" s="111"/>
      <c r="BY158" s="111"/>
      <c r="BZ158" s="111"/>
      <c r="CA158" s="111"/>
      <c r="CB158" s="111"/>
      <c r="CC158" s="111"/>
      <c r="CD158" s="111"/>
      <c r="CE158" s="111"/>
      <c r="CF158" s="111"/>
      <c r="CG158" s="111"/>
      <c r="CH158" s="111"/>
      <c r="CI158" s="111"/>
      <c r="CJ158" s="111"/>
      <c r="CK158" s="111"/>
      <c r="CL158" s="111"/>
      <c r="CM158" s="111"/>
      <c r="CN158" s="111"/>
      <c r="CO158" s="111"/>
      <c r="CP158" s="111"/>
      <c r="CQ158" s="111"/>
      <c r="CR158" s="111"/>
      <c r="CS158" s="111"/>
      <c r="CT158" s="111"/>
      <c r="CU158" s="111"/>
      <c r="CV158" s="111"/>
      <c r="CW158" s="111"/>
      <c r="CX158" s="111"/>
      <c r="CY158" s="111"/>
      <c r="CZ158" s="111"/>
      <c r="DA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  <c r="BO159" s="111"/>
      <c r="BP159" s="111"/>
      <c r="BQ159" s="111"/>
      <c r="BR159" s="111"/>
      <c r="BS159" s="111"/>
      <c r="BT159" s="111"/>
      <c r="BU159" s="111"/>
      <c r="BV159" s="111"/>
      <c r="BW159" s="111"/>
      <c r="BX159" s="111"/>
      <c r="BY159" s="111"/>
      <c r="BZ159" s="111"/>
      <c r="CA159" s="111"/>
      <c r="CB159" s="111"/>
      <c r="CC159" s="111"/>
      <c r="CD159" s="111"/>
      <c r="CE159" s="111"/>
      <c r="CF159" s="111"/>
      <c r="CG159" s="111"/>
      <c r="CH159" s="111"/>
      <c r="CI159" s="111"/>
      <c r="CJ159" s="111"/>
      <c r="CK159" s="111"/>
      <c r="CL159" s="111"/>
      <c r="CM159" s="111"/>
      <c r="CN159" s="111"/>
      <c r="CO159" s="111"/>
      <c r="CP159" s="111"/>
      <c r="CQ159" s="111"/>
      <c r="CR159" s="111"/>
      <c r="CS159" s="111"/>
      <c r="CT159" s="111"/>
      <c r="CU159" s="111"/>
      <c r="CV159" s="111"/>
      <c r="CW159" s="111"/>
      <c r="CX159" s="111"/>
      <c r="CY159" s="111"/>
      <c r="CZ159" s="111"/>
      <c r="DA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  <c r="BW160" s="111"/>
      <c r="BX160" s="111"/>
      <c r="BY160" s="111"/>
      <c r="BZ160" s="111"/>
      <c r="CA160" s="111"/>
      <c r="CB160" s="111"/>
      <c r="CC160" s="111"/>
      <c r="CD160" s="111"/>
      <c r="CE160" s="111"/>
      <c r="CF160" s="111"/>
      <c r="CG160" s="111"/>
      <c r="CH160" s="111"/>
      <c r="CI160" s="111"/>
      <c r="CJ160" s="111"/>
      <c r="CK160" s="111"/>
      <c r="CL160" s="111"/>
      <c r="CM160" s="111"/>
      <c r="CN160" s="111"/>
      <c r="CO160" s="111"/>
      <c r="CP160" s="111"/>
      <c r="CQ160" s="111"/>
      <c r="CR160" s="111"/>
      <c r="CS160" s="111"/>
      <c r="CT160" s="111"/>
      <c r="CU160" s="111"/>
      <c r="CV160" s="111"/>
      <c r="CW160" s="111"/>
      <c r="CX160" s="111"/>
      <c r="CY160" s="111"/>
      <c r="CZ160" s="111"/>
      <c r="DA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  <c r="BO161" s="111"/>
      <c r="BP161" s="111"/>
      <c r="BQ161" s="111"/>
      <c r="BR161" s="111"/>
      <c r="BS161" s="111"/>
      <c r="BT161" s="111"/>
      <c r="BU161" s="111"/>
      <c r="BV161" s="111"/>
      <c r="BW161" s="111"/>
      <c r="BX161" s="111"/>
      <c r="BY161" s="111"/>
      <c r="BZ161" s="111"/>
      <c r="CA161" s="111"/>
      <c r="CB161" s="111"/>
      <c r="CC161" s="111"/>
      <c r="CD161" s="111"/>
      <c r="CE161" s="111"/>
      <c r="CF161" s="111"/>
      <c r="CG161" s="111"/>
      <c r="CH161" s="111"/>
      <c r="CI161" s="111"/>
      <c r="CJ161" s="111"/>
      <c r="CK161" s="111"/>
      <c r="CL161" s="111"/>
      <c r="CM161" s="111"/>
      <c r="CN161" s="111"/>
      <c r="CO161" s="111"/>
      <c r="CP161" s="111"/>
      <c r="CQ161" s="111"/>
      <c r="CR161" s="111"/>
      <c r="CS161" s="111"/>
      <c r="CT161" s="111"/>
      <c r="CU161" s="111"/>
      <c r="CV161" s="111"/>
      <c r="CW161" s="111"/>
      <c r="CX161" s="111"/>
      <c r="CY161" s="111"/>
      <c r="CZ161" s="111"/>
      <c r="DA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  <c r="BQ162" s="111"/>
      <c r="BR162" s="111"/>
      <c r="BS162" s="111"/>
      <c r="BT162" s="111"/>
      <c r="BU162" s="111"/>
      <c r="BV162" s="111"/>
      <c r="BW162" s="111"/>
      <c r="BX162" s="111"/>
      <c r="BY162" s="111"/>
      <c r="BZ162" s="111"/>
      <c r="CA162" s="111"/>
      <c r="CB162" s="111"/>
      <c r="CC162" s="111"/>
      <c r="CD162" s="111"/>
      <c r="CE162" s="111"/>
      <c r="CF162" s="111"/>
      <c r="CG162" s="111"/>
      <c r="CH162" s="111"/>
      <c r="CI162" s="111"/>
      <c r="CJ162" s="111"/>
      <c r="CK162" s="111"/>
      <c r="CL162" s="111"/>
      <c r="CM162" s="111"/>
      <c r="CN162" s="111"/>
      <c r="CO162" s="111"/>
      <c r="CP162" s="111"/>
      <c r="CQ162" s="111"/>
      <c r="CR162" s="111"/>
      <c r="CS162" s="111"/>
      <c r="CT162" s="111"/>
      <c r="CU162" s="111"/>
      <c r="CV162" s="111"/>
      <c r="CW162" s="111"/>
      <c r="CX162" s="111"/>
      <c r="CY162" s="111"/>
      <c r="CZ162" s="111"/>
      <c r="DA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  <c r="BW163" s="111"/>
      <c r="BX163" s="111"/>
      <c r="BY163" s="111"/>
      <c r="BZ163" s="111"/>
      <c r="CA163" s="111"/>
      <c r="CB163" s="111"/>
      <c r="CC163" s="111"/>
      <c r="CD163" s="111"/>
      <c r="CE163" s="111"/>
      <c r="CF163" s="111"/>
      <c r="CG163" s="111"/>
      <c r="CH163" s="111"/>
      <c r="CI163" s="111"/>
      <c r="CJ163" s="111"/>
      <c r="CK163" s="111"/>
      <c r="CL163" s="111"/>
      <c r="CM163" s="111"/>
      <c r="CN163" s="111"/>
      <c r="CO163" s="111"/>
      <c r="CP163" s="111"/>
      <c r="CQ163" s="111"/>
      <c r="CR163" s="111"/>
      <c r="CS163" s="111"/>
      <c r="CT163" s="111"/>
      <c r="CU163" s="111"/>
      <c r="CV163" s="111"/>
      <c r="CW163" s="111"/>
      <c r="CX163" s="111"/>
      <c r="CY163" s="111"/>
      <c r="CZ163" s="111"/>
      <c r="DA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  <c r="BW164" s="111"/>
      <c r="BX164" s="111"/>
      <c r="BY164" s="111"/>
      <c r="BZ164" s="111"/>
      <c r="CA164" s="111"/>
      <c r="CB164" s="111"/>
      <c r="CC164" s="111"/>
      <c r="CD164" s="111"/>
      <c r="CE164" s="111"/>
      <c r="CF164" s="111"/>
      <c r="CG164" s="111"/>
      <c r="CH164" s="111"/>
      <c r="CI164" s="111"/>
      <c r="CJ164" s="111"/>
      <c r="CK164" s="111"/>
      <c r="CL164" s="111"/>
      <c r="CM164" s="111"/>
      <c r="CN164" s="111"/>
      <c r="CO164" s="111"/>
      <c r="CP164" s="111"/>
      <c r="CQ164" s="111"/>
      <c r="CR164" s="111"/>
      <c r="CS164" s="111"/>
      <c r="CT164" s="111"/>
      <c r="CU164" s="111"/>
      <c r="CV164" s="111"/>
      <c r="CW164" s="111"/>
      <c r="CX164" s="111"/>
      <c r="CY164" s="111"/>
      <c r="CZ164" s="111"/>
      <c r="DA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  <c r="BW165" s="111"/>
      <c r="BX165" s="111"/>
      <c r="BY165" s="111"/>
      <c r="BZ165" s="111"/>
      <c r="CA165" s="111"/>
      <c r="CB165" s="111"/>
      <c r="CC165" s="111"/>
      <c r="CD165" s="111"/>
      <c r="CE165" s="111"/>
      <c r="CF165" s="111"/>
      <c r="CG165" s="111"/>
      <c r="CH165" s="111"/>
      <c r="CI165" s="111"/>
      <c r="CJ165" s="111"/>
      <c r="CK165" s="111"/>
      <c r="CL165" s="111"/>
      <c r="CM165" s="111"/>
      <c r="CN165" s="111"/>
      <c r="CO165" s="111"/>
      <c r="CP165" s="111"/>
      <c r="CQ165" s="111"/>
      <c r="CR165" s="111"/>
      <c r="CS165" s="111"/>
      <c r="CT165" s="111"/>
      <c r="CU165" s="111"/>
      <c r="CV165" s="111"/>
      <c r="CW165" s="111"/>
      <c r="CX165" s="111"/>
      <c r="CY165" s="111"/>
      <c r="CZ165" s="111"/>
      <c r="DA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  <c r="BQ166" s="111"/>
      <c r="BR166" s="111"/>
      <c r="BS166" s="111"/>
      <c r="BT166" s="111"/>
      <c r="BU166" s="111"/>
      <c r="BV166" s="111"/>
      <c r="BW166" s="111"/>
      <c r="BX166" s="111"/>
      <c r="BY166" s="111"/>
      <c r="BZ166" s="111"/>
      <c r="CA166" s="111"/>
      <c r="CB166" s="111"/>
      <c r="CC166" s="111"/>
      <c r="CD166" s="111"/>
      <c r="CE166" s="111"/>
      <c r="CF166" s="111"/>
      <c r="CG166" s="111"/>
      <c r="CH166" s="111"/>
      <c r="CI166" s="111"/>
      <c r="CJ166" s="111"/>
      <c r="CK166" s="111"/>
      <c r="CL166" s="111"/>
      <c r="CM166" s="111"/>
      <c r="CN166" s="111"/>
      <c r="CO166" s="111"/>
      <c r="CP166" s="111"/>
      <c r="CQ166" s="111"/>
      <c r="CR166" s="111"/>
      <c r="CS166" s="111"/>
      <c r="CT166" s="111"/>
      <c r="CU166" s="111"/>
      <c r="CV166" s="111"/>
      <c r="CW166" s="111"/>
      <c r="CX166" s="111"/>
      <c r="CY166" s="111"/>
      <c r="CZ166" s="111"/>
      <c r="DA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1"/>
      <c r="BQ167" s="111"/>
      <c r="BR167" s="111"/>
      <c r="BS167" s="111"/>
      <c r="BT167" s="111"/>
      <c r="BU167" s="111"/>
      <c r="BV167" s="111"/>
      <c r="BW167" s="111"/>
      <c r="BX167" s="111"/>
      <c r="BY167" s="111"/>
      <c r="BZ167" s="111"/>
      <c r="CA167" s="111"/>
      <c r="CB167" s="111"/>
      <c r="CC167" s="111"/>
      <c r="CD167" s="111"/>
      <c r="CE167" s="111"/>
      <c r="CF167" s="111"/>
      <c r="CG167" s="111"/>
      <c r="CH167" s="111"/>
      <c r="CI167" s="111"/>
      <c r="CJ167" s="111"/>
      <c r="CK167" s="111"/>
      <c r="CL167" s="111"/>
      <c r="CM167" s="111"/>
      <c r="CN167" s="111"/>
      <c r="CO167" s="111"/>
      <c r="CP167" s="111"/>
      <c r="CQ167" s="111"/>
      <c r="CR167" s="111"/>
      <c r="CS167" s="111"/>
      <c r="CT167" s="111"/>
      <c r="CU167" s="111"/>
      <c r="CV167" s="111"/>
      <c r="CW167" s="111"/>
      <c r="CX167" s="111"/>
      <c r="CY167" s="111"/>
      <c r="CZ167" s="111"/>
      <c r="DA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  <c r="BQ168" s="111"/>
      <c r="BR168" s="111"/>
      <c r="BS168" s="111"/>
      <c r="BT168" s="111"/>
      <c r="BU168" s="111"/>
      <c r="BV168" s="111"/>
      <c r="BW168" s="111"/>
      <c r="BX168" s="111"/>
      <c r="BY168" s="111"/>
      <c r="BZ168" s="111"/>
      <c r="CA168" s="111"/>
      <c r="CB168" s="111"/>
      <c r="CC168" s="111"/>
      <c r="CD168" s="111"/>
      <c r="CE168" s="111"/>
      <c r="CF168" s="111"/>
      <c r="CG168" s="111"/>
      <c r="CH168" s="111"/>
      <c r="CI168" s="111"/>
      <c r="CJ168" s="111"/>
      <c r="CK168" s="111"/>
      <c r="CL168" s="111"/>
      <c r="CM168" s="111"/>
      <c r="CN168" s="111"/>
      <c r="CO168" s="111"/>
      <c r="CP168" s="111"/>
      <c r="CQ168" s="111"/>
      <c r="CR168" s="111"/>
      <c r="CS168" s="111"/>
      <c r="CT168" s="111"/>
      <c r="CU168" s="111"/>
      <c r="CV168" s="111"/>
      <c r="CW168" s="111"/>
      <c r="CX168" s="111"/>
      <c r="CY168" s="111"/>
      <c r="CZ168" s="111"/>
      <c r="DA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1"/>
      <c r="BQ169" s="111"/>
      <c r="BR169" s="111"/>
      <c r="BS169" s="111"/>
      <c r="BT169" s="111"/>
      <c r="BU169" s="111"/>
      <c r="BV169" s="111"/>
      <c r="BW169" s="111"/>
      <c r="BX169" s="111"/>
      <c r="BY169" s="111"/>
      <c r="BZ169" s="111"/>
      <c r="CA169" s="111"/>
      <c r="CB169" s="111"/>
      <c r="CC169" s="111"/>
      <c r="CD169" s="111"/>
      <c r="CE169" s="111"/>
      <c r="CF169" s="111"/>
      <c r="CG169" s="111"/>
      <c r="CH169" s="111"/>
      <c r="CI169" s="111"/>
      <c r="CJ169" s="111"/>
      <c r="CK169" s="111"/>
      <c r="CL169" s="111"/>
      <c r="CM169" s="111"/>
      <c r="CN169" s="111"/>
      <c r="CO169" s="111"/>
      <c r="CP169" s="111"/>
      <c r="CQ169" s="111"/>
      <c r="CR169" s="111"/>
      <c r="CS169" s="111"/>
      <c r="CT169" s="111"/>
      <c r="CU169" s="111"/>
      <c r="CV169" s="111"/>
      <c r="CW169" s="111"/>
      <c r="CX169" s="111"/>
      <c r="CY169" s="111"/>
      <c r="CZ169" s="111"/>
      <c r="DA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  <c r="BQ170" s="111"/>
      <c r="BR170" s="111"/>
      <c r="BS170" s="111"/>
      <c r="BT170" s="111"/>
      <c r="BU170" s="111"/>
      <c r="BV170" s="111"/>
      <c r="BW170" s="111"/>
      <c r="BX170" s="111"/>
      <c r="BY170" s="111"/>
      <c r="BZ170" s="111"/>
      <c r="CA170" s="111"/>
      <c r="CB170" s="111"/>
      <c r="CC170" s="111"/>
      <c r="CD170" s="111"/>
      <c r="CE170" s="111"/>
      <c r="CF170" s="111"/>
      <c r="CG170" s="111"/>
      <c r="CH170" s="111"/>
      <c r="CI170" s="111"/>
      <c r="CJ170" s="111"/>
      <c r="CK170" s="111"/>
      <c r="CL170" s="111"/>
      <c r="CM170" s="111"/>
      <c r="CN170" s="111"/>
      <c r="CO170" s="111"/>
      <c r="CP170" s="111"/>
      <c r="CQ170" s="111"/>
      <c r="CR170" s="111"/>
      <c r="CS170" s="111"/>
      <c r="CT170" s="111"/>
      <c r="CU170" s="111"/>
      <c r="CV170" s="111"/>
      <c r="CW170" s="111"/>
      <c r="CX170" s="111"/>
      <c r="CY170" s="111"/>
      <c r="CZ170" s="111"/>
      <c r="DA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  <c r="BQ171" s="111"/>
      <c r="BR171" s="111"/>
      <c r="BS171" s="111"/>
      <c r="BT171" s="111"/>
      <c r="BU171" s="111"/>
      <c r="BV171" s="111"/>
      <c r="BW171" s="111"/>
      <c r="BX171" s="111"/>
      <c r="BY171" s="111"/>
      <c r="BZ171" s="111"/>
      <c r="CA171" s="111"/>
      <c r="CB171" s="111"/>
      <c r="CC171" s="111"/>
      <c r="CD171" s="111"/>
      <c r="CE171" s="111"/>
      <c r="CF171" s="111"/>
      <c r="CG171" s="111"/>
      <c r="CH171" s="111"/>
      <c r="CI171" s="111"/>
      <c r="CJ171" s="111"/>
      <c r="CK171" s="111"/>
      <c r="CL171" s="111"/>
      <c r="CM171" s="111"/>
      <c r="CN171" s="111"/>
      <c r="CO171" s="111"/>
      <c r="CP171" s="111"/>
      <c r="CQ171" s="111"/>
      <c r="CR171" s="111"/>
      <c r="CS171" s="111"/>
      <c r="CT171" s="111"/>
      <c r="CU171" s="111"/>
      <c r="CV171" s="111"/>
      <c r="CW171" s="111"/>
      <c r="CX171" s="111"/>
      <c r="CY171" s="111"/>
      <c r="CZ171" s="111"/>
      <c r="DA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  <c r="BW172" s="111"/>
      <c r="BX172" s="111"/>
      <c r="BY172" s="111"/>
      <c r="BZ172" s="111"/>
      <c r="CA172" s="111"/>
      <c r="CB172" s="111"/>
      <c r="CC172" s="111"/>
      <c r="CD172" s="111"/>
      <c r="CE172" s="111"/>
      <c r="CF172" s="111"/>
      <c r="CG172" s="111"/>
      <c r="CH172" s="111"/>
      <c r="CI172" s="111"/>
      <c r="CJ172" s="111"/>
      <c r="CK172" s="111"/>
      <c r="CL172" s="111"/>
      <c r="CM172" s="111"/>
      <c r="CN172" s="111"/>
      <c r="CO172" s="111"/>
      <c r="CP172" s="111"/>
      <c r="CQ172" s="111"/>
      <c r="CR172" s="111"/>
      <c r="CS172" s="111"/>
      <c r="CT172" s="111"/>
      <c r="CU172" s="111"/>
      <c r="CV172" s="111"/>
      <c r="CW172" s="111"/>
      <c r="CX172" s="111"/>
      <c r="CY172" s="111"/>
      <c r="CZ172" s="111"/>
      <c r="DA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  <c r="BW173" s="111"/>
      <c r="BX173" s="111"/>
      <c r="BY173" s="111"/>
      <c r="BZ173" s="111"/>
      <c r="CA173" s="111"/>
      <c r="CB173" s="111"/>
      <c r="CC173" s="111"/>
      <c r="CD173" s="111"/>
      <c r="CE173" s="111"/>
      <c r="CF173" s="111"/>
      <c r="CG173" s="111"/>
      <c r="CH173" s="111"/>
      <c r="CI173" s="111"/>
      <c r="CJ173" s="111"/>
      <c r="CK173" s="111"/>
      <c r="CL173" s="111"/>
      <c r="CM173" s="111"/>
      <c r="CN173" s="111"/>
      <c r="CO173" s="111"/>
      <c r="CP173" s="111"/>
      <c r="CQ173" s="111"/>
      <c r="CR173" s="111"/>
      <c r="CS173" s="111"/>
      <c r="CT173" s="111"/>
      <c r="CU173" s="111"/>
      <c r="CV173" s="111"/>
      <c r="CW173" s="111"/>
      <c r="CX173" s="111"/>
      <c r="CY173" s="111"/>
      <c r="CZ173" s="111"/>
      <c r="DA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  <c r="BW174" s="111"/>
      <c r="BX174" s="111"/>
      <c r="BY174" s="111"/>
      <c r="BZ174" s="111"/>
      <c r="CA174" s="111"/>
      <c r="CB174" s="111"/>
      <c r="CC174" s="111"/>
      <c r="CD174" s="111"/>
      <c r="CE174" s="111"/>
      <c r="CF174" s="111"/>
      <c r="CG174" s="111"/>
      <c r="CH174" s="111"/>
      <c r="CI174" s="111"/>
      <c r="CJ174" s="111"/>
      <c r="CK174" s="111"/>
      <c r="CL174" s="111"/>
      <c r="CM174" s="111"/>
      <c r="CN174" s="111"/>
      <c r="CO174" s="111"/>
      <c r="CP174" s="111"/>
      <c r="CQ174" s="111"/>
      <c r="CR174" s="111"/>
      <c r="CS174" s="111"/>
      <c r="CT174" s="111"/>
      <c r="CU174" s="111"/>
      <c r="CV174" s="111"/>
      <c r="CW174" s="111"/>
      <c r="CX174" s="111"/>
      <c r="CY174" s="111"/>
      <c r="CZ174" s="111"/>
      <c r="DA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  <c r="BW175" s="111"/>
      <c r="BX175" s="111"/>
      <c r="BY175" s="111"/>
      <c r="BZ175" s="111"/>
      <c r="CA175" s="111"/>
      <c r="CB175" s="111"/>
      <c r="CC175" s="111"/>
      <c r="CD175" s="111"/>
      <c r="CE175" s="111"/>
      <c r="CF175" s="111"/>
      <c r="CG175" s="111"/>
      <c r="CH175" s="111"/>
      <c r="CI175" s="111"/>
      <c r="CJ175" s="111"/>
      <c r="CK175" s="111"/>
      <c r="CL175" s="111"/>
      <c r="CM175" s="111"/>
      <c r="CN175" s="111"/>
      <c r="CO175" s="111"/>
      <c r="CP175" s="111"/>
      <c r="CQ175" s="111"/>
      <c r="CR175" s="111"/>
      <c r="CS175" s="111"/>
      <c r="CT175" s="111"/>
      <c r="CU175" s="111"/>
      <c r="CV175" s="111"/>
      <c r="CW175" s="111"/>
      <c r="CX175" s="111"/>
      <c r="CY175" s="111"/>
      <c r="CZ175" s="111"/>
      <c r="DA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1"/>
      <c r="CA176" s="111"/>
      <c r="CB176" s="111"/>
      <c r="CC176" s="111"/>
      <c r="CD176" s="111"/>
      <c r="CE176" s="111"/>
      <c r="CF176" s="111"/>
      <c r="CG176" s="111"/>
      <c r="CH176" s="111"/>
      <c r="CI176" s="111"/>
      <c r="CJ176" s="111"/>
      <c r="CK176" s="111"/>
      <c r="CL176" s="111"/>
      <c r="CM176" s="111"/>
      <c r="CN176" s="111"/>
      <c r="CO176" s="111"/>
      <c r="CP176" s="111"/>
      <c r="CQ176" s="111"/>
      <c r="CR176" s="111"/>
      <c r="CS176" s="111"/>
      <c r="CT176" s="111"/>
      <c r="CU176" s="111"/>
      <c r="CV176" s="111"/>
      <c r="CW176" s="111"/>
      <c r="CX176" s="111"/>
      <c r="CY176" s="111"/>
      <c r="CZ176" s="111"/>
      <c r="DA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1"/>
      <c r="CA177" s="111"/>
      <c r="CB177" s="111"/>
      <c r="CC177" s="111"/>
      <c r="CD177" s="111"/>
      <c r="CE177" s="111"/>
      <c r="CF177" s="111"/>
      <c r="CG177" s="111"/>
      <c r="CH177" s="111"/>
      <c r="CI177" s="111"/>
      <c r="CJ177" s="111"/>
      <c r="CK177" s="111"/>
      <c r="CL177" s="111"/>
      <c r="CM177" s="111"/>
      <c r="CN177" s="111"/>
      <c r="CO177" s="111"/>
      <c r="CP177" s="111"/>
      <c r="CQ177" s="111"/>
      <c r="CR177" s="111"/>
      <c r="CS177" s="111"/>
      <c r="CT177" s="111"/>
      <c r="CU177" s="111"/>
      <c r="CV177" s="111"/>
      <c r="CW177" s="111"/>
      <c r="CX177" s="111"/>
      <c r="CY177" s="111"/>
      <c r="CZ177" s="111"/>
      <c r="DA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  <c r="BW178" s="111"/>
      <c r="BX178" s="111"/>
      <c r="BY178" s="111"/>
      <c r="BZ178" s="111"/>
      <c r="CA178" s="111"/>
      <c r="CB178" s="111"/>
      <c r="CC178" s="111"/>
      <c r="CD178" s="111"/>
      <c r="CE178" s="111"/>
      <c r="CF178" s="111"/>
      <c r="CG178" s="111"/>
      <c r="CH178" s="111"/>
      <c r="CI178" s="111"/>
      <c r="CJ178" s="111"/>
      <c r="CK178" s="111"/>
      <c r="CL178" s="111"/>
      <c r="CM178" s="111"/>
      <c r="CN178" s="111"/>
      <c r="CO178" s="111"/>
      <c r="CP178" s="111"/>
      <c r="CQ178" s="111"/>
      <c r="CR178" s="111"/>
      <c r="CS178" s="111"/>
      <c r="CT178" s="111"/>
      <c r="CU178" s="111"/>
      <c r="CV178" s="111"/>
      <c r="CW178" s="111"/>
      <c r="CX178" s="111"/>
      <c r="CY178" s="111"/>
      <c r="CZ178" s="111"/>
      <c r="DA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1"/>
      <c r="CA179" s="111"/>
      <c r="CB179" s="111"/>
      <c r="CC179" s="111"/>
      <c r="CD179" s="111"/>
      <c r="CE179" s="111"/>
      <c r="CF179" s="111"/>
      <c r="CG179" s="111"/>
      <c r="CH179" s="111"/>
      <c r="CI179" s="111"/>
      <c r="CJ179" s="111"/>
      <c r="CK179" s="111"/>
      <c r="CL179" s="111"/>
      <c r="CM179" s="111"/>
      <c r="CN179" s="111"/>
      <c r="CO179" s="111"/>
      <c r="CP179" s="111"/>
      <c r="CQ179" s="111"/>
      <c r="CR179" s="111"/>
      <c r="CS179" s="111"/>
      <c r="CT179" s="111"/>
      <c r="CU179" s="111"/>
      <c r="CV179" s="111"/>
      <c r="CW179" s="111"/>
      <c r="CX179" s="111"/>
      <c r="CY179" s="111"/>
      <c r="CZ179" s="111"/>
      <c r="DA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11"/>
      <c r="CD180" s="111"/>
      <c r="CE180" s="111"/>
      <c r="CF180" s="111"/>
      <c r="CG180" s="111"/>
      <c r="CH180" s="111"/>
      <c r="CI180" s="111"/>
      <c r="CJ180" s="111"/>
      <c r="CK180" s="111"/>
      <c r="CL180" s="111"/>
      <c r="CM180" s="111"/>
      <c r="CN180" s="111"/>
      <c r="CO180" s="111"/>
      <c r="CP180" s="111"/>
      <c r="CQ180" s="111"/>
      <c r="CR180" s="111"/>
      <c r="CS180" s="111"/>
      <c r="CT180" s="111"/>
      <c r="CU180" s="111"/>
      <c r="CV180" s="111"/>
      <c r="CW180" s="111"/>
      <c r="CX180" s="111"/>
      <c r="CY180" s="111"/>
      <c r="CZ180" s="111"/>
      <c r="DA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  <c r="BW181" s="111"/>
      <c r="BX181" s="111"/>
      <c r="BY181" s="111"/>
      <c r="BZ181" s="111"/>
      <c r="CA181" s="111"/>
      <c r="CB181" s="111"/>
      <c r="CC181" s="111"/>
      <c r="CD181" s="111"/>
      <c r="CE181" s="111"/>
      <c r="CF181" s="111"/>
      <c r="CG181" s="111"/>
      <c r="CH181" s="111"/>
      <c r="CI181" s="111"/>
      <c r="CJ181" s="111"/>
      <c r="CK181" s="111"/>
      <c r="CL181" s="111"/>
      <c r="CM181" s="111"/>
      <c r="CN181" s="111"/>
      <c r="CO181" s="111"/>
      <c r="CP181" s="111"/>
      <c r="CQ181" s="111"/>
      <c r="CR181" s="111"/>
      <c r="CS181" s="111"/>
      <c r="CT181" s="111"/>
      <c r="CU181" s="111"/>
      <c r="CV181" s="111"/>
      <c r="CW181" s="111"/>
      <c r="CX181" s="111"/>
      <c r="CY181" s="111"/>
      <c r="CZ181" s="111"/>
      <c r="DA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  <c r="BW182" s="111"/>
      <c r="BX182" s="111"/>
      <c r="BY182" s="111"/>
      <c r="BZ182" s="111"/>
      <c r="CA182" s="111"/>
      <c r="CB182" s="111"/>
      <c r="CC182" s="111"/>
      <c r="CD182" s="111"/>
      <c r="CE182" s="111"/>
      <c r="CF182" s="111"/>
      <c r="CG182" s="111"/>
      <c r="CH182" s="111"/>
      <c r="CI182" s="111"/>
      <c r="CJ182" s="111"/>
      <c r="CK182" s="111"/>
      <c r="CL182" s="111"/>
      <c r="CM182" s="111"/>
      <c r="CN182" s="111"/>
      <c r="CO182" s="111"/>
      <c r="CP182" s="111"/>
      <c r="CQ182" s="111"/>
      <c r="CR182" s="111"/>
      <c r="CS182" s="111"/>
      <c r="CT182" s="111"/>
      <c r="CU182" s="111"/>
      <c r="CV182" s="111"/>
      <c r="CW182" s="111"/>
      <c r="CX182" s="111"/>
      <c r="CY182" s="111"/>
      <c r="CZ182" s="111"/>
      <c r="DA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  <c r="BW183" s="111"/>
      <c r="BX183" s="111"/>
      <c r="BY183" s="111"/>
      <c r="BZ183" s="111"/>
      <c r="CA183" s="111"/>
      <c r="CB183" s="111"/>
      <c r="CC183" s="111"/>
      <c r="CD183" s="111"/>
      <c r="CE183" s="111"/>
      <c r="CF183" s="111"/>
      <c r="CG183" s="111"/>
      <c r="CH183" s="111"/>
      <c r="CI183" s="111"/>
      <c r="CJ183" s="111"/>
      <c r="CK183" s="111"/>
      <c r="CL183" s="111"/>
      <c r="CM183" s="111"/>
      <c r="CN183" s="111"/>
      <c r="CO183" s="111"/>
      <c r="CP183" s="111"/>
      <c r="CQ183" s="111"/>
      <c r="CR183" s="111"/>
      <c r="CS183" s="111"/>
      <c r="CT183" s="111"/>
      <c r="CU183" s="111"/>
      <c r="CV183" s="111"/>
      <c r="CW183" s="111"/>
      <c r="CX183" s="111"/>
      <c r="CY183" s="111"/>
      <c r="CZ183" s="111"/>
      <c r="DA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  <c r="BW184" s="111"/>
      <c r="BX184" s="111"/>
      <c r="BY184" s="111"/>
      <c r="BZ184" s="111"/>
      <c r="CA184" s="111"/>
      <c r="CB184" s="111"/>
      <c r="CC184" s="111"/>
      <c r="CD184" s="111"/>
      <c r="CE184" s="111"/>
      <c r="CF184" s="111"/>
      <c r="CG184" s="111"/>
      <c r="CH184" s="111"/>
      <c r="CI184" s="111"/>
      <c r="CJ184" s="111"/>
      <c r="CK184" s="111"/>
      <c r="CL184" s="111"/>
      <c r="CM184" s="111"/>
      <c r="CN184" s="111"/>
      <c r="CO184" s="111"/>
      <c r="CP184" s="111"/>
      <c r="CQ184" s="111"/>
      <c r="CR184" s="111"/>
      <c r="CS184" s="111"/>
      <c r="CT184" s="111"/>
      <c r="CU184" s="111"/>
      <c r="CV184" s="111"/>
      <c r="CW184" s="111"/>
      <c r="CX184" s="111"/>
      <c r="CY184" s="111"/>
      <c r="CZ184" s="111"/>
      <c r="DA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  <c r="BW185" s="111"/>
      <c r="BX185" s="111"/>
      <c r="BY185" s="111"/>
      <c r="BZ185" s="111"/>
      <c r="CA185" s="111"/>
      <c r="CB185" s="111"/>
      <c r="CC185" s="111"/>
      <c r="CD185" s="111"/>
      <c r="CE185" s="111"/>
      <c r="CF185" s="111"/>
      <c r="CG185" s="111"/>
      <c r="CH185" s="111"/>
      <c r="CI185" s="111"/>
      <c r="CJ185" s="111"/>
      <c r="CK185" s="111"/>
      <c r="CL185" s="111"/>
      <c r="CM185" s="111"/>
      <c r="CN185" s="111"/>
      <c r="CO185" s="111"/>
      <c r="CP185" s="111"/>
      <c r="CQ185" s="111"/>
      <c r="CR185" s="111"/>
      <c r="CS185" s="111"/>
      <c r="CT185" s="111"/>
      <c r="CU185" s="111"/>
      <c r="CV185" s="111"/>
      <c r="CW185" s="111"/>
      <c r="CX185" s="111"/>
      <c r="CY185" s="111"/>
      <c r="CZ185" s="111"/>
      <c r="DA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  <c r="BW186" s="111"/>
      <c r="BX186" s="111"/>
      <c r="BY186" s="111"/>
      <c r="BZ186" s="111"/>
      <c r="CA186" s="111"/>
      <c r="CB186" s="111"/>
      <c r="CC186" s="111"/>
      <c r="CD186" s="111"/>
      <c r="CE186" s="111"/>
      <c r="CF186" s="111"/>
      <c r="CG186" s="111"/>
      <c r="CH186" s="111"/>
      <c r="CI186" s="111"/>
      <c r="CJ186" s="111"/>
      <c r="CK186" s="111"/>
      <c r="CL186" s="111"/>
      <c r="CM186" s="111"/>
      <c r="CN186" s="111"/>
      <c r="CO186" s="111"/>
      <c r="CP186" s="111"/>
      <c r="CQ186" s="111"/>
      <c r="CR186" s="111"/>
      <c r="CS186" s="111"/>
      <c r="CT186" s="111"/>
      <c r="CU186" s="111"/>
      <c r="CV186" s="111"/>
      <c r="CW186" s="111"/>
      <c r="CX186" s="111"/>
      <c r="CY186" s="111"/>
      <c r="CZ186" s="111"/>
      <c r="DA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  <c r="BW187" s="111"/>
      <c r="BX187" s="111"/>
      <c r="BY187" s="111"/>
      <c r="BZ187" s="111"/>
      <c r="CA187" s="111"/>
      <c r="CB187" s="111"/>
      <c r="CC187" s="111"/>
      <c r="CD187" s="111"/>
      <c r="CE187" s="111"/>
      <c r="CF187" s="111"/>
      <c r="CG187" s="111"/>
      <c r="CH187" s="111"/>
      <c r="CI187" s="111"/>
      <c r="CJ187" s="111"/>
      <c r="CK187" s="111"/>
      <c r="CL187" s="111"/>
      <c r="CM187" s="111"/>
      <c r="CN187" s="111"/>
      <c r="CO187" s="111"/>
      <c r="CP187" s="111"/>
      <c r="CQ187" s="111"/>
      <c r="CR187" s="111"/>
      <c r="CS187" s="111"/>
      <c r="CT187" s="111"/>
      <c r="CU187" s="111"/>
      <c r="CV187" s="111"/>
      <c r="CW187" s="111"/>
      <c r="CX187" s="111"/>
      <c r="CY187" s="111"/>
      <c r="CZ187" s="111"/>
      <c r="DA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  <c r="BW188" s="111"/>
      <c r="BX188" s="111"/>
      <c r="BY188" s="111"/>
      <c r="BZ188" s="111"/>
      <c r="CA188" s="111"/>
      <c r="CB188" s="111"/>
      <c r="CC188" s="111"/>
      <c r="CD188" s="111"/>
      <c r="CE188" s="111"/>
      <c r="CF188" s="111"/>
      <c r="CG188" s="111"/>
      <c r="CH188" s="111"/>
      <c r="CI188" s="111"/>
      <c r="CJ188" s="111"/>
      <c r="CK188" s="111"/>
      <c r="CL188" s="111"/>
      <c r="CM188" s="111"/>
      <c r="CN188" s="111"/>
      <c r="CO188" s="111"/>
      <c r="CP188" s="111"/>
      <c r="CQ188" s="111"/>
      <c r="CR188" s="111"/>
      <c r="CS188" s="111"/>
      <c r="CT188" s="111"/>
      <c r="CU188" s="111"/>
      <c r="CV188" s="111"/>
      <c r="CW188" s="111"/>
      <c r="CX188" s="111"/>
      <c r="CY188" s="111"/>
      <c r="CZ188" s="111"/>
      <c r="DA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  <c r="BQ189" s="111"/>
      <c r="BR189" s="111"/>
      <c r="BS189" s="111"/>
      <c r="BT189" s="111"/>
      <c r="BU189" s="111"/>
      <c r="BV189" s="111"/>
      <c r="BW189" s="111"/>
      <c r="BX189" s="111"/>
      <c r="BY189" s="111"/>
      <c r="BZ189" s="111"/>
      <c r="CA189" s="111"/>
      <c r="CB189" s="111"/>
      <c r="CC189" s="111"/>
      <c r="CD189" s="111"/>
      <c r="CE189" s="111"/>
      <c r="CF189" s="111"/>
      <c r="CG189" s="111"/>
      <c r="CH189" s="111"/>
      <c r="CI189" s="111"/>
      <c r="CJ189" s="111"/>
      <c r="CK189" s="111"/>
      <c r="CL189" s="111"/>
      <c r="CM189" s="111"/>
      <c r="CN189" s="111"/>
      <c r="CO189" s="111"/>
      <c r="CP189" s="111"/>
      <c r="CQ189" s="111"/>
      <c r="CR189" s="111"/>
      <c r="CS189" s="111"/>
      <c r="CT189" s="111"/>
      <c r="CU189" s="111"/>
      <c r="CV189" s="111"/>
      <c r="CW189" s="111"/>
      <c r="CX189" s="111"/>
      <c r="CY189" s="111"/>
      <c r="CZ189" s="111"/>
      <c r="DA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1"/>
      <c r="BQ190" s="111"/>
      <c r="BR190" s="111"/>
      <c r="BS190" s="111"/>
      <c r="BT190" s="111"/>
      <c r="BU190" s="111"/>
      <c r="BV190" s="111"/>
      <c r="BW190" s="111"/>
      <c r="BX190" s="111"/>
      <c r="BY190" s="111"/>
      <c r="BZ190" s="111"/>
      <c r="CA190" s="111"/>
      <c r="CB190" s="111"/>
      <c r="CC190" s="111"/>
      <c r="CD190" s="111"/>
      <c r="CE190" s="111"/>
      <c r="CF190" s="111"/>
      <c r="CG190" s="111"/>
      <c r="CH190" s="111"/>
      <c r="CI190" s="111"/>
      <c r="CJ190" s="111"/>
      <c r="CK190" s="111"/>
      <c r="CL190" s="111"/>
      <c r="CM190" s="111"/>
      <c r="CN190" s="111"/>
      <c r="CO190" s="111"/>
      <c r="CP190" s="111"/>
      <c r="CQ190" s="111"/>
      <c r="CR190" s="111"/>
      <c r="CS190" s="111"/>
      <c r="CT190" s="111"/>
      <c r="CU190" s="111"/>
      <c r="CV190" s="111"/>
      <c r="CW190" s="111"/>
      <c r="CX190" s="111"/>
      <c r="CY190" s="111"/>
      <c r="CZ190" s="111"/>
      <c r="DA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  <c r="BQ191" s="111"/>
      <c r="BR191" s="111"/>
      <c r="BS191" s="111"/>
      <c r="BT191" s="111"/>
      <c r="BU191" s="111"/>
      <c r="BV191" s="111"/>
      <c r="BW191" s="111"/>
      <c r="BX191" s="111"/>
      <c r="BY191" s="111"/>
      <c r="BZ191" s="111"/>
      <c r="CA191" s="111"/>
      <c r="CB191" s="111"/>
      <c r="CC191" s="111"/>
      <c r="CD191" s="111"/>
      <c r="CE191" s="111"/>
      <c r="CF191" s="111"/>
      <c r="CG191" s="111"/>
      <c r="CH191" s="111"/>
      <c r="CI191" s="111"/>
      <c r="CJ191" s="111"/>
      <c r="CK191" s="111"/>
      <c r="CL191" s="111"/>
      <c r="CM191" s="111"/>
      <c r="CN191" s="111"/>
      <c r="CO191" s="111"/>
      <c r="CP191" s="111"/>
      <c r="CQ191" s="111"/>
      <c r="CR191" s="111"/>
      <c r="CS191" s="111"/>
      <c r="CT191" s="111"/>
      <c r="CU191" s="111"/>
      <c r="CV191" s="111"/>
      <c r="CW191" s="111"/>
      <c r="CX191" s="111"/>
      <c r="CY191" s="111"/>
      <c r="CZ191" s="111"/>
      <c r="DA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  <c r="BQ192" s="111"/>
      <c r="BR192" s="111"/>
      <c r="BS192" s="111"/>
      <c r="BT192" s="111"/>
      <c r="BU192" s="111"/>
      <c r="BV192" s="111"/>
      <c r="BW192" s="111"/>
      <c r="BX192" s="111"/>
      <c r="BY192" s="111"/>
      <c r="BZ192" s="111"/>
      <c r="CA192" s="111"/>
      <c r="CB192" s="111"/>
      <c r="CC192" s="111"/>
      <c r="CD192" s="111"/>
      <c r="CE192" s="111"/>
      <c r="CF192" s="111"/>
      <c r="CG192" s="111"/>
      <c r="CH192" s="111"/>
      <c r="CI192" s="111"/>
      <c r="CJ192" s="111"/>
      <c r="CK192" s="111"/>
      <c r="CL192" s="111"/>
      <c r="CM192" s="111"/>
      <c r="CN192" s="111"/>
      <c r="CO192" s="111"/>
      <c r="CP192" s="111"/>
      <c r="CQ192" s="111"/>
      <c r="CR192" s="111"/>
      <c r="CS192" s="111"/>
      <c r="CT192" s="111"/>
      <c r="CU192" s="111"/>
      <c r="CV192" s="111"/>
      <c r="CW192" s="111"/>
      <c r="CX192" s="111"/>
      <c r="CY192" s="111"/>
      <c r="CZ192" s="111"/>
      <c r="DA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  <c r="BQ193" s="111"/>
      <c r="BR193" s="111"/>
      <c r="BS193" s="111"/>
      <c r="BT193" s="111"/>
      <c r="BU193" s="111"/>
      <c r="BV193" s="111"/>
      <c r="BW193" s="111"/>
      <c r="BX193" s="111"/>
      <c r="BY193" s="111"/>
      <c r="BZ193" s="111"/>
      <c r="CA193" s="111"/>
      <c r="CB193" s="111"/>
      <c r="CC193" s="111"/>
      <c r="CD193" s="111"/>
      <c r="CE193" s="111"/>
      <c r="CF193" s="111"/>
      <c r="CG193" s="111"/>
      <c r="CH193" s="111"/>
      <c r="CI193" s="111"/>
      <c r="CJ193" s="111"/>
      <c r="CK193" s="111"/>
      <c r="CL193" s="111"/>
      <c r="CM193" s="111"/>
      <c r="CN193" s="111"/>
      <c r="CO193" s="111"/>
      <c r="CP193" s="111"/>
      <c r="CQ193" s="111"/>
      <c r="CR193" s="111"/>
      <c r="CS193" s="111"/>
      <c r="CT193" s="111"/>
      <c r="CU193" s="111"/>
      <c r="CV193" s="111"/>
      <c r="CW193" s="111"/>
      <c r="CX193" s="111"/>
      <c r="CY193" s="111"/>
      <c r="CZ193" s="111"/>
      <c r="DA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  <c r="BQ194" s="111"/>
      <c r="BR194" s="111"/>
      <c r="BS194" s="111"/>
      <c r="BT194" s="111"/>
      <c r="BU194" s="111"/>
      <c r="BV194" s="111"/>
      <c r="BW194" s="111"/>
      <c r="BX194" s="111"/>
      <c r="BY194" s="111"/>
      <c r="BZ194" s="111"/>
      <c r="CA194" s="111"/>
      <c r="CB194" s="111"/>
      <c r="CC194" s="111"/>
      <c r="CD194" s="111"/>
      <c r="CE194" s="111"/>
      <c r="CF194" s="111"/>
      <c r="CG194" s="111"/>
      <c r="CH194" s="111"/>
      <c r="CI194" s="111"/>
      <c r="CJ194" s="111"/>
      <c r="CK194" s="111"/>
      <c r="CL194" s="111"/>
      <c r="CM194" s="111"/>
      <c r="CN194" s="111"/>
      <c r="CO194" s="111"/>
      <c r="CP194" s="111"/>
      <c r="CQ194" s="111"/>
      <c r="CR194" s="111"/>
      <c r="CS194" s="111"/>
      <c r="CT194" s="111"/>
      <c r="CU194" s="111"/>
      <c r="CV194" s="111"/>
      <c r="CW194" s="111"/>
      <c r="CX194" s="111"/>
      <c r="CY194" s="111"/>
      <c r="CZ194" s="111"/>
      <c r="DA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  <c r="BQ195" s="111"/>
      <c r="BR195" s="111"/>
      <c r="BS195" s="111"/>
      <c r="BT195" s="111"/>
      <c r="BU195" s="111"/>
      <c r="BV195" s="111"/>
      <c r="BW195" s="111"/>
      <c r="BX195" s="111"/>
      <c r="BY195" s="111"/>
      <c r="BZ195" s="111"/>
      <c r="CA195" s="111"/>
      <c r="CB195" s="111"/>
      <c r="CC195" s="111"/>
      <c r="CD195" s="111"/>
      <c r="CE195" s="111"/>
      <c r="CF195" s="111"/>
      <c r="CG195" s="111"/>
      <c r="CH195" s="111"/>
      <c r="CI195" s="111"/>
      <c r="CJ195" s="111"/>
      <c r="CK195" s="111"/>
      <c r="CL195" s="111"/>
      <c r="CM195" s="111"/>
      <c r="CN195" s="111"/>
      <c r="CO195" s="111"/>
      <c r="CP195" s="111"/>
      <c r="CQ195" s="111"/>
      <c r="CR195" s="111"/>
      <c r="CS195" s="111"/>
      <c r="CT195" s="111"/>
      <c r="CU195" s="111"/>
      <c r="CV195" s="111"/>
      <c r="CW195" s="111"/>
      <c r="CX195" s="111"/>
      <c r="CY195" s="111"/>
      <c r="CZ195" s="111"/>
      <c r="DA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  <c r="BQ196" s="111"/>
      <c r="BR196" s="111"/>
      <c r="BS196" s="111"/>
      <c r="BT196" s="111"/>
      <c r="BU196" s="111"/>
      <c r="BV196" s="111"/>
      <c r="BW196" s="111"/>
      <c r="BX196" s="111"/>
      <c r="BY196" s="111"/>
      <c r="BZ196" s="111"/>
      <c r="CA196" s="111"/>
      <c r="CB196" s="111"/>
      <c r="CC196" s="111"/>
      <c r="CD196" s="111"/>
      <c r="CE196" s="111"/>
      <c r="CF196" s="111"/>
      <c r="CG196" s="111"/>
      <c r="CH196" s="111"/>
      <c r="CI196" s="111"/>
      <c r="CJ196" s="111"/>
      <c r="CK196" s="111"/>
      <c r="CL196" s="111"/>
      <c r="CM196" s="111"/>
      <c r="CN196" s="111"/>
      <c r="CO196" s="111"/>
      <c r="CP196" s="111"/>
      <c r="CQ196" s="111"/>
      <c r="CR196" s="111"/>
      <c r="CS196" s="111"/>
      <c r="CT196" s="111"/>
      <c r="CU196" s="111"/>
      <c r="CV196" s="111"/>
      <c r="CW196" s="111"/>
      <c r="CX196" s="111"/>
      <c r="CY196" s="111"/>
      <c r="CZ196" s="111"/>
      <c r="DA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  <c r="BW198" s="111"/>
      <c r="BX198" s="111"/>
      <c r="BY198" s="111"/>
      <c r="BZ198" s="111"/>
      <c r="CA198" s="111"/>
      <c r="CB198" s="111"/>
      <c r="CC198" s="111"/>
      <c r="CD198" s="111"/>
      <c r="CE198" s="111"/>
      <c r="CF198" s="111"/>
      <c r="CG198" s="111"/>
      <c r="CH198" s="111"/>
      <c r="CI198" s="111"/>
      <c r="CJ198" s="111"/>
      <c r="CK198" s="111"/>
      <c r="CL198" s="111"/>
      <c r="CM198" s="111"/>
      <c r="CN198" s="111"/>
      <c r="CO198" s="111"/>
      <c r="CP198" s="111"/>
      <c r="CQ198" s="111"/>
      <c r="CR198" s="111"/>
      <c r="CS198" s="111"/>
      <c r="CT198" s="111"/>
      <c r="CU198" s="111"/>
      <c r="CV198" s="111"/>
      <c r="CW198" s="111"/>
      <c r="CX198" s="111"/>
      <c r="CY198" s="111"/>
      <c r="CZ198" s="111"/>
      <c r="DA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  <c r="BO199" s="111"/>
      <c r="BP199" s="111"/>
      <c r="BQ199" s="111"/>
      <c r="BR199" s="111"/>
      <c r="BS199" s="111"/>
      <c r="BT199" s="111"/>
      <c r="BU199" s="111"/>
      <c r="BV199" s="111"/>
      <c r="BW199" s="111"/>
      <c r="BX199" s="111"/>
      <c r="BY199" s="111"/>
      <c r="BZ199" s="111"/>
      <c r="CA199" s="111"/>
      <c r="CB199" s="111"/>
      <c r="CC199" s="111"/>
      <c r="CD199" s="111"/>
      <c r="CE199" s="111"/>
      <c r="CF199" s="111"/>
      <c r="CG199" s="111"/>
      <c r="CH199" s="111"/>
      <c r="CI199" s="111"/>
      <c r="CJ199" s="111"/>
      <c r="CK199" s="111"/>
      <c r="CL199" s="111"/>
      <c r="CM199" s="111"/>
      <c r="CN199" s="111"/>
      <c r="CO199" s="111"/>
      <c r="CP199" s="111"/>
      <c r="CQ199" s="111"/>
      <c r="CR199" s="111"/>
      <c r="CS199" s="111"/>
      <c r="CT199" s="111"/>
      <c r="CU199" s="111"/>
      <c r="CV199" s="111"/>
      <c r="CW199" s="111"/>
      <c r="CX199" s="111"/>
      <c r="CY199" s="111"/>
      <c r="CZ199" s="111"/>
      <c r="DA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  <c r="BO200" s="111"/>
      <c r="BP200" s="111"/>
      <c r="BQ200" s="111"/>
      <c r="BR200" s="111"/>
      <c r="BS200" s="111"/>
      <c r="BT200" s="111"/>
      <c r="BU200" s="111"/>
      <c r="BV200" s="111"/>
      <c r="BW200" s="111"/>
      <c r="BX200" s="111"/>
      <c r="BY200" s="111"/>
      <c r="BZ200" s="111"/>
      <c r="CA200" s="111"/>
      <c r="CB200" s="111"/>
      <c r="CC200" s="111"/>
      <c r="CD200" s="111"/>
      <c r="CE200" s="111"/>
      <c r="CF200" s="111"/>
      <c r="CG200" s="111"/>
      <c r="CH200" s="111"/>
      <c r="CI200" s="111"/>
      <c r="CJ200" s="111"/>
      <c r="CK200" s="111"/>
      <c r="CL200" s="111"/>
      <c r="CM200" s="111"/>
      <c r="CN200" s="111"/>
      <c r="CO200" s="111"/>
      <c r="CP200" s="111"/>
      <c r="CQ200" s="111"/>
      <c r="CR200" s="111"/>
      <c r="CS200" s="111"/>
      <c r="CT200" s="111"/>
      <c r="CU200" s="111"/>
      <c r="CV200" s="111"/>
      <c r="CW200" s="111"/>
      <c r="CX200" s="111"/>
      <c r="CY200" s="111"/>
      <c r="CZ200" s="111"/>
      <c r="DA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  <c r="BW201" s="111"/>
      <c r="BX201" s="111"/>
      <c r="BY201" s="111"/>
      <c r="BZ201" s="111"/>
      <c r="CA201" s="111"/>
      <c r="CB201" s="111"/>
      <c r="CC201" s="111"/>
      <c r="CD201" s="111"/>
      <c r="CE201" s="111"/>
      <c r="CF201" s="111"/>
      <c r="CG201" s="111"/>
      <c r="CH201" s="111"/>
      <c r="CI201" s="111"/>
      <c r="CJ201" s="111"/>
      <c r="CK201" s="111"/>
      <c r="CL201" s="111"/>
      <c r="CM201" s="111"/>
      <c r="CN201" s="111"/>
      <c r="CO201" s="111"/>
      <c r="CP201" s="111"/>
      <c r="CQ201" s="111"/>
      <c r="CR201" s="111"/>
      <c r="CS201" s="111"/>
      <c r="CT201" s="111"/>
      <c r="CU201" s="111"/>
      <c r="CV201" s="111"/>
      <c r="CW201" s="111"/>
      <c r="CX201" s="111"/>
      <c r="CY201" s="111"/>
      <c r="CZ201" s="111"/>
      <c r="DA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  <c r="BW202" s="111"/>
      <c r="BX202" s="111"/>
      <c r="BY202" s="111"/>
      <c r="BZ202" s="111"/>
      <c r="CA202" s="111"/>
      <c r="CB202" s="111"/>
      <c r="CC202" s="111"/>
      <c r="CD202" s="111"/>
      <c r="CE202" s="111"/>
      <c r="CF202" s="111"/>
      <c r="CG202" s="111"/>
      <c r="CH202" s="111"/>
      <c r="CI202" s="111"/>
      <c r="CJ202" s="111"/>
      <c r="CK202" s="111"/>
      <c r="CL202" s="111"/>
      <c r="CM202" s="111"/>
      <c r="CN202" s="111"/>
      <c r="CO202" s="111"/>
      <c r="CP202" s="111"/>
      <c r="CQ202" s="111"/>
      <c r="CR202" s="111"/>
      <c r="CS202" s="111"/>
      <c r="CT202" s="111"/>
      <c r="CU202" s="111"/>
      <c r="CV202" s="111"/>
      <c r="CW202" s="111"/>
      <c r="CX202" s="111"/>
      <c r="CY202" s="111"/>
      <c r="CZ202" s="111"/>
      <c r="DA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  <c r="BQ203" s="111"/>
      <c r="BR203" s="111"/>
      <c r="BS203" s="111"/>
      <c r="BT203" s="111"/>
      <c r="BU203" s="111"/>
      <c r="BV203" s="111"/>
      <c r="BW203" s="111"/>
      <c r="BX203" s="111"/>
      <c r="BY203" s="111"/>
      <c r="BZ203" s="111"/>
      <c r="CA203" s="111"/>
      <c r="CB203" s="111"/>
      <c r="CC203" s="111"/>
      <c r="CD203" s="111"/>
      <c r="CE203" s="111"/>
      <c r="CF203" s="111"/>
      <c r="CG203" s="111"/>
      <c r="CH203" s="111"/>
      <c r="CI203" s="111"/>
      <c r="CJ203" s="111"/>
      <c r="CK203" s="111"/>
      <c r="CL203" s="111"/>
      <c r="CM203" s="111"/>
      <c r="CN203" s="111"/>
      <c r="CO203" s="111"/>
      <c r="CP203" s="111"/>
      <c r="CQ203" s="111"/>
      <c r="CR203" s="111"/>
      <c r="CS203" s="111"/>
      <c r="CT203" s="111"/>
      <c r="CU203" s="111"/>
      <c r="CV203" s="111"/>
      <c r="CW203" s="111"/>
      <c r="CX203" s="111"/>
      <c r="CY203" s="111"/>
      <c r="CZ203" s="111"/>
      <c r="DA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  <c r="BO204" s="111"/>
      <c r="BP204" s="111"/>
      <c r="BQ204" s="111"/>
      <c r="BR204" s="111"/>
      <c r="BS204" s="111"/>
      <c r="BT204" s="111"/>
      <c r="BU204" s="111"/>
      <c r="BV204" s="111"/>
      <c r="BW204" s="111"/>
      <c r="BX204" s="111"/>
      <c r="BY204" s="111"/>
      <c r="BZ204" s="111"/>
      <c r="CA204" s="111"/>
      <c r="CB204" s="111"/>
      <c r="CC204" s="111"/>
      <c r="CD204" s="111"/>
      <c r="CE204" s="111"/>
      <c r="CF204" s="111"/>
      <c r="CG204" s="111"/>
      <c r="CH204" s="111"/>
      <c r="CI204" s="111"/>
      <c r="CJ204" s="111"/>
      <c r="CK204" s="111"/>
      <c r="CL204" s="111"/>
      <c r="CM204" s="111"/>
      <c r="CN204" s="111"/>
      <c r="CO204" s="111"/>
      <c r="CP204" s="111"/>
      <c r="CQ204" s="111"/>
      <c r="CR204" s="111"/>
      <c r="CS204" s="111"/>
      <c r="CT204" s="111"/>
      <c r="CU204" s="111"/>
      <c r="CV204" s="111"/>
      <c r="CW204" s="111"/>
      <c r="CX204" s="111"/>
      <c r="CY204" s="111"/>
      <c r="CZ204" s="111"/>
      <c r="DA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  <c r="BQ205" s="111"/>
      <c r="BR205" s="111"/>
      <c r="BS205" s="111"/>
      <c r="BT205" s="111"/>
      <c r="BU205" s="111"/>
      <c r="BV205" s="111"/>
      <c r="BW205" s="111"/>
      <c r="BX205" s="111"/>
      <c r="BY205" s="111"/>
      <c r="BZ205" s="111"/>
      <c r="CA205" s="111"/>
      <c r="CB205" s="111"/>
      <c r="CC205" s="111"/>
      <c r="CD205" s="111"/>
      <c r="CE205" s="111"/>
      <c r="CF205" s="111"/>
      <c r="CG205" s="111"/>
      <c r="CH205" s="111"/>
      <c r="CI205" s="111"/>
      <c r="CJ205" s="111"/>
      <c r="CK205" s="111"/>
      <c r="CL205" s="111"/>
      <c r="CM205" s="111"/>
      <c r="CN205" s="111"/>
      <c r="CO205" s="111"/>
      <c r="CP205" s="111"/>
      <c r="CQ205" s="111"/>
      <c r="CR205" s="111"/>
      <c r="CS205" s="111"/>
      <c r="CT205" s="111"/>
      <c r="CU205" s="111"/>
      <c r="CV205" s="111"/>
      <c r="CW205" s="111"/>
      <c r="CX205" s="111"/>
      <c r="CY205" s="111"/>
      <c r="CZ205" s="111"/>
      <c r="DA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  <c r="BQ206" s="111"/>
      <c r="BR206" s="111"/>
      <c r="BS206" s="111"/>
      <c r="BT206" s="111"/>
      <c r="BU206" s="111"/>
      <c r="BV206" s="111"/>
      <c r="BW206" s="111"/>
      <c r="BX206" s="111"/>
      <c r="BY206" s="111"/>
      <c r="BZ206" s="111"/>
      <c r="CA206" s="111"/>
      <c r="CB206" s="111"/>
      <c r="CC206" s="111"/>
      <c r="CD206" s="111"/>
      <c r="CE206" s="111"/>
      <c r="CF206" s="111"/>
      <c r="CG206" s="111"/>
      <c r="CH206" s="111"/>
      <c r="CI206" s="111"/>
      <c r="CJ206" s="111"/>
      <c r="CK206" s="111"/>
      <c r="CL206" s="111"/>
      <c r="CM206" s="111"/>
      <c r="CN206" s="111"/>
      <c r="CO206" s="111"/>
      <c r="CP206" s="111"/>
      <c r="CQ206" s="111"/>
      <c r="CR206" s="111"/>
      <c r="CS206" s="111"/>
      <c r="CT206" s="111"/>
      <c r="CU206" s="111"/>
      <c r="CV206" s="111"/>
      <c r="CW206" s="111"/>
      <c r="CX206" s="111"/>
      <c r="CY206" s="111"/>
      <c r="CZ206" s="111"/>
      <c r="DA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  <c r="BQ207" s="111"/>
      <c r="BR207" s="111"/>
      <c r="BS207" s="111"/>
      <c r="BT207" s="111"/>
      <c r="BU207" s="111"/>
      <c r="BV207" s="111"/>
      <c r="BW207" s="111"/>
      <c r="BX207" s="111"/>
      <c r="BY207" s="111"/>
      <c r="BZ207" s="111"/>
      <c r="CA207" s="111"/>
      <c r="CB207" s="111"/>
      <c r="CC207" s="111"/>
      <c r="CD207" s="111"/>
      <c r="CE207" s="111"/>
      <c r="CF207" s="111"/>
      <c r="CG207" s="111"/>
      <c r="CH207" s="111"/>
      <c r="CI207" s="111"/>
      <c r="CJ207" s="111"/>
      <c r="CK207" s="111"/>
      <c r="CL207" s="111"/>
      <c r="CM207" s="111"/>
      <c r="CN207" s="111"/>
      <c r="CO207" s="111"/>
      <c r="CP207" s="111"/>
      <c r="CQ207" s="111"/>
      <c r="CR207" s="111"/>
      <c r="CS207" s="111"/>
      <c r="CT207" s="111"/>
      <c r="CU207" s="111"/>
      <c r="CV207" s="111"/>
      <c r="CW207" s="111"/>
      <c r="CX207" s="111"/>
      <c r="CY207" s="111"/>
      <c r="CZ207" s="111"/>
      <c r="DA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1"/>
      <c r="BQ208" s="111"/>
      <c r="BR208" s="111"/>
      <c r="BS208" s="111"/>
      <c r="BT208" s="111"/>
      <c r="BU208" s="111"/>
      <c r="BV208" s="111"/>
      <c r="BW208" s="111"/>
      <c r="BX208" s="111"/>
      <c r="BY208" s="111"/>
      <c r="BZ208" s="111"/>
      <c r="CA208" s="111"/>
      <c r="CB208" s="111"/>
      <c r="CC208" s="111"/>
      <c r="CD208" s="111"/>
      <c r="CE208" s="111"/>
      <c r="CF208" s="111"/>
      <c r="CG208" s="111"/>
      <c r="CH208" s="111"/>
      <c r="CI208" s="111"/>
      <c r="CJ208" s="111"/>
      <c r="CK208" s="111"/>
      <c r="CL208" s="111"/>
      <c r="CM208" s="111"/>
      <c r="CN208" s="111"/>
      <c r="CO208" s="111"/>
      <c r="CP208" s="111"/>
      <c r="CQ208" s="111"/>
      <c r="CR208" s="111"/>
      <c r="CS208" s="111"/>
      <c r="CT208" s="111"/>
      <c r="CU208" s="111"/>
      <c r="CV208" s="111"/>
      <c r="CW208" s="111"/>
      <c r="CX208" s="111"/>
      <c r="CY208" s="111"/>
      <c r="CZ208" s="111"/>
      <c r="DA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  <c r="BW209" s="111"/>
      <c r="BX209" s="111"/>
      <c r="BY209" s="111"/>
      <c r="BZ209" s="111"/>
      <c r="CA209" s="111"/>
      <c r="CB209" s="111"/>
      <c r="CC209" s="111"/>
      <c r="CD209" s="111"/>
      <c r="CE209" s="111"/>
      <c r="CF209" s="111"/>
      <c r="CG209" s="111"/>
      <c r="CH209" s="111"/>
      <c r="CI209" s="111"/>
      <c r="CJ209" s="111"/>
      <c r="CK209" s="111"/>
      <c r="CL209" s="111"/>
      <c r="CM209" s="111"/>
      <c r="CN209" s="111"/>
      <c r="CO209" s="111"/>
      <c r="CP209" s="111"/>
      <c r="CQ209" s="111"/>
      <c r="CR209" s="111"/>
      <c r="CS209" s="111"/>
      <c r="CT209" s="111"/>
      <c r="CU209" s="111"/>
      <c r="CV209" s="111"/>
      <c r="CW209" s="111"/>
      <c r="CX209" s="111"/>
      <c r="CY209" s="111"/>
      <c r="CZ209" s="111"/>
      <c r="DA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  <c r="BW210" s="111"/>
      <c r="BX210" s="111"/>
      <c r="BY210" s="111"/>
      <c r="BZ210" s="111"/>
      <c r="CA210" s="111"/>
      <c r="CB210" s="111"/>
      <c r="CC210" s="111"/>
      <c r="CD210" s="111"/>
      <c r="CE210" s="111"/>
      <c r="CF210" s="111"/>
      <c r="CG210" s="111"/>
      <c r="CH210" s="111"/>
      <c r="CI210" s="111"/>
      <c r="CJ210" s="111"/>
      <c r="CK210" s="111"/>
      <c r="CL210" s="111"/>
      <c r="CM210" s="111"/>
      <c r="CN210" s="111"/>
      <c r="CO210" s="111"/>
      <c r="CP210" s="111"/>
      <c r="CQ210" s="111"/>
      <c r="CR210" s="111"/>
      <c r="CS210" s="111"/>
      <c r="CT210" s="111"/>
      <c r="CU210" s="111"/>
      <c r="CV210" s="111"/>
      <c r="CW210" s="111"/>
      <c r="CX210" s="111"/>
      <c r="CY210" s="111"/>
      <c r="CZ210" s="111"/>
      <c r="DA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  <c r="BW211" s="111"/>
      <c r="BX211" s="111"/>
      <c r="BY211" s="111"/>
      <c r="BZ211" s="111"/>
      <c r="CA211" s="111"/>
      <c r="CB211" s="111"/>
      <c r="CC211" s="111"/>
      <c r="CD211" s="111"/>
      <c r="CE211" s="111"/>
      <c r="CF211" s="111"/>
      <c r="CG211" s="111"/>
      <c r="CH211" s="111"/>
      <c r="CI211" s="111"/>
      <c r="CJ211" s="111"/>
      <c r="CK211" s="111"/>
      <c r="CL211" s="111"/>
      <c r="CM211" s="111"/>
      <c r="CN211" s="111"/>
      <c r="CO211" s="111"/>
      <c r="CP211" s="111"/>
      <c r="CQ211" s="111"/>
      <c r="CR211" s="111"/>
      <c r="CS211" s="111"/>
      <c r="CT211" s="111"/>
      <c r="CU211" s="111"/>
      <c r="CV211" s="111"/>
      <c r="CW211" s="111"/>
      <c r="CX211" s="111"/>
      <c r="CY211" s="111"/>
      <c r="CZ211" s="111"/>
      <c r="DA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  <c r="BW212" s="111"/>
      <c r="BX212" s="111"/>
      <c r="BY212" s="111"/>
      <c r="BZ212" s="111"/>
      <c r="CA212" s="111"/>
      <c r="CB212" s="111"/>
      <c r="CC212" s="111"/>
      <c r="CD212" s="111"/>
      <c r="CE212" s="111"/>
      <c r="CF212" s="111"/>
      <c r="CG212" s="111"/>
      <c r="CH212" s="111"/>
      <c r="CI212" s="111"/>
      <c r="CJ212" s="111"/>
      <c r="CK212" s="111"/>
      <c r="CL212" s="111"/>
      <c r="CM212" s="111"/>
      <c r="CN212" s="111"/>
      <c r="CO212" s="111"/>
      <c r="CP212" s="111"/>
      <c r="CQ212" s="111"/>
      <c r="CR212" s="111"/>
      <c r="CS212" s="111"/>
      <c r="CT212" s="111"/>
      <c r="CU212" s="111"/>
      <c r="CV212" s="111"/>
      <c r="CW212" s="111"/>
      <c r="CX212" s="111"/>
      <c r="CY212" s="111"/>
      <c r="CZ212" s="111"/>
      <c r="DA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1"/>
      <c r="BQ213" s="111"/>
      <c r="BR213" s="111"/>
      <c r="BS213" s="111"/>
      <c r="BT213" s="111"/>
      <c r="BU213" s="111"/>
      <c r="BV213" s="111"/>
      <c r="BW213" s="111"/>
      <c r="BX213" s="111"/>
      <c r="BY213" s="111"/>
      <c r="BZ213" s="111"/>
      <c r="CA213" s="111"/>
      <c r="CB213" s="111"/>
      <c r="CC213" s="111"/>
      <c r="CD213" s="111"/>
      <c r="CE213" s="111"/>
      <c r="CF213" s="111"/>
      <c r="CG213" s="111"/>
      <c r="CH213" s="111"/>
      <c r="CI213" s="111"/>
      <c r="CJ213" s="111"/>
      <c r="CK213" s="111"/>
      <c r="CL213" s="111"/>
      <c r="CM213" s="111"/>
      <c r="CN213" s="111"/>
      <c r="CO213" s="111"/>
      <c r="CP213" s="111"/>
      <c r="CQ213" s="111"/>
      <c r="CR213" s="111"/>
      <c r="CS213" s="111"/>
      <c r="CT213" s="111"/>
      <c r="CU213" s="111"/>
      <c r="CV213" s="111"/>
      <c r="CW213" s="111"/>
      <c r="CX213" s="111"/>
      <c r="CY213" s="111"/>
      <c r="CZ213" s="111"/>
      <c r="DA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1"/>
      <c r="CA214" s="111"/>
      <c r="CB214" s="111"/>
      <c r="CC214" s="111"/>
      <c r="CD214" s="111"/>
      <c r="CE214" s="111"/>
      <c r="CF214" s="111"/>
      <c r="CG214" s="111"/>
      <c r="CH214" s="111"/>
      <c r="CI214" s="111"/>
      <c r="CJ214" s="111"/>
      <c r="CK214" s="111"/>
      <c r="CL214" s="111"/>
      <c r="CM214" s="111"/>
      <c r="CN214" s="111"/>
      <c r="CO214" s="111"/>
      <c r="CP214" s="111"/>
      <c r="CQ214" s="111"/>
      <c r="CR214" s="111"/>
      <c r="CS214" s="111"/>
      <c r="CT214" s="111"/>
      <c r="CU214" s="111"/>
      <c r="CV214" s="111"/>
      <c r="CW214" s="111"/>
      <c r="CX214" s="111"/>
      <c r="CY214" s="111"/>
      <c r="CZ214" s="111"/>
      <c r="DA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1"/>
      <c r="CA215" s="111"/>
      <c r="CB215" s="111"/>
      <c r="CC215" s="111"/>
      <c r="CD215" s="111"/>
      <c r="CE215" s="111"/>
      <c r="CF215" s="111"/>
      <c r="CG215" s="111"/>
      <c r="CH215" s="111"/>
      <c r="CI215" s="111"/>
      <c r="CJ215" s="111"/>
      <c r="CK215" s="111"/>
      <c r="CL215" s="111"/>
      <c r="CM215" s="111"/>
      <c r="CN215" s="111"/>
      <c r="CO215" s="111"/>
      <c r="CP215" s="111"/>
      <c r="CQ215" s="111"/>
      <c r="CR215" s="111"/>
      <c r="CS215" s="111"/>
      <c r="CT215" s="111"/>
      <c r="CU215" s="111"/>
      <c r="CV215" s="111"/>
      <c r="CW215" s="111"/>
      <c r="CX215" s="111"/>
      <c r="CY215" s="111"/>
      <c r="CZ215" s="111"/>
      <c r="DA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  <c r="BW216" s="111"/>
      <c r="BX216" s="111"/>
      <c r="BY216" s="111"/>
      <c r="BZ216" s="111"/>
      <c r="CA216" s="111"/>
      <c r="CB216" s="111"/>
      <c r="CC216" s="111"/>
      <c r="CD216" s="111"/>
      <c r="CE216" s="111"/>
      <c r="CF216" s="111"/>
      <c r="CG216" s="111"/>
      <c r="CH216" s="111"/>
      <c r="CI216" s="111"/>
      <c r="CJ216" s="111"/>
      <c r="CK216" s="111"/>
      <c r="CL216" s="111"/>
      <c r="CM216" s="111"/>
      <c r="CN216" s="111"/>
      <c r="CO216" s="111"/>
      <c r="CP216" s="111"/>
      <c r="CQ216" s="111"/>
      <c r="CR216" s="111"/>
      <c r="CS216" s="111"/>
      <c r="CT216" s="111"/>
      <c r="CU216" s="111"/>
      <c r="CV216" s="111"/>
      <c r="CW216" s="111"/>
      <c r="CX216" s="111"/>
      <c r="CY216" s="111"/>
      <c r="CZ216" s="111"/>
      <c r="DA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1"/>
      <c r="CA217" s="111"/>
      <c r="CB217" s="111"/>
      <c r="CC217" s="111"/>
      <c r="CD217" s="111"/>
      <c r="CE217" s="111"/>
      <c r="CF217" s="111"/>
      <c r="CG217" s="111"/>
      <c r="CH217" s="111"/>
      <c r="CI217" s="111"/>
      <c r="CJ217" s="111"/>
      <c r="CK217" s="111"/>
      <c r="CL217" s="111"/>
      <c r="CM217" s="111"/>
      <c r="CN217" s="111"/>
      <c r="CO217" s="111"/>
      <c r="CP217" s="111"/>
      <c r="CQ217" s="111"/>
      <c r="CR217" s="111"/>
      <c r="CS217" s="111"/>
      <c r="CT217" s="111"/>
      <c r="CU217" s="111"/>
      <c r="CV217" s="111"/>
      <c r="CW217" s="111"/>
      <c r="CX217" s="111"/>
      <c r="CY217" s="111"/>
      <c r="CZ217" s="111"/>
      <c r="DA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1"/>
      <c r="BZ218" s="111"/>
      <c r="CA218" s="111"/>
      <c r="CB218" s="111"/>
      <c r="CC218" s="111"/>
      <c r="CD218" s="111"/>
      <c r="CE218" s="111"/>
      <c r="CF218" s="111"/>
      <c r="CG218" s="111"/>
      <c r="CH218" s="111"/>
      <c r="CI218" s="111"/>
      <c r="CJ218" s="111"/>
      <c r="CK218" s="111"/>
      <c r="CL218" s="111"/>
      <c r="CM218" s="111"/>
      <c r="CN218" s="111"/>
      <c r="CO218" s="111"/>
      <c r="CP218" s="111"/>
      <c r="CQ218" s="111"/>
      <c r="CR218" s="111"/>
      <c r="CS218" s="111"/>
      <c r="CT218" s="111"/>
      <c r="CU218" s="111"/>
      <c r="CV218" s="111"/>
      <c r="CW218" s="111"/>
      <c r="CX218" s="111"/>
      <c r="CY218" s="111"/>
      <c r="CZ218" s="111"/>
      <c r="DA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11"/>
      <c r="CD219" s="111"/>
      <c r="CE219" s="111"/>
      <c r="CF219" s="111"/>
      <c r="CG219" s="111"/>
      <c r="CH219" s="111"/>
      <c r="CI219" s="111"/>
      <c r="CJ219" s="111"/>
      <c r="CK219" s="111"/>
      <c r="CL219" s="111"/>
      <c r="CM219" s="111"/>
      <c r="CN219" s="111"/>
      <c r="CO219" s="111"/>
      <c r="CP219" s="111"/>
      <c r="CQ219" s="111"/>
      <c r="CR219" s="111"/>
      <c r="CS219" s="111"/>
      <c r="CT219" s="111"/>
      <c r="CU219" s="111"/>
      <c r="CV219" s="111"/>
      <c r="CW219" s="111"/>
      <c r="CX219" s="111"/>
      <c r="CY219" s="111"/>
      <c r="CZ219" s="111"/>
      <c r="DA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  <c r="BW220" s="111"/>
      <c r="BX220" s="111"/>
      <c r="BY220" s="111"/>
      <c r="BZ220" s="111"/>
      <c r="CA220" s="111"/>
      <c r="CB220" s="111"/>
      <c r="CC220" s="111"/>
      <c r="CD220" s="111"/>
      <c r="CE220" s="111"/>
      <c r="CF220" s="111"/>
      <c r="CG220" s="111"/>
      <c r="CH220" s="111"/>
      <c r="CI220" s="111"/>
      <c r="CJ220" s="111"/>
      <c r="CK220" s="111"/>
      <c r="CL220" s="111"/>
      <c r="CM220" s="111"/>
      <c r="CN220" s="111"/>
      <c r="CO220" s="111"/>
      <c r="CP220" s="111"/>
      <c r="CQ220" s="111"/>
      <c r="CR220" s="111"/>
      <c r="CS220" s="111"/>
      <c r="CT220" s="111"/>
      <c r="CU220" s="111"/>
      <c r="CV220" s="111"/>
      <c r="CW220" s="111"/>
      <c r="CX220" s="111"/>
      <c r="CY220" s="111"/>
      <c r="CZ220" s="111"/>
      <c r="DA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  <c r="BW221" s="111"/>
      <c r="BX221" s="111"/>
      <c r="BY221" s="111"/>
      <c r="BZ221" s="111"/>
      <c r="CA221" s="111"/>
      <c r="CB221" s="111"/>
      <c r="CC221" s="111"/>
      <c r="CD221" s="111"/>
      <c r="CE221" s="111"/>
      <c r="CF221" s="111"/>
      <c r="CG221" s="111"/>
      <c r="CH221" s="111"/>
      <c r="CI221" s="111"/>
      <c r="CJ221" s="111"/>
      <c r="CK221" s="111"/>
      <c r="CL221" s="111"/>
      <c r="CM221" s="111"/>
      <c r="CN221" s="111"/>
      <c r="CO221" s="111"/>
      <c r="CP221" s="111"/>
      <c r="CQ221" s="111"/>
      <c r="CR221" s="111"/>
      <c r="CS221" s="111"/>
      <c r="CT221" s="111"/>
      <c r="CU221" s="111"/>
      <c r="CV221" s="111"/>
      <c r="CW221" s="111"/>
      <c r="CX221" s="111"/>
      <c r="CY221" s="111"/>
      <c r="CZ221" s="111"/>
      <c r="DA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  <c r="BW222" s="111"/>
      <c r="BX222" s="111"/>
      <c r="BY222" s="111"/>
      <c r="BZ222" s="111"/>
      <c r="CA222" s="111"/>
      <c r="CB222" s="111"/>
      <c r="CC222" s="111"/>
      <c r="CD222" s="111"/>
      <c r="CE222" s="111"/>
      <c r="CF222" s="111"/>
      <c r="CG222" s="111"/>
      <c r="CH222" s="111"/>
      <c r="CI222" s="111"/>
      <c r="CJ222" s="111"/>
      <c r="CK222" s="111"/>
      <c r="CL222" s="111"/>
      <c r="CM222" s="111"/>
      <c r="CN222" s="111"/>
      <c r="CO222" s="111"/>
      <c r="CP222" s="111"/>
      <c r="CQ222" s="111"/>
      <c r="CR222" s="111"/>
      <c r="CS222" s="111"/>
      <c r="CT222" s="111"/>
      <c r="CU222" s="111"/>
      <c r="CV222" s="111"/>
      <c r="CW222" s="111"/>
      <c r="CX222" s="111"/>
      <c r="CY222" s="111"/>
      <c r="CZ222" s="111"/>
      <c r="DA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  <c r="BW223" s="111"/>
      <c r="BX223" s="111"/>
      <c r="BY223" s="111"/>
      <c r="BZ223" s="111"/>
      <c r="CA223" s="111"/>
      <c r="CB223" s="111"/>
      <c r="CC223" s="111"/>
      <c r="CD223" s="111"/>
      <c r="CE223" s="111"/>
      <c r="CF223" s="111"/>
      <c r="CG223" s="111"/>
      <c r="CH223" s="111"/>
      <c r="CI223" s="111"/>
      <c r="CJ223" s="111"/>
      <c r="CK223" s="111"/>
      <c r="CL223" s="111"/>
      <c r="CM223" s="111"/>
      <c r="CN223" s="111"/>
      <c r="CO223" s="111"/>
      <c r="CP223" s="111"/>
      <c r="CQ223" s="111"/>
      <c r="CR223" s="111"/>
      <c r="CS223" s="111"/>
      <c r="CT223" s="111"/>
      <c r="CU223" s="111"/>
      <c r="CV223" s="111"/>
      <c r="CW223" s="111"/>
      <c r="CX223" s="111"/>
      <c r="CY223" s="111"/>
      <c r="CZ223" s="111"/>
      <c r="DA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  <c r="BW224" s="111"/>
      <c r="BX224" s="111"/>
      <c r="BY224" s="111"/>
      <c r="BZ224" s="111"/>
      <c r="CA224" s="111"/>
      <c r="CB224" s="111"/>
      <c r="CC224" s="111"/>
      <c r="CD224" s="111"/>
      <c r="CE224" s="111"/>
      <c r="CF224" s="111"/>
      <c r="CG224" s="111"/>
      <c r="CH224" s="111"/>
      <c r="CI224" s="111"/>
      <c r="CJ224" s="111"/>
      <c r="CK224" s="111"/>
      <c r="CL224" s="111"/>
      <c r="CM224" s="111"/>
      <c r="CN224" s="111"/>
      <c r="CO224" s="111"/>
      <c r="CP224" s="111"/>
      <c r="CQ224" s="111"/>
      <c r="CR224" s="111"/>
      <c r="CS224" s="111"/>
      <c r="CT224" s="111"/>
      <c r="CU224" s="111"/>
      <c r="CV224" s="111"/>
      <c r="CW224" s="111"/>
      <c r="CX224" s="111"/>
      <c r="CY224" s="111"/>
      <c r="CZ224" s="111"/>
      <c r="DA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  <c r="BW225" s="111"/>
      <c r="BX225" s="111"/>
      <c r="BY225" s="111"/>
      <c r="BZ225" s="111"/>
      <c r="CA225" s="111"/>
      <c r="CB225" s="111"/>
      <c r="CC225" s="111"/>
      <c r="CD225" s="111"/>
      <c r="CE225" s="111"/>
      <c r="CF225" s="111"/>
      <c r="CG225" s="111"/>
      <c r="CH225" s="111"/>
      <c r="CI225" s="111"/>
      <c r="CJ225" s="111"/>
      <c r="CK225" s="111"/>
      <c r="CL225" s="111"/>
      <c r="CM225" s="111"/>
      <c r="CN225" s="111"/>
      <c r="CO225" s="111"/>
      <c r="CP225" s="111"/>
      <c r="CQ225" s="111"/>
      <c r="CR225" s="111"/>
      <c r="CS225" s="111"/>
      <c r="CT225" s="111"/>
      <c r="CU225" s="111"/>
      <c r="CV225" s="111"/>
      <c r="CW225" s="111"/>
      <c r="CX225" s="111"/>
      <c r="CY225" s="111"/>
      <c r="CZ225" s="111"/>
      <c r="DA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  <c r="BW226" s="111"/>
      <c r="BX226" s="111"/>
      <c r="BY226" s="111"/>
      <c r="BZ226" s="111"/>
      <c r="CA226" s="111"/>
      <c r="CB226" s="111"/>
      <c r="CC226" s="111"/>
      <c r="CD226" s="111"/>
      <c r="CE226" s="111"/>
      <c r="CF226" s="111"/>
      <c r="CG226" s="111"/>
      <c r="CH226" s="111"/>
      <c r="CI226" s="111"/>
      <c r="CJ226" s="111"/>
      <c r="CK226" s="111"/>
      <c r="CL226" s="111"/>
      <c r="CM226" s="111"/>
      <c r="CN226" s="111"/>
      <c r="CO226" s="111"/>
      <c r="CP226" s="111"/>
      <c r="CQ226" s="111"/>
      <c r="CR226" s="111"/>
      <c r="CS226" s="111"/>
      <c r="CT226" s="111"/>
      <c r="CU226" s="111"/>
      <c r="CV226" s="111"/>
      <c r="CW226" s="111"/>
      <c r="CX226" s="111"/>
      <c r="CY226" s="111"/>
      <c r="CZ226" s="111"/>
      <c r="DA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  <c r="BW227" s="111"/>
      <c r="BX227" s="111"/>
      <c r="BY227" s="111"/>
      <c r="BZ227" s="111"/>
      <c r="CA227" s="111"/>
      <c r="CB227" s="111"/>
      <c r="CC227" s="111"/>
      <c r="CD227" s="111"/>
      <c r="CE227" s="111"/>
      <c r="CF227" s="111"/>
      <c r="CG227" s="111"/>
      <c r="CH227" s="111"/>
      <c r="CI227" s="111"/>
      <c r="CJ227" s="111"/>
      <c r="CK227" s="111"/>
      <c r="CL227" s="111"/>
      <c r="CM227" s="111"/>
      <c r="CN227" s="111"/>
      <c r="CO227" s="111"/>
      <c r="CP227" s="111"/>
      <c r="CQ227" s="111"/>
      <c r="CR227" s="111"/>
      <c r="CS227" s="111"/>
      <c r="CT227" s="111"/>
      <c r="CU227" s="111"/>
      <c r="CV227" s="111"/>
      <c r="CW227" s="111"/>
      <c r="CX227" s="111"/>
      <c r="CY227" s="111"/>
      <c r="CZ227" s="111"/>
      <c r="DA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  <c r="BW228" s="111"/>
      <c r="BX228" s="111"/>
      <c r="BY228" s="111"/>
      <c r="BZ228" s="111"/>
      <c r="CA228" s="111"/>
      <c r="CB228" s="111"/>
      <c r="CC228" s="111"/>
      <c r="CD228" s="111"/>
      <c r="CE228" s="111"/>
      <c r="CF228" s="111"/>
      <c r="CG228" s="111"/>
      <c r="CH228" s="111"/>
      <c r="CI228" s="111"/>
      <c r="CJ228" s="111"/>
      <c r="CK228" s="111"/>
      <c r="CL228" s="111"/>
      <c r="CM228" s="111"/>
      <c r="CN228" s="111"/>
      <c r="CO228" s="111"/>
      <c r="CP228" s="111"/>
      <c r="CQ228" s="111"/>
      <c r="CR228" s="111"/>
      <c r="CS228" s="111"/>
      <c r="CT228" s="111"/>
      <c r="CU228" s="111"/>
      <c r="CV228" s="111"/>
      <c r="CW228" s="111"/>
      <c r="CX228" s="111"/>
      <c r="CY228" s="111"/>
      <c r="CZ228" s="111"/>
      <c r="DA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  <c r="BW229" s="111"/>
      <c r="BX229" s="111"/>
      <c r="BY229" s="111"/>
      <c r="BZ229" s="111"/>
      <c r="CA229" s="111"/>
      <c r="CB229" s="111"/>
      <c r="CC229" s="111"/>
      <c r="CD229" s="111"/>
      <c r="CE229" s="111"/>
      <c r="CF229" s="111"/>
      <c r="CG229" s="111"/>
      <c r="CH229" s="111"/>
      <c r="CI229" s="111"/>
      <c r="CJ229" s="111"/>
      <c r="CK229" s="111"/>
      <c r="CL229" s="111"/>
      <c r="CM229" s="111"/>
      <c r="CN229" s="111"/>
      <c r="CO229" s="111"/>
      <c r="CP229" s="111"/>
      <c r="CQ229" s="111"/>
      <c r="CR229" s="111"/>
      <c r="CS229" s="111"/>
      <c r="CT229" s="111"/>
      <c r="CU229" s="111"/>
      <c r="CV229" s="111"/>
      <c r="CW229" s="111"/>
      <c r="CX229" s="111"/>
      <c r="CY229" s="111"/>
      <c r="CZ229" s="111"/>
      <c r="DA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  <c r="BW230" s="111"/>
      <c r="BX230" s="111"/>
      <c r="BY230" s="111"/>
      <c r="BZ230" s="111"/>
      <c r="CA230" s="111"/>
      <c r="CB230" s="111"/>
      <c r="CC230" s="111"/>
      <c r="CD230" s="111"/>
      <c r="CE230" s="111"/>
      <c r="CF230" s="111"/>
      <c r="CG230" s="111"/>
      <c r="CH230" s="111"/>
      <c r="CI230" s="111"/>
      <c r="CJ230" s="111"/>
      <c r="CK230" s="111"/>
      <c r="CL230" s="111"/>
      <c r="CM230" s="111"/>
      <c r="CN230" s="111"/>
      <c r="CO230" s="111"/>
      <c r="CP230" s="111"/>
      <c r="CQ230" s="111"/>
      <c r="CR230" s="111"/>
      <c r="CS230" s="111"/>
      <c r="CT230" s="111"/>
      <c r="CU230" s="111"/>
      <c r="CV230" s="111"/>
      <c r="CW230" s="111"/>
      <c r="CX230" s="111"/>
      <c r="CY230" s="111"/>
      <c r="CZ230" s="111"/>
      <c r="DA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  <c r="BO231" s="111"/>
      <c r="BP231" s="111"/>
      <c r="BQ231" s="111"/>
      <c r="BR231" s="111"/>
      <c r="BS231" s="111"/>
      <c r="BT231" s="111"/>
      <c r="BU231" s="111"/>
      <c r="BV231" s="111"/>
      <c r="BW231" s="111"/>
      <c r="BX231" s="111"/>
      <c r="BY231" s="111"/>
      <c r="BZ231" s="111"/>
      <c r="CA231" s="111"/>
      <c r="CB231" s="111"/>
      <c r="CC231" s="111"/>
      <c r="CD231" s="111"/>
      <c r="CE231" s="111"/>
      <c r="CF231" s="111"/>
      <c r="CG231" s="111"/>
      <c r="CH231" s="111"/>
      <c r="CI231" s="111"/>
      <c r="CJ231" s="111"/>
      <c r="CK231" s="111"/>
      <c r="CL231" s="111"/>
      <c r="CM231" s="111"/>
      <c r="CN231" s="111"/>
      <c r="CO231" s="111"/>
      <c r="CP231" s="111"/>
      <c r="CQ231" s="111"/>
      <c r="CR231" s="111"/>
      <c r="CS231" s="111"/>
      <c r="CT231" s="111"/>
      <c r="CU231" s="111"/>
      <c r="CV231" s="111"/>
      <c r="CW231" s="111"/>
      <c r="CX231" s="111"/>
      <c r="CY231" s="111"/>
      <c r="CZ231" s="111"/>
      <c r="DA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  <c r="BO232" s="111"/>
      <c r="BP232" s="111"/>
      <c r="BQ232" s="111"/>
      <c r="BR232" s="111"/>
      <c r="BS232" s="111"/>
      <c r="BT232" s="111"/>
      <c r="BU232" s="111"/>
      <c r="BV232" s="111"/>
      <c r="BW232" s="111"/>
      <c r="BX232" s="111"/>
      <c r="BY232" s="111"/>
      <c r="BZ232" s="111"/>
      <c r="CA232" s="111"/>
      <c r="CB232" s="111"/>
      <c r="CC232" s="111"/>
      <c r="CD232" s="111"/>
      <c r="CE232" s="111"/>
      <c r="CF232" s="111"/>
      <c r="CG232" s="111"/>
      <c r="CH232" s="111"/>
      <c r="CI232" s="111"/>
      <c r="CJ232" s="111"/>
      <c r="CK232" s="111"/>
      <c r="CL232" s="111"/>
      <c r="CM232" s="111"/>
      <c r="CN232" s="111"/>
      <c r="CO232" s="111"/>
      <c r="CP232" s="111"/>
      <c r="CQ232" s="111"/>
      <c r="CR232" s="111"/>
      <c r="CS232" s="111"/>
      <c r="CT232" s="111"/>
      <c r="CU232" s="111"/>
      <c r="CV232" s="111"/>
      <c r="CW232" s="111"/>
      <c r="CX232" s="111"/>
      <c r="CY232" s="111"/>
      <c r="CZ232" s="111"/>
      <c r="DA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1"/>
      <c r="BQ233" s="111"/>
      <c r="BR233" s="111"/>
      <c r="BS233" s="111"/>
      <c r="BT233" s="111"/>
      <c r="BU233" s="111"/>
      <c r="BV233" s="111"/>
      <c r="BW233" s="111"/>
      <c r="BX233" s="111"/>
      <c r="BY233" s="111"/>
      <c r="BZ233" s="111"/>
      <c r="CA233" s="111"/>
      <c r="CB233" s="111"/>
      <c r="CC233" s="111"/>
      <c r="CD233" s="111"/>
      <c r="CE233" s="111"/>
      <c r="CF233" s="111"/>
      <c r="CG233" s="111"/>
      <c r="CH233" s="111"/>
      <c r="CI233" s="111"/>
      <c r="CJ233" s="111"/>
      <c r="CK233" s="111"/>
      <c r="CL233" s="111"/>
      <c r="CM233" s="111"/>
      <c r="CN233" s="111"/>
      <c r="CO233" s="111"/>
      <c r="CP233" s="111"/>
      <c r="CQ233" s="111"/>
      <c r="CR233" s="111"/>
      <c r="CS233" s="111"/>
      <c r="CT233" s="111"/>
      <c r="CU233" s="111"/>
      <c r="CV233" s="111"/>
      <c r="CW233" s="111"/>
      <c r="CX233" s="111"/>
      <c r="CY233" s="111"/>
      <c r="CZ233" s="111"/>
      <c r="DA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1"/>
      <c r="BQ234" s="111"/>
      <c r="BR234" s="111"/>
      <c r="BS234" s="111"/>
      <c r="BT234" s="111"/>
      <c r="BU234" s="111"/>
      <c r="BV234" s="111"/>
      <c r="BW234" s="111"/>
      <c r="BX234" s="111"/>
      <c r="BY234" s="111"/>
      <c r="BZ234" s="111"/>
      <c r="CA234" s="111"/>
      <c r="CB234" s="111"/>
      <c r="CC234" s="111"/>
      <c r="CD234" s="111"/>
      <c r="CE234" s="111"/>
      <c r="CF234" s="111"/>
      <c r="CG234" s="111"/>
      <c r="CH234" s="111"/>
      <c r="CI234" s="111"/>
      <c r="CJ234" s="111"/>
      <c r="CK234" s="111"/>
      <c r="CL234" s="111"/>
      <c r="CM234" s="111"/>
      <c r="CN234" s="111"/>
      <c r="CO234" s="111"/>
      <c r="CP234" s="111"/>
      <c r="CQ234" s="111"/>
      <c r="CR234" s="111"/>
      <c r="CS234" s="111"/>
      <c r="CT234" s="111"/>
      <c r="CU234" s="111"/>
      <c r="CV234" s="111"/>
      <c r="CW234" s="111"/>
      <c r="CX234" s="111"/>
      <c r="CY234" s="111"/>
      <c r="CZ234" s="111"/>
      <c r="DA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1"/>
      <c r="BQ235" s="111"/>
      <c r="BR235" s="111"/>
      <c r="BS235" s="111"/>
      <c r="BT235" s="111"/>
      <c r="BU235" s="111"/>
      <c r="BV235" s="111"/>
      <c r="BW235" s="111"/>
      <c r="BX235" s="111"/>
      <c r="BY235" s="111"/>
      <c r="BZ235" s="111"/>
      <c r="CA235" s="111"/>
      <c r="CB235" s="111"/>
      <c r="CC235" s="111"/>
      <c r="CD235" s="111"/>
      <c r="CE235" s="111"/>
      <c r="CF235" s="111"/>
      <c r="CG235" s="111"/>
      <c r="CH235" s="111"/>
      <c r="CI235" s="111"/>
      <c r="CJ235" s="111"/>
      <c r="CK235" s="111"/>
      <c r="CL235" s="111"/>
      <c r="CM235" s="111"/>
      <c r="CN235" s="111"/>
      <c r="CO235" s="111"/>
      <c r="CP235" s="111"/>
      <c r="CQ235" s="111"/>
      <c r="CR235" s="111"/>
      <c r="CS235" s="111"/>
      <c r="CT235" s="111"/>
      <c r="CU235" s="111"/>
      <c r="CV235" s="111"/>
      <c r="CW235" s="111"/>
      <c r="CX235" s="111"/>
      <c r="CY235" s="111"/>
      <c r="CZ235" s="111"/>
      <c r="DA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1"/>
      <c r="BQ236" s="111"/>
      <c r="BR236" s="111"/>
      <c r="BS236" s="111"/>
      <c r="BT236" s="111"/>
      <c r="BU236" s="111"/>
      <c r="BV236" s="111"/>
      <c r="BW236" s="111"/>
      <c r="BX236" s="111"/>
      <c r="BY236" s="111"/>
      <c r="BZ236" s="111"/>
      <c r="CA236" s="111"/>
      <c r="CB236" s="111"/>
      <c r="CC236" s="111"/>
      <c r="CD236" s="111"/>
      <c r="CE236" s="111"/>
      <c r="CF236" s="111"/>
      <c r="CG236" s="111"/>
      <c r="CH236" s="111"/>
      <c r="CI236" s="111"/>
      <c r="CJ236" s="111"/>
      <c r="CK236" s="111"/>
      <c r="CL236" s="111"/>
      <c r="CM236" s="111"/>
      <c r="CN236" s="111"/>
      <c r="CO236" s="111"/>
      <c r="CP236" s="111"/>
      <c r="CQ236" s="111"/>
      <c r="CR236" s="111"/>
      <c r="CS236" s="111"/>
      <c r="CT236" s="111"/>
      <c r="CU236" s="111"/>
      <c r="CV236" s="111"/>
      <c r="CW236" s="111"/>
      <c r="CX236" s="111"/>
      <c r="CY236" s="111"/>
      <c r="CZ236" s="111"/>
      <c r="DA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1"/>
      <c r="BZ237" s="111"/>
      <c r="CA237" s="111"/>
      <c r="CB237" s="111"/>
      <c r="CC237" s="111"/>
      <c r="CD237" s="111"/>
      <c r="CE237" s="111"/>
      <c r="CF237" s="111"/>
      <c r="CG237" s="111"/>
      <c r="CH237" s="111"/>
      <c r="CI237" s="111"/>
      <c r="CJ237" s="111"/>
      <c r="CK237" s="111"/>
      <c r="CL237" s="111"/>
      <c r="CM237" s="111"/>
      <c r="CN237" s="111"/>
      <c r="CO237" s="111"/>
      <c r="CP237" s="111"/>
      <c r="CQ237" s="111"/>
      <c r="CR237" s="111"/>
      <c r="CS237" s="111"/>
      <c r="CT237" s="111"/>
      <c r="CU237" s="111"/>
      <c r="CV237" s="111"/>
      <c r="CW237" s="111"/>
      <c r="CX237" s="111"/>
      <c r="CY237" s="111"/>
      <c r="CZ237" s="111"/>
      <c r="DA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1"/>
      <c r="BZ238" s="111"/>
      <c r="CA238" s="111"/>
      <c r="CB238" s="111"/>
      <c r="CC238" s="111"/>
      <c r="CD238" s="111"/>
      <c r="CE238" s="111"/>
      <c r="CF238" s="111"/>
      <c r="CG238" s="111"/>
      <c r="CH238" s="111"/>
      <c r="CI238" s="111"/>
      <c r="CJ238" s="111"/>
      <c r="CK238" s="111"/>
      <c r="CL238" s="111"/>
      <c r="CM238" s="111"/>
      <c r="CN238" s="111"/>
      <c r="CO238" s="111"/>
      <c r="CP238" s="111"/>
      <c r="CQ238" s="111"/>
      <c r="CR238" s="111"/>
      <c r="CS238" s="111"/>
      <c r="CT238" s="111"/>
      <c r="CU238" s="111"/>
      <c r="CV238" s="111"/>
      <c r="CW238" s="111"/>
      <c r="CX238" s="111"/>
      <c r="CY238" s="111"/>
      <c r="CZ238" s="111"/>
      <c r="DA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  <c r="BW239" s="111"/>
      <c r="BX239" s="111"/>
      <c r="BY239" s="111"/>
      <c r="BZ239" s="111"/>
      <c r="CA239" s="111"/>
      <c r="CB239" s="111"/>
      <c r="CC239" s="111"/>
      <c r="CD239" s="111"/>
      <c r="CE239" s="111"/>
      <c r="CF239" s="111"/>
      <c r="CG239" s="111"/>
      <c r="CH239" s="111"/>
      <c r="CI239" s="111"/>
      <c r="CJ239" s="111"/>
      <c r="CK239" s="111"/>
      <c r="CL239" s="111"/>
      <c r="CM239" s="111"/>
      <c r="CN239" s="111"/>
      <c r="CO239" s="111"/>
      <c r="CP239" s="111"/>
      <c r="CQ239" s="111"/>
      <c r="CR239" s="111"/>
      <c r="CS239" s="111"/>
      <c r="CT239" s="111"/>
      <c r="CU239" s="111"/>
      <c r="CV239" s="111"/>
      <c r="CW239" s="111"/>
      <c r="CX239" s="111"/>
      <c r="CY239" s="111"/>
      <c r="CZ239" s="111"/>
      <c r="DA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  <c r="BQ240" s="111"/>
      <c r="BR240" s="111"/>
      <c r="BS240" s="111"/>
      <c r="BT240" s="111"/>
      <c r="BU240" s="111"/>
      <c r="BV240" s="111"/>
      <c r="BW240" s="111"/>
      <c r="BX240" s="111"/>
      <c r="BY240" s="111"/>
      <c r="BZ240" s="111"/>
      <c r="CA240" s="111"/>
      <c r="CB240" s="111"/>
      <c r="CC240" s="111"/>
      <c r="CD240" s="111"/>
      <c r="CE240" s="111"/>
      <c r="CF240" s="111"/>
      <c r="CG240" s="111"/>
      <c r="CH240" s="111"/>
      <c r="CI240" s="111"/>
      <c r="CJ240" s="111"/>
      <c r="CK240" s="111"/>
      <c r="CL240" s="111"/>
      <c r="CM240" s="111"/>
      <c r="CN240" s="111"/>
      <c r="CO240" s="111"/>
      <c r="CP240" s="111"/>
      <c r="CQ240" s="111"/>
      <c r="CR240" s="111"/>
      <c r="CS240" s="111"/>
      <c r="CT240" s="111"/>
      <c r="CU240" s="111"/>
      <c r="CV240" s="111"/>
      <c r="CW240" s="111"/>
      <c r="CX240" s="111"/>
      <c r="CY240" s="111"/>
      <c r="CZ240" s="111"/>
      <c r="DA240" s="11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P1:CA1"/>
    <mergeCell ref="BV20:BZ20"/>
    <mergeCell ref="C1:N1"/>
    <mergeCell ref="P1:AA1"/>
    <mergeCell ref="AC1:AN1"/>
    <mergeCell ref="AP1:BA1"/>
    <mergeCell ref="BC1:BN1"/>
    <mergeCell ref="CC1:CN1"/>
    <mergeCell ref="CP1:DA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11"/>
    <col customWidth="1" min="2" max="6" width="11.22"/>
  </cols>
  <sheetData>
    <row r="1">
      <c r="A1" s="177" t="s">
        <v>170</v>
      </c>
    </row>
    <row r="2">
      <c r="A2" s="178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</row>
    <row r="3">
      <c r="A3" s="111" t="s">
        <v>172</v>
      </c>
      <c r="B3" s="180">
        <v>0.68</v>
      </c>
      <c r="C3" s="180">
        <v>0.8</v>
      </c>
      <c r="D3" s="180">
        <v>0.75</v>
      </c>
      <c r="E3" s="180">
        <v>0.82</v>
      </c>
      <c r="F3" s="180">
        <v>0.82</v>
      </c>
      <c r="G3" s="180">
        <v>0.83</v>
      </c>
      <c r="H3" s="180">
        <v>0.93</v>
      </c>
      <c r="I3" s="180">
        <v>0.94</v>
      </c>
      <c r="J3" s="180">
        <v>0.82</v>
      </c>
      <c r="K3" s="180">
        <v>0.84</v>
      </c>
      <c r="L3" s="180">
        <v>0.68</v>
      </c>
      <c r="M3" s="180">
        <v>0.79</v>
      </c>
    </row>
    <row r="4">
      <c r="A4" s="181" t="s">
        <v>173</v>
      </c>
    </row>
    <row r="5">
      <c r="A5" s="111" t="s">
        <v>174</v>
      </c>
      <c r="B5" s="65">
        <v>6600.0</v>
      </c>
      <c r="C5" s="65">
        <v>7480.0</v>
      </c>
      <c r="D5" s="65">
        <v>8100.0</v>
      </c>
      <c r="E5" s="65">
        <v>7900.0</v>
      </c>
      <c r="F5" s="65">
        <v>7900.0</v>
      </c>
      <c r="G5" s="65">
        <v>8000.0</v>
      </c>
      <c r="H5" s="65">
        <v>8700.0</v>
      </c>
      <c r="I5" s="65">
        <v>8700.0</v>
      </c>
      <c r="J5" s="65">
        <v>7900.0</v>
      </c>
      <c r="K5" s="65">
        <v>7900.0</v>
      </c>
      <c r="L5" s="65">
        <v>6600.0</v>
      </c>
      <c r="M5" s="65">
        <v>7480.0</v>
      </c>
    </row>
    <row r="6">
      <c r="A6" s="157"/>
      <c r="B6" s="182">
        <f t="shared" ref="B6:M6" si="1">B5/25</f>
        <v>264</v>
      </c>
      <c r="C6" s="182">
        <f t="shared" si="1"/>
        <v>299.2</v>
      </c>
      <c r="D6" s="182">
        <f t="shared" si="1"/>
        <v>324</v>
      </c>
      <c r="E6" s="182">
        <f t="shared" si="1"/>
        <v>316</v>
      </c>
      <c r="F6" s="182">
        <f t="shared" si="1"/>
        <v>316</v>
      </c>
      <c r="G6" s="182">
        <f t="shared" si="1"/>
        <v>320</v>
      </c>
      <c r="H6" s="182">
        <f t="shared" si="1"/>
        <v>348</v>
      </c>
      <c r="I6" s="182">
        <f t="shared" si="1"/>
        <v>348</v>
      </c>
      <c r="J6" s="182">
        <f t="shared" si="1"/>
        <v>316</v>
      </c>
      <c r="K6" s="182">
        <f t="shared" si="1"/>
        <v>316</v>
      </c>
      <c r="L6" s="182">
        <f t="shared" si="1"/>
        <v>264</v>
      </c>
      <c r="M6" s="182">
        <f t="shared" si="1"/>
        <v>299.2</v>
      </c>
    </row>
    <row r="7">
      <c r="A7" s="183"/>
      <c r="B7" s="127"/>
      <c r="C7" s="127"/>
      <c r="D7" s="127"/>
      <c r="E7" s="127"/>
      <c r="F7" s="127"/>
      <c r="G7" s="127"/>
      <c r="H7" s="127"/>
      <c r="I7" s="127"/>
    </row>
    <row r="8">
      <c r="A8" s="178" t="s">
        <v>175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</row>
    <row r="9">
      <c r="A9" s="111" t="s">
        <v>172</v>
      </c>
      <c r="B9" s="180">
        <v>0.68</v>
      </c>
      <c r="C9" s="180">
        <v>0.8</v>
      </c>
      <c r="D9" s="180">
        <v>0.75</v>
      </c>
      <c r="E9" s="180">
        <v>0.82</v>
      </c>
      <c r="F9" s="180">
        <v>0.82</v>
      </c>
      <c r="G9" s="180">
        <v>0.83</v>
      </c>
      <c r="H9" s="180">
        <v>0.93</v>
      </c>
      <c r="I9" s="180">
        <v>0.94</v>
      </c>
      <c r="J9" s="180">
        <v>0.82</v>
      </c>
      <c r="K9" s="180">
        <v>0.84</v>
      </c>
      <c r="L9" s="180">
        <v>0.68</v>
      </c>
      <c r="M9" s="180">
        <v>0.79</v>
      </c>
    </row>
    <row r="10">
      <c r="A10" s="181" t="s">
        <v>173</v>
      </c>
      <c r="B10" s="15">
        <v>2500.0</v>
      </c>
      <c r="C10" s="15">
        <v>2600.0</v>
      </c>
      <c r="D10" s="15">
        <v>2550.0</v>
      </c>
      <c r="E10" s="15">
        <v>2650.0</v>
      </c>
      <c r="F10" s="15">
        <v>2650.0</v>
      </c>
      <c r="G10" s="15">
        <v>2650.0</v>
      </c>
      <c r="H10" s="15">
        <v>3100.0</v>
      </c>
      <c r="I10" s="15">
        <v>3100.0</v>
      </c>
      <c r="J10" s="15">
        <v>2650.0</v>
      </c>
      <c r="K10" s="15">
        <v>2650.0</v>
      </c>
      <c r="L10" s="15">
        <v>2500.0</v>
      </c>
      <c r="M10" s="15">
        <v>2550.0</v>
      </c>
    </row>
    <row r="11">
      <c r="A11" s="185" t="s">
        <v>176</v>
      </c>
      <c r="B11" s="65">
        <f t="shared" ref="B11:M11" si="2">B10*5.5</f>
        <v>13750</v>
      </c>
      <c r="C11" s="65">
        <f t="shared" si="2"/>
        <v>14300</v>
      </c>
      <c r="D11" s="65">
        <f t="shared" si="2"/>
        <v>14025</v>
      </c>
      <c r="E11" s="65">
        <f t="shared" si="2"/>
        <v>14575</v>
      </c>
      <c r="F11" s="65">
        <f t="shared" si="2"/>
        <v>14575</v>
      </c>
      <c r="G11" s="65">
        <f t="shared" si="2"/>
        <v>14575</v>
      </c>
      <c r="H11" s="65">
        <f t="shared" si="2"/>
        <v>17050</v>
      </c>
      <c r="I11" s="65">
        <f t="shared" si="2"/>
        <v>17050</v>
      </c>
      <c r="J11" s="65">
        <f t="shared" si="2"/>
        <v>14575</v>
      </c>
      <c r="K11" s="65">
        <f t="shared" si="2"/>
        <v>14575</v>
      </c>
      <c r="L11" s="65">
        <f t="shared" si="2"/>
        <v>13750</v>
      </c>
      <c r="M11" s="65">
        <f t="shared" si="2"/>
        <v>14025</v>
      </c>
    </row>
    <row r="12">
      <c r="A12" s="111"/>
      <c r="B12" s="186">
        <f t="shared" ref="B12:M12" si="3">B11/25</f>
        <v>550</v>
      </c>
      <c r="C12" s="186">
        <f t="shared" si="3"/>
        <v>572</v>
      </c>
      <c r="D12" s="186">
        <f t="shared" si="3"/>
        <v>561</v>
      </c>
      <c r="E12" s="186">
        <f t="shared" si="3"/>
        <v>583</v>
      </c>
      <c r="F12" s="186">
        <f t="shared" si="3"/>
        <v>583</v>
      </c>
      <c r="G12" s="186">
        <f t="shared" si="3"/>
        <v>583</v>
      </c>
      <c r="H12" s="186">
        <f t="shared" si="3"/>
        <v>682</v>
      </c>
      <c r="I12" s="186">
        <f t="shared" si="3"/>
        <v>682</v>
      </c>
      <c r="J12" s="186">
        <f t="shared" si="3"/>
        <v>583</v>
      </c>
      <c r="K12" s="186">
        <f t="shared" si="3"/>
        <v>583</v>
      </c>
      <c r="L12" s="186">
        <f t="shared" si="3"/>
        <v>550</v>
      </c>
      <c r="M12" s="186">
        <f t="shared" si="3"/>
        <v>561</v>
      </c>
    </row>
    <row r="13">
      <c r="A13" s="111"/>
      <c r="B13" s="180"/>
      <c r="C13" s="180"/>
      <c r="D13" s="180"/>
      <c r="E13" s="180"/>
      <c r="F13" s="180"/>
      <c r="G13" s="180"/>
      <c r="H13" s="180"/>
      <c r="I13" s="180"/>
      <c r="J13" s="180"/>
      <c r="K13" s="180"/>
    </row>
    <row r="14">
      <c r="A14" s="178" t="s">
        <v>177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</row>
    <row r="15">
      <c r="A15" s="111" t="s">
        <v>172</v>
      </c>
      <c r="B15" s="180">
        <v>0.68</v>
      </c>
      <c r="C15" s="180">
        <v>0.8</v>
      </c>
      <c r="D15" s="180">
        <v>0.75</v>
      </c>
      <c r="E15" s="180">
        <v>0.82</v>
      </c>
      <c r="F15" s="180">
        <v>0.82</v>
      </c>
      <c r="G15" s="180">
        <v>0.83</v>
      </c>
      <c r="H15" s="180">
        <v>0.93</v>
      </c>
      <c r="I15" s="180">
        <v>0.94</v>
      </c>
      <c r="J15" s="180">
        <v>0.82</v>
      </c>
      <c r="K15" s="180">
        <v>0.84</v>
      </c>
      <c r="L15" s="180">
        <v>0.68</v>
      </c>
      <c r="M15" s="180">
        <v>0.79</v>
      </c>
    </row>
    <row r="16">
      <c r="A16" s="181" t="s">
        <v>173</v>
      </c>
      <c r="B16" s="15">
        <v>33.0</v>
      </c>
      <c r="C16" s="15">
        <v>20.0</v>
      </c>
      <c r="D16" s="15">
        <v>19.0</v>
      </c>
      <c r="E16" s="15">
        <v>8.0</v>
      </c>
      <c r="F16" s="15">
        <v>6.0</v>
      </c>
      <c r="G16" s="15">
        <v>2.0</v>
      </c>
      <c r="H16" s="15">
        <v>3.0</v>
      </c>
      <c r="I16" s="15">
        <v>3.0</v>
      </c>
      <c r="J16" s="15">
        <v>2.0</v>
      </c>
      <c r="K16" s="15">
        <v>13.0</v>
      </c>
      <c r="L16" s="15">
        <v>24.0</v>
      </c>
      <c r="M16" s="15">
        <v>25.0</v>
      </c>
    </row>
    <row r="17">
      <c r="A17" s="91" t="s">
        <v>178</v>
      </c>
      <c r="B17" s="65">
        <f t="shared" ref="B17:M17" si="4">B16*749</f>
        <v>24717</v>
      </c>
      <c r="C17" s="65">
        <f t="shared" si="4"/>
        <v>14980</v>
      </c>
      <c r="D17" s="65">
        <f t="shared" si="4"/>
        <v>14231</v>
      </c>
      <c r="E17" s="65">
        <f t="shared" si="4"/>
        <v>5992</v>
      </c>
      <c r="F17" s="65">
        <f t="shared" si="4"/>
        <v>4494</v>
      </c>
      <c r="G17" s="65">
        <f t="shared" si="4"/>
        <v>1498</v>
      </c>
      <c r="H17" s="65">
        <f t="shared" si="4"/>
        <v>2247</v>
      </c>
      <c r="I17" s="65">
        <f t="shared" si="4"/>
        <v>2247</v>
      </c>
      <c r="J17" s="65">
        <f t="shared" si="4"/>
        <v>1498</v>
      </c>
      <c r="K17" s="65">
        <f t="shared" si="4"/>
        <v>9737</v>
      </c>
      <c r="L17" s="65">
        <f t="shared" si="4"/>
        <v>17976</v>
      </c>
      <c r="M17" s="65">
        <f t="shared" si="4"/>
        <v>18725</v>
      </c>
    </row>
    <row r="18">
      <c r="A18" s="111"/>
      <c r="B18" s="182">
        <f t="shared" ref="B18:M18" si="5">B17/25</f>
        <v>988.68</v>
      </c>
      <c r="C18" s="182">
        <f t="shared" si="5"/>
        <v>599.2</v>
      </c>
      <c r="D18" s="182">
        <f t="shared" si="5"/>
        <v>569.24</v>
      </c>
      <c r="E18" s="182">
        <f t="shared" si="5"/>
        <v>239.68</v>
      </c>
      <c r="F18" s="182">
        <f t="shared" si="5"/>
        <v>179.76</v>
      </c>
      <c r="G18" s="182">
        <f t="shared" si="5"/>
        <v>59.92</v>
      </c>
      <c r="H18" s="182">
        <f t="shared" si="5"/>
        <v>89.88</v>
      </c>
      <c r="I18" s="182">
        <f t="shared" si="5"/>
        <v>89.88</v>
      </c>
      <c r="J18" s="182">
        <f t="shared" si="5"/>
        <v>59.92</v>
      </c>
      <c r="K18" s="182">
        <f t="shared" si="5"/>
        <v>389.48</v>
      </c>
      <c r="L18" s="182">
        <f t="shared" si="5"/>
        <v>719.04</v>
      </c>
      <c r="M18" s="182">
        <f t="shared" si="5"/>
        <v>749</v>
      </c>
    </row>
    <row r="19">
      <c r="A19" s="111"/>
    </row>
    <row r="20">
      <c r="A20" s="111"/>
    </row>
    <row r="21" ht="15.75" customHeight="1">
      <c r="A21" s="178" t="s">
        <v>179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ht="15.75" customHeight="1">
      <c r="A22" s="111" t="s">
        <v>180</v>
      </c>
      <c r="B22" s="65">
        <f t="shared" ref="B22:M22" si="6">14580/12</f>
        <v>1215</v>
      </c>
      <c r="C22" s="65">
        <f t="shared" si="6"/>
        <v>1215</v>
      </c>
      <c r="D22" s="65">
        <f t="shared" si="6"/>
        <v>1215</v>
      </c>
      <c r="E22" s="65">
        <f t="shared" si="6"/>
        <v>1215</v>
      </c>
      <c r="F22" s="65">
        <f t="shared" si="6"/>
        <v>1215</v>
      </c>
      <c r="G22" s="65">
        <f t="shared" si="6"/>
        <v>1215</v>
      </c>
      <c r="H22" s="65">
        <f t="shared" si="6"/>
        <v>1215</v>
      </c>
      <c r="I22" s="65">
        <f t="shared" si="6"/>
        <v>1215</v>
      </c>
      <c r="J22" s="65">
        <f t="shared" si="6"/>
        <v>1215</v>
      </c>
      <c r="K22" s="65">
        <f t="shared" si="6"/>
        <v>1215</v>
      </c>
      <c r="L22" s="65">
        <f t="shared" si="6"/>
        <v>1215</v>
      </c>
      <c r="M22" s="65">
        <f t="shared" si="6"/>
        <v>1215</v>
      </c>
    </row>
    <row r="23" ht="15.75" customHeight="1">
      <c r="A23" s="111" t="s">
        <v>181</v>
      </c>
      <c r="B23" s="65">
        <f t="shared" ref="B23:M23" si="7">4860/12</f>
        <v>405</v>
      </c>
      <c r="C23" s="65">
        <f t="shared" si="7"/>
        <v>405</v>
      </c>
      <c r="D23" s="65">
        <f t="shared" si="7"/>
        <v>405</v>
      </c>
      <c r="E23" s="65">
        <f t="shared" si="7"/>
        <v>405</v>
      </c>
      <c r="F23" s="65">
        <f t="shared" si="7"/>
        <v>405</v>
      </c>
      <c r="G23" s="65">
        <f t="shared" si="7"/>
        <v>405</v>
      </c>
      <c r="H23" s="65">
        <f t="shared" si="7"/>
        <v>405</v>
      </c>
      <c r="I23" s="65">
        <f t="shared" si="7"/>
        <v>405</v>
      </c>
      <c r="J23" s="65">
        <f t="shared" si="7"/>
        <v>405</v>
      </c>
      <c r="K23" s="65">
        <f t="shared" si="7"/>
        <v>405</v>
      </c>
      <c r="L23" s="65">
        <f t="shared" si="7"/>
        <v>405</v>
      </c>
      <c r="M23" s="65">
        <f t="shared" si="7"/>
        <v>405</v>
      </c>
    </row>
    <row r="24" ht="15.75" customHeight="1">
      <c r="A24" s="111" t="s">
        <v>182</v>
      </c>
      <c r="B24" s="65">
        <f t="shared" ref="B24:M24" si="8">9202/12</f>
        <v>766.8333333</v>
      </c>
      <c r="C24" s="65">
        <f t="shared" si="8"/>
        <v>766.8333333</v>
      </c>
      <c r="D24" s="65">
        <f t="shared" si="8"/>
        <v>766.8333333</v>
      </c>
      <c r="E24" s="65">
        <f t="shared" si="8"/>
        <v>766.8333333</v>
      </c>
      <c r="F24" s="65">
        <f t="shared" si="8"/>
        <v>766.8333333</v>
      </c>
      <c r="G24" s="65">
        <f t="shared" si="8"/>
        <v>766.8333333</v>
      </c>
      <c r="H24" s="65">
        <f t="shared" si="8"/>
        <v>766.8333333</v>
      </c>
      <c r="I24" s="65">
        <f t="shared" si="8"/>
        <v>766.8333333</v>
      </c>
      <c r="J24" s="65">
        <f t="shared" si="8"/>
        <v>766.8333333</v>
      </c>
      <c r="K24" s="65">
        <f t="shared" si="8"/>
        <v>766.8333333</v>
      </c>
      <c r="L24" s="65">
        <f t="shared" si="8"/>
        <v>766.8333333</v>
      </c>
      <c r="M24" s="65">
        <f t="shared" si="8"/>
        <v>766.8333333</v>
      </c>
    </row>
    <row r="25" ht="15.75" customHeight="1">
      <c r="A25" s="111"/>
      <c r="B25" s="65">
        <f t="shared" ref="B25:M25" si="9">SUM(B22:B24)</f>
        <v>2386.833333</v>
      </c>
      <c r="C25" s="65">
        <f t="shared" si="9"/>
        <v>2386.833333</v>
      </c>
      <c r="D25" s="65">
        <f t="shared" si="9"/>
        <v>2386.833333</v>
      </c>
      <c r="E25" s="65">
        <f t="shared" si="9"/>
        <v>2386.833333</v>
      </c>
      <c r="F25" s="65">
        <f t="shared" si="9"/>
        <v>2386.833333</v>
      </c>
      <c r="G25" s="65">
        <f t="shared" si="9"/>
        <v>2386.833333</v>
      </c>
      <c r="H25" s="65">
        <f t="shared" si="9"/>
        <v>2386.833333</v>
      </c>
      <c r="I25" s="65">
        <f t="shared" si="9"/>
        <v>2386.833333</v>
      </c>
      <c r="J25" s="65">
        <f t="shared" si="9"/>
        <v>2386.833333</v>
      </c>
      <c r="K25" s="65">
        <f t="shared" si="9"/>
        <v>2386.833333</v>
      </c>
      <c r="L25" s="65">
        <f t="shared" si="9"/>
        <v>2386.833333</v>
      </c>
      <c r="M25" s="65">
        <f t="shared" si="9"/>
        <v>2386.833333</v>
      </c>
    </row>
    <row r="26" ht="15.75" customHeight="1">
      <c r="A26" s="111"/>
      <c r="B26" s="182">
        <f t="shared" ref="B26:M26" si="10">B25/25</f>
        <v>95.47333333</v>
      </c>
      <c r="C26" s="182">
        <f t="shared" si="10"/>
        <v>95.47333333</v>
      </c>
      <c r="D26" s="182">
        <f t="shared" si="10"/>
        <v>95.47333333</v>
      </c>
      <c r="E26" s="182">
        <f t="shared" si="10"/>
        <v>95.47333333</v>
      </c>
      <c r="F26" s="182">
        <f t="shared" si="10"/>
        <v>95.47333333</v>
      </c>
      <c r="G26" s="182">
        <f t="shared" si="10"/>
        <v>95.47333333</v>
      </c>
      <c r="H26" s="182">
        <f t="shared" si="10"/>
        <v>95.47333333</v>
      </c>
      <c r="I26" s="182">
        <f t="shared" si="10"/>
        <v>95.47333333</v>
      </c>
      <c r="J26" s="182">
        <f t="shared" si="10"/>
        <v>95.47333333</v>
      </c>
      <c r="K26" s="182">
        <f t="shared" si="10"/>
        <v>95.47333333</v>
      </c>
      <c r="L26" s="182">
        <f t="shared" si="10"/>
        <v>95.47333333</v>
      </c>
      <c r="M26" s="182">
        <f t="shared" si="10"/>
        <v>95.47333333</v>
      </c>
    </row>
    <row r="27" ht="15.75" customHeight="1"/>
    <row r="28" ht="15.75" customHeight="1"/>
    <row r="29" ht="15.75" customHeight="1"/>
    <row r="30" ht="15.75" customHeight="1">
      <c r="A30" s="177" t="s">
        <v>183</v>
      </c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</row>
    <row r="31" ht="15.75" customHeight="1">
      <c r="A31" s="178" t="s">
        <v>171</v>
      </c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</row>
    <row r="32" ht="15.75" customHeight="1">
      <c r="A32" s="111" t="s">
        <v>172</v>
      </c>
      <c r="B32" s="180">
        <v>0.68</v>
      </c>
      <c r="C32" s="180">
        <v>0.8</v>
      </c>
      <c r="D32" s="180">
        <v>0.66</v>
      </c>
      <c r="E32" s="180">
        <v>0.83</v>
      </c>
      <c r="F32" s="180">
        <v>0.8</v>
      </c>
      <c r="G32" s="180">
        <v>0.7</v>
      </c>
      <c r="H32" s="180">
        <v>0.9</v>
      </c>
      <c r="I32" s="180">
        <v>0.92</v>
      </c>
      <c r="J32" s="180">
        <v>0.79</v>
      </c>
      <c r="K32" s="180">
        <v>0.82</v>
      </c>
      <c r="L32" s="180">
        <v>0.67</v>
      </c>
      <c r="M32" s="180">
        <v>0.78</v>
      </c>
    </row>
    <row r="33" ht="15.75" customHeight="1">
      <c r="A33" s="181" t="s">
        <v>173</v>
      </c>
      <c r="B33" s="130">
        <v>100.0</v>
      </c>
      <c r="C33" s="130">
        <v>115.0</v>
      </c>
      <c r="D33" s="130">
        <v>100.0</v>
      </c>
      <c r="E33" s="130">
        <v>130.0</v>
      </c>
      <c r="F33" s="130">
        <v>115.0</v>
      </c>
      <c r="G33" s="130">
        <v>105.0</v>
      </c>
      <c r="H33" s="130">
        <v>140.0</v>
      </c>
      <c r="I33" s="130">
        <v>140.0</v>
      </c>
      <c r="J33" s="130">
        <v>115.0</v>
      </c>
      <c r="K33" s="130">
        <v>125.0</v>
      </c>
      <c r="L33" s="15">
        <v>105.0</v>
      </c>
      <c r="M33" s="15">
        <v>110.0</v>
      </c>
      <c r="N33" s="15">
        <v>1350.0</v>
      </c>
    </row>
    <row r="34" ht="15.75" customHeight="1">
      <c r="A34" s="111" t="s">
        <v>184</v>
      </c>
      <c r="B34" s="65">
        <f t="shared" ref="B34:M34" si="11">B33*105</f>
        <v>10500</v>
      </c>
      <c r="C34" s="65">
        <f t="shared" si="11"/>
        <v>12075</v>
      </c>
      <c r="D34" s="65">
        <f t="shared" si="11"/>
        <v>10500</v>
      </c>
      <c r="E34" s="65">
        <f t="shared" si="11"/>
        <v>13650</v>
      </c>
      <c r="F34" s="65">
        <f t="shared" si="11"/>
        <v>12075</v>
      </c>
      <c r="G34" s="65">
        <f t="shared" si="11"/>
        <v>11025</v>
      </c>
      <c r="H34" s="65">
        <f t="shared" si="11"/>
        <v>14700</v>
      </c>
      <c r="I34" s="65">
        <f t="shared" si="11"/>
        <v>14700</v>
      </c>
      <c r="J34" s="65">
        <f t="shared" si="11"/>
        <v>12075</v>
      </c>
      <c r="K34" s="65">
        <f t="shared" si="11"/>
        <v>13125</v>
      </c>
      <c r="L34" s="65">
        <f t="shared" si="11"/>
        <v>11025</v>
      </c>
      <c r="M34" s="65">
        <f t="shared" si="11"/>
        <v>11550</v>
      </c>
    </row>
    <row r="35" ht="15.75" customHeight="1">
      <c r="A35" s="157"/>
      <c r="B35" s="182">
        <f t="shared" ref="B35:M35" si="12">B34/25</f>
        <v>420</v>
      </c>
      <c r="C35" s="182">
        <f t="shared" si="12"/>
        <v>483</v>
      </c>
      <c r="D35" s="182">
        <f t="shared" si="12"/>
        <v>420</v>
      </c>
      <c r="E35" s="182">
        <f t="shared" si="12"/>
        <v>546</v>
      </c>
      <c r="F35" s="182">
        <f t="shared" si="12"/>
        <v>483</v>
      </c>
      <c r="G35" s="182">
        <f t="shared" si="12"/>
        <v>441</v>
      </c>
      <c r="H35" s="182">
        <f t="shared" si="12"/>
        <v>588</v>
      </c>
      <c r="I35" s="182">
        <f t="shared" si="12"/>
        <v>588</v>
      </c>
      <c r="J35" s="182">
        <f t="shared" si="12"/>
        <v>483</v>
      </c>
      <c r="K35" s="182">
        <f t="shared" si="12"/>
        <v>525</v>
      </c>
      <c r="L35" s="182">
        <f t="shared" si="12"/>
        <v>441</v>
      </c>
      <c r="M35" s="182">
        <f t="shared" si="12"/>
        <v>462</v>
      </c>
      <c r="N35" s="15">
        <v>6696.0</v>
      </c>
    </row>
    <row r="36" ht="15.75" customHeight="1">
      <c r="A36" s="183"/>
      <c r="B36" s="127"/>
      <c r="C36" s="127"/>
      <c r="D36" s="127"/>
      <c r="E36" s="127"/>
      <c r="F36" s="127"/>
      <c r="G36" s="127"/>
      <c r="H36" s="127"/>
      <c r="I36" s="127"/>
    </row>
    <row r="37" ht="15.75" customHeight="1">
      <c r="A37" s="178" t="s">
        <v>185</v>
      </c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84"/>
      <c r="M37" s="184"/>
    </row>
    <row r="38" ht="15.75" customHeight="1">
      <c r="A38" s="111" t="s">
        <v>172</v>
      </c>
      <c r="B38" s="180">
        <v>0.68</v>
      </c>
      <c r="C38" s="180">
        <v>0.8</v>
      </c>
      <c r="D38" s="180">
        <v>0.66</v>
      </c>
      <c r="E38" s="180">
        <v>0.83</v>
      </c>
      <c r="F38" s="180">
        <v>0.8</v>
      </c>
      <c r="G38" s="180">
        <v>0.7</v>
      </c>
      <c r="H38" s="180">
        <v>0.9</v>
      </c>
      <c r="I38" s="180">
        <v>0.92</v>
      </c>
      <c r="J38" s="180">
        <v>0.79</v>
      </c>
      <c r="K38" s="180">
        <v>0.82</v>
      </c>
      <c r="L38" s="180">
        <v>0.67</v>
      </c>
      <c r="M38" s="180">
        <v>0.78</v>
      </c>
    </row>
    <row r="39" ht="15.75" customHeight="1">
      <c r="A39" s="181" t="s">
        <v>173</v>
      </c>
      <c r="B39" s="15">
        <v>4100.0</v>
      </c>
      <c r="C39" s="15">
        <v>4550.0</v>
      </c>
      <c r="D39" s="15">
        <v>4050.0</v>
      </c>
      <c r="E39" s="15">
        <v>4600.0</v>
      </c>
      <c r="F39" s="15">
        <v>4550.0</v>
      </c>
      <c r="G39" s="15">
        <v>4200.0</v>
      </c>
      <c r="H39" s="15">
        <v>4750.0</v>
      </c>
      <c r="I39" s="15">
        <v>4800.0</v>
      </c>
      <c r="J39" s="15">
        <v>4550.0</v>
      </c>
      <c r="K39" s="15">
        <v>4650.0</v>
      </c>
      <c r="L39" s="15">
        <v>4100.0</v>
      </c>
      <c r="M39" s="15">
        <v>4550.0</v>
      </c>
      <c r="N39" s="15">
        <v>54800.0</v>
      </c>
    </row>
    <row r="40" ht="15.75" customHeight="1">
      <c r="A40" s="185" t="s">
        <v>176</v>
      </c>
      <c r="B40" s="65">
        <f t="shared" ref="B40:M40" si="13">B39*5</f>
        <v>20500</v>
      </c>
      <c r="C40" s="65">
        <f t="shared" si="13"/>
        <v>22750</v>
      </c>
      <c r="D40" s="65">
        <f t="shared" si="13"/>
        <v>20250</v>
      </c>
      <c r="E40" s="65">
        <f t="shared" si="13"/>
        <v>23000</v>
      </c>
      <c r="F40" s="65">
        <f t="shared" si="13"/>
        <v>22750</v>
      </c>
      <c r="G40" s="65">
        <f t="shared" si="13"/>
        <v>21000</v>
      </c>
      <c r="H40" s="65">
        <f t="shared" si="13"/>
        <v>23750</v>
      </c>
      <c r="I40" s="65">
        <f t="shared" si="13"/>
        <v>24000</v>
      </c>
      <c r="J40" s="65">
        <f t="shared" si="13"/>
        <v>22750</v>
      </c>
      <c r="K40" s="65">
        <f t="shared" si="13"/>
        <v>23250</v>
      </c>
      <c r="L40" s="65">
        <f t="shared" si="13"/>
        <v>20500</v>
      </c>
      <c r="M40" s="65">
        <f t="shared" si="13"/>
        <v>22750</v>
      </c>
    </row>
    <row r="41" ht="15.75" customHeight="1">
      <c r="A41" s="111"/>
      <c r="B41" s="182">
        <f t="shared" ref="B41:M41" si="14">B40/25</f>
        <v>820</v>
      </c>
      <c r="C41" s="182">
        <f t="shared" si="14"/>
        <v>910</v>
      </c>
      <c r="D41" s="182">
        <f t="shared" si="14"/>
        <v>810</v>
      </c>
      <c r="E41" s="182">
        <f t="shared" si="14"/>
        <v>920</v>
      </c>
      <c r="F41" s="182">
        <f t="shared" si="14"/>
        <v>910</v>
      </c>
      <c r="G41" s="182">
        <f t="shared" si="14"/>
        <v>840</v>
      </c>
      <c r="H41" s="182">
        <f t="shared" si="14"/>
        <v>950</v>
      </c>
      <c r="I41" s="182">
        <f t="shared" si="14"/>
        <v>960</v>
      </c>
      <c r="J41" s="182">
        <f t="shared" si="14"/>
        <v>910</v>
      </c>
      <c r="K41" s="182">
        <f t="shared" si="14"/>
        <v>930</v>
      </c>
      <c r="L41" s="182">
        <f t="shared" si="14"/>
        <v>820</v>
      </c>
      <c r="M41" s="182">
        <f t="shared" si="14"/>
        <v>910</v>
      </c>
    </row>
    <row r="42" ht="15.75" customHeight="1">
      <c r="A42" s="111"/>
      <c r="B42" s="180"/>
      <c r="C42" s="180"/>
      <c r="D42" s="180"/>
      <c r="E42" s="180"/>
      <c r="F42" s="180"/>
      <c r="G42" s="180"/>
      <c r="H42" s="180"/>
      <c r="I42" s="180"/>
      <c r="J42" s="180"/>
      <c r="K42" s="180"/>
    </row>
    <row r="43" ht="15.75" customHeight="1">
      <c r="A43" s="178" t="s">
        <v>177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84"/>
      <c r="M43" s="184"/>
    </row>
    <row r="44" ht="15.75" customHeight="1">
      <c r="A44" s="111" t="s">
        <v>172</v>
      </c>
      <c r="B44" s="180">
        <v>0.68</v>
      </c>
      <c r="C44" s="180">
        <v>0.8</v>
      </c>
      <c r="D44" s="180">
        <v>0.66</v>
      </c>
      <c r="E44" s="180">
        <v>0.83</v>
      </c>
      <c r="F44" s="180">
        <v>0.8</v>
      </c>
      <c r="G44" s="180">
        <v>0.7</v>
      </c>
      <c r="H44" s="180">
        <v>0.9</v>
      </c>
      <c r="I44" s="180">
        <v>0.92</v>
      </c>
      <c r="J44" s="180">
        <v>0.79</v>
      </c>
      <c r="K44" s="180">
        <v>0.82</v>
      </c>
      <c r="L44" s="180">
        <v>0.67</v>
      </c>
      <c r="M44" s="180">
        <v>0.78</v>
      </c>
    </row>
    <row r="45" ht="15.75" customHeight="1">
      <c r="A45" s="181" t="s">
        <v>173</v>
      </c>
      <c r="B45" s="15">
        <v>68.0</v>
      </c>
      <c r="C45" s="15">
        <v>50.0</v>
      </c>
      <c r="D45" s="15">
        <v>37.0</v>
      </c>
      <c r="E45" s="15">
        <v>38.0</v>
      </c>
      <c r="F45" s="15">
        <v>17.0</v>
      </c>
      <c r="G45" s="15">
        <v>12.0</v>
      </c>
      <c r="H45" s="15">
        <v>13.0</v>
      </c>
      <c r="I45" s="15">
        <v>13.0</v>
      </c>
      <c r="J45" s="15">
        <v>12.0</v>
      </c>
      <c r="K45" s="15">
        <v>37.0</v>
      </c>
      <c r="L45" s="15">
        <v>44.0</v>
      </c>
      <c r="M45" s="15">
        <v>61.0</v>
      </c>
    </row>
    <row r="46" ht="15.75" customHeight="1">
      <c r="A46" s="91" t="s">
        <v>178</v>
      </c>
      <c r="B46" s="65">
        <f t="shared" ref="B46:M46" si="15">B45*749</f>
        <v>50932</v>
      </c>
      <c r="C46" s="65">
        <f t="shared" si="15"/>
        <v>37450</v>
      </c>
      <c r="D46" s="65">
        <f t="shared" si="15"/>
        <v>27713</v>
      </c>
      <c r="E46" s="65">
        <f t="shared" si="15"/>
        <v>28462</v>
      </c>
      <c r="F46" s="65">
        <f t="shared" si="15"/>
        <v>12733</v>
      </c>
      <c r="G46" s="65">
        <f t="shared" si="15"/>
        <v>8988</v>
      </c>
      <c r="H46" s="65">
        <f t="shared" si="15"/>
        <v>9737</v>
      </c>
      <c r="I46" s="65">
        <f t="shared" si="15"/>
        <v>9737</v>
      </c>
      <c r="J46" s="65">
        <f t="shared" si="15"/>
        <v>8988</v>
      </c>
      <c r="K46" s="65">
        <f t="shared" si="15"/>
        <v>27713</v>
      </c>
      <c r="L46" s="65">
        <f t="shared" si="15"/>
        <v>32956</v>
      </c>
      <c r="M46" s="65">
        <f t="shared" si="15"/>
        <v>45689</v>
      </c>
    </row>
    <row r="47" ht="15.75" customHeight="1">
      <c r="A47" s="111"/>
      <c r="B47" s="182">
        <f t="shared" ref="B47:M47" si="16">B46/25</f>
        <v>2037.28</v>
      </c>
      <c r="C47" s="182">
        <f t="shared" si="16"/>
        <v>1498</v>
      </c>
      <c r="D47" s="182">
        <f t="shared" si="16"/>
        <v>1108.52</v>
      </c>
      <c r="E47" s="182">
        <f t="shared" si="16"/>
        <v>1138.48</v>
      </c>
      <c r="F47" s="182">
        <f t="shared" si="16"/>
        <v>509.32</v>
      </c>
      <c r="G47" s="182">
        <f t="shared" si="16"/>
        <v>359.52</v>
      </c>
      <c r="H47" s="182">
        <f t="shared" si="16"/>
        <v>389.48</v>
      </c>
      <c r="I47" s="182">
        <f t="shared" si="16"/>
        <v>389.48</v>
      </c>
      <c r="J47" s="182">
        <f t="shared" si="16"/>
        <v>359.52</v>
      </c>
      <c r="K47" s="182">
        <f t="shared" si="16"/>
        <v>1108.52</v>
      </c>
      <c r="L47" s="182">
        <f t="shared" si="16"/>
        <v>1318.24</v>
      </c>
      <c r="M47" s="182">
        <f t="shared" si="16"/>
        <v>1827.56</v>
      </c>
    </row>
    <row r="48" ht="15.75" customHeight="1">
      <c r="A48" s="111"/>
    </row>
    <row r="49" ht="15.75" customHeight="1">
      <c r="A49" s="111"/>
    </row>
    <row r="50" ht="15.75" customHeight="1">
      <c r="A50" s="178" t="s">
        <v>179</v>
      </c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</row>
    <row r="51" ht="15.75" customHeight="1">
      <c r="A51" s="111" t="s">
        <v>186</v>
      </c>
      <c r="B51" s="65">
        <f t="shared" ref="B51:M51" si="17">12960/12</f>
        <v>1080</v>
      </c>
      <c r="C51" s="65">
        <f t="shared" si="17"/>
        <v>1080</v>
      </c>
      <c r="D51" s="65">
        <f t="shared" si="17"/>
        <v>1080</v>
      </c>
      <c r="E51" s="65">
        <f t="shared" si="17"/>
        <v>1080</v>
      </c>
      <c r="F51" s="65">
        <f t="shared" si="17"/>
        <v>1080</v>
      </c>
      <c r="G51" s="65">
        <f t="shared" si="17"/>
        <v>1080</v>
      </c>
      <c r="H51" s="65">
        <f t="shared" si="17"/>
        <v>1080</v>
      </c>
      <c r="I51" s="65">
        <f t="shared" si="17"/>
        <v>1080</v>
      </c>
      <c r="J51" s="65">
        <f t="shared" si="17"/>
        <v>1080</v>
      </c>
      <c r="K51" s="65">
        <f t="shared" si="17"/>
        <v>1080</v>
      </c>
      <c r="L51" s="65">
        <f t="shared" si="17"/>
        <v>1080</v>
      </c>
      <c r="M51" s="65">
        <f t="shared" si="17"/>
        <v>1080</v>
      </c>
    </row>
    <row r="52" ht="15.75" customHeight="1">
      <c r="A52" s="111" t="s">
        <v>187</v>
      </c>
      <c r="B52" s="65">
        <f t="shared" ref="B52:M52" si="18">5400/12</f>
        <v>450</v>
      </c>
      <c r="C52" s="65">
        <f t="shared" si="18"/>
        <v>450</v>
      </c>
      <c r="D52" s="65">
        <f t="shared" si="18"/>
        <v>450</v>
      </c>
      <c r="E52" s="65">
        <f t="shared" si="18"/>
        <v>450</v>
      </c>
      <c r="F52" s="65">
        <f t="shared" si="18"/>
        <v>450</v>
      </c>
      <c r="G52" s="65">
        <f t="shared" si="18"/>
        <v>450</v>
      </c>
      <c r="H52" s="65">
        <f t="shared" si="18"/>
        <v>450</v>
      </c>
      <c r="I52" s="65">
        <f t="shared" si="18"/>
        <v>450</v>
      </c>
      <c r="J52" s="65">
        <f t="shared" si="18"/>
        <v>450</v>
      </c>
      <c r="K52" s="65">
        <f t="shared" si="18"/>
        <v>450</v>
      </c>
      <c r="L52" s="65">
        <f t="shared" si="18"/>
        <v>450</v>
      </c>
      <c r="M52" s="65">
        <f t="shared" si="18"/>
        <v>450</v>
      </c>
    </row>
    <row r="53" ht="15.75" customHeight="1">
      <c r="A53" s="111" t="s">
        <v>188</v>
      </c>
      <c r="B53" s="65">
        <v>0.0</v>
      </c>
      <c r="C53" s="65">
        <v>0.0</v>
      </c>
      <c r="D53" s="65">
        <v>0.0</v>
      </c>
      <c r="E53" s="65">
        <v>0.0</v>
      </c>
      <c r="F53" s="65">
        <v>0.0</v>
      </c>
      <c r="G53" s="65">
        <v>0.0</v>
      </c>
      <c r="H53" s="65">
        <v>0.0</v>
      </c>
      <c r="I53" s="65">
        <v>0.0</v>
      </c>
      <c r="J53" s="65">
        <v>0.0</v>
      </c>
      <c r="K53" s="65">
        <v>0.0</v>
      </c>
      <c r="L53" s="65">
        <v>0.0</v>
      </c>
      <c r="M53" s="65">
        <v>0.0</v>
      </c>
    </row>
    <row r="54" ht="15.75" customHeight="1">
      <c r="A54" s="111"/>
      <c r="B54" s="65">
        <f t="shared" ref="B54:M54" si="19">SUM(B51:B53)</f>
        <v>1530</v>
      </c>
      <c r="C54" s="65">
        <f t="shared" si="19"/>
        <v>1530</v>
      </c>
      <c r="D54" s="65">
        <f t="shared" si="19"/>
        <v>1530</v>
      </c>
      <c r="E54" s="65">
        <f t="shared" si="19"/>
        <v>1530</v>
      </c>
      <c r="F54" s="65">
        <f t="shared" si="19"/>
        <v>1530</v>
      </c>
      <c r="G54" s="65">
        <f t="shared" si="19"/>
        <v>1530</v>
      </c>
      <c r="H54" s="65">
        <f t="shared" si="19"/>
        <v>1530</v>
      </c>
      <c r="I54" s="65">
        <f t="shared" si="19"/>
        <v>1530</v>
      </c>
      <c r="J54" s="65">
        <f t="shared" si="19"/>
        <v>1530</v>
      </c>
      <c r="K54" s="65">
        <f t="shared" si="19"/>
        <v>1530</v>
      </c>
      <c r="L54" s="65">
        <f t="shared" si="19"/>
        <v>1530</v>
      </c>
      <c r="M54" s="65">
        <f t="shared" si="19"/>
        <v>1530</v>
      </c>
    </row>
    <row r="55" ht="15.75" customHeight="1">
      <c r="A55" s="111"/>
      <c r="B55" s="182">
        <f t="shared" ref="B55:M55" si="20">B54/25</f>
        <v>61.2</v>
      </c>
      <c r="C55" s="182">
        <f t="shared" si="20"/>
        <v>61.2</v>
      </c>
      <c r="D55" s="182">
        <f t="shared" si="20"/>
        <v>61.2</v>
      </c>
      <c r="E55" s="182">
        <f t="shared" si="20"/>
        <v>61.2</v>
      </c>
      <c r="F55" s="182">
        <f t="shared" si="20"/>
        <v>61.2</v>
      </c>
      <c r="G55" s="182">
        <f t="shared" si="20"/>
        <v>61.2</v>
      </c>
      <c r="H55" s="182">
        <f t="shared" si="20"/>
        <v>61.2</v>
      </c>
      <c r="I55" s="182">
        <f t="shared" si="20"/>
        <v>61.2</v>
      </c>
      <c r="J55" s="182">
        <f t="shared" si="20"/>
        <v>61.2</v>
      </c>
      <c r="K55" s="182">
        <f t="shared" si="20"/>
        <v>61.2</v>
      </c>
      <c r="L55" s="182">
        <f t="shared" si="20"/>
        <v>61.2</v>
      </c>
      <c r="M55" s="182">
        <f t="shared" si="20"/>
        <v>61.2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33"/>
    <col customWidth="1" min="2" max="3" width="11.22"/>
    <col customWidth="1" min="4" max="4" width="13.33"/>
    <col customWidth="1" min="5" max="6" width="11.22"/>
  </cols>
  <sheetData>
    <row r="2">
      <c r="A2" s="69" t="s">
        <v>189</v>
      </c>
      <c r="B2" s="65">
        <v>67063.0</v>
      </c>
      <c r="C2" s="65"/>
      <c r="D2" s="65"/>
      <c r="E2" s="65"/>
      <c r="F2" s="65"/>
      <c r="G2" s="65"/>
      <c r="I2" s="188"/>
    </row>
    <row r="3">
      <c r="A3" s="15" t="s">
        <v>190</v>
      </c>
      <c r="B3" s="65">
        <v>59877.0</v>
      </c>
      <c r="C3" s="65"/>
      <c r="D3" s="15" t="s">
        <v>191</v>
      </c>
      <c r="E3" s="65">
        <v>52004.0</v>
      </c>
      <c r="F3" s="65"/>
      <c r="G3" s="65"/>
      <c r="I3" s="188"/>
    </row>
    <row r="4">
      <c r="A4" s="15" t="s">
        <v>192</v>
      </c>
      <c r="B4" s="65">
        <v>49610.0</v>
      </c>
      <c r="C4" s="65"/>
      <c r="D4" s="65"/>
      <c r="E4" s="65"/>
      <c r="F4" s="65"/>
      <c r="G4" s="65"/>
      <c r="I4" s="188"/>
    </row>
    <row r="5">
      <c r="A5" s="15" t="s">
        <v>193</v>
      </c>
      <c r="B5" s="65">
        <f>B4-B2</f>
        <v>-17453</v>
      </c>
      <c r="C5" s="65"/>
      <c r="D5" s="65"/>
      <c r="E5" s="65"/>
      <c r="F5" s="65"/>
      <c r="G5" s="65"/>
      <c r="I5" s="188"/>
    </row>
    <row r="6">
      <c r="I6" s="188"/>
    </row>
    <row r="7">
      <c r="D7" s="15" t="s">
        <v>193</v>
      </c>
      <c r="E7" s="65">
        <f>E3-B3</f>
        <v>-7873</v>
      </c>
      <c r="I7" s="188"/>
    </row>
    <row r="8">
      <c r="B8" s="3"/>
      <c r="C8" s="3"/>
      <c r="D8" s="3"/>
      <c r="E8" s="3"/>
      <c r="F8" s="3"/>
      <c r="G8" s="3"/>
      <c r="I8" s="188"/>
    </row>
    <row r="9">
      <c r="B9" s="189">
        <v>45323.0</v>
      </c>
      <c r="C9" s="189">
        <v>45352.0</v>
      </c>
      <c r="D9" s="189">
        <v>45383.0</v>
      </c>
      <c r="E9" s="189">
        <v>45413.0</v>
      </c>
      <c r="F9" s="189">
        <v>45444.0</v>
      </c>
      <c r="G9" s="189">
        <v>45474.0</v>
      </c>
      <c r="H9" s="3" t="s">
        <v>194</v>
      </c>
      <c r="I9" s="190" t="s">
        <v>195</v>
      </c>
    </row>
    <row r="10">
      <c r="B10" s="191">
        <v>202.0</v>
      </c>
      <c r="C10" s="191">
        <v>360.0</v>
      </c>
      <c r="D10" s="191">
        <v>366.0</v>
      </c>
      <c r="E10" s="191">
        <v>369.0</v>
      </c>
      <c r="F10" s="191">
        <v>322.0</v>
      </c>
      <c r="G10" s="191">
        <v>463.0</v>
      </c>
      <c r="I10" s="188"/>
    </row>
    <row r="11">
      <c r="A11" s="192" t="s">
        <v>196</v>
      </c>
      <c r="B11" s="193">
        <v>4933.0</v>
      </c>
      <c r="C11" s="193">
        <v>8997.16</v>
      </c>
      <c r="D11" s="193">
        <v>9258.0</v>
      </c>
      <c r="E11" s="193">
        <v>9345.0</v>
      </c>
      <c r="F11" s="193">
        <v>8042.0</v>
      </c>
      <c r="G11" s="193">
        <v>11429.0</v>
      </c>
      <c r="H11" s="194">
        <f>SUM(B11:G11)</f>
        <v>52004.16</v>
      </c>
      <c r="I11" s="195">
        <f>H11*1.12</f>
        <v>58244.6592</v>
      </c>
    </row>
    <row r="12">
      <c r="B12" s="196"/>
      <c r="C12" s="196"/>
      <c r="D12" s="196"/>
      <c r="E12" s="196"/>
      <c r="F12" s="196"/>
      <c r="G12" s="196"/>
    </row>
    <row r="14">
      <c r="A14" s="197" t="s">
        <v>197</v>
      </c>
      <c r="B14" s="198">
        <v>67063.0</v>
      </c>
      <c r="C14" s="198"/>
      <c r="D14" s="198"/>
      <c r="E14" s="198"/>
      <c r="F14" s="198"/>
      <c r="G14" s="198"/>
      <c r="H14" s="199"/>
      <c r="I14" s="200"/>
    </row>
    <row r="15">
      <c r="A15" s="15" t="s">
        <v>190</v>
      </c>
      <c r="B15" s="65">
        <v>60899.17</v>
      </c>
      <c r="C15" s="65"/>
      <c r="D15" s="15" t="s">
        <v>191</v>
      </c>
      <c r="E15" s="201">
        <v>59997.880000000005</v>
      </c>
      <c r="F15" s="65"/>
      <c r="G15" s="65"/>
      <c r="I15" s="188"/>
    </row>
    <row r="16">
      <c r="A16" s="15" t="s">
        <v>192</v>
      </c>
      <c r="B16" s="65">
        <v>57000.0</v>
      </c>
      <c r="C16" s="65"/>
      <c r="D16" s="65"/>
      <c r="E16" s="65"/>
      <c r="F16" s="65"/>
      <c r="G16" s="65"/>
      <c r="I16" s="188"/>
    </row>
    <row r="17">
      <c r="A17" s="15" t="s">
        <v>193</v>
      </c>
      <c r="B17" s="65">
        <f>B14-B16</f>
        <v>10063</v>
      </c>
      <c r="C17" s="65"/>
      <c r="D17" s="65"/>
      <c r="E17" s="65"/>
      <c r="F17" s="65"/>
      <c r="G17" s="65"/>
      <c r="I17" s="188"/>
    </row>
    <row r="18">
      <c r="I18" s="188"/>
    </row>
    <row r="19">
      <c r="D19" s="15" t="s">
        <v>193</v>
      </c>
      <c r="E19" s="201">
        <f>E15-B15</f>
        <v>-901.29</v>
      </c>
      <c r="I19" s="188"/>
    </row>
    <row r="20">
      <c r="B20" s="3"/>
      <c r="C20" s="3"/>
      <c r="D20" s="3"/>
      <c r="E20" s="3"/>
      <c r="F20" s="3"/>
      <c r="G20" s="3"/>
      <c r="I20" s="188"/>
    </row>
    <row r="21" ht="15.75" customHeight="1">
      <c r="I21" s="188"/>
    </row>
    <row r="22" ht="15.75" customHeight="1">
      <c r="I22" s="188"/>
    </row>
    <row r="23" ht="15.75" customHeight="1">
      <c r="I23" s="188"/>
    </row>
    <row r="24" ht="15.75" customHeight="1">
      <c r="I24" s="188"/>
    </row>
    <row r="25" ht="15.75" customHeight="1">
      <c r="B25" s="189">
        <v>45505.0</v>
      </c>
      <c r="C25" s="189">
        <v>45536.0</v>
      </c>
      <c r="D25" s="189">
        <v>45566.0</v>
      </c>
      <c r="E25" s="189">
        <v>45597.0</v>
      </c>
      <c r="F25" s="189">
        <v>45627.0</v>
      </c>
      <c r="G25" s="189">
        <v>45658.0</v>
      </c>
      <c r="H25" s="3" t="s">
        <v>194</v>
      </c>
      <c r="I25" s="190" t="s">
        <v>195</v>
      </c>
    </row>
    <row r="26" ht="15.75" customHeight="1">
      <c r="A26" s="192" t="s">
        <v>196</v>
      </c>
      <c r="B26" s="202">
        <v>11862.880000000001</v>
      </c>
      <c r="C26" s="202">
        <v>8590.0</v>
      </c>
      <c r="D26" s="202">
        <v>10840.0</v>
      </c>
      <c r="E26" s="202">
        <v>7240.0</v>
      </c>
      <c r="F26" s="202">
        <v>11290.0</v>
      </c>
      <c r="G26" s="202">
        <v>10175.0</v>
      </c>
      <c r="H26" s="203">
        <f>SUM(B26:G26)</f>
        <v>59997.88</v>
      </c>
      <c r="I26" s="204">
        <f>H26*1.12</f>
        <v>67197.6256</v>
      </c>
    </row>
    <row r="27" ht="15.75" customHeight="1"/>
    <row r="28" ht="15.75" customHeight="1"/>
    <row r="29" ht="15.75" customHeight="1">
      <c r="A29" s="197" t="s">
        <v>198</v>
      </c>
      <c r="B29" s="198">
        <v>70684.0</v>
      </c>
      <c r="C29" s="198"/>
      <c r="D29" s="198"/>
      <c r="E29" s="198"/>
      <c r="F29" s="198"/>
      <c r="G29" s="198"/>
      <c r="H29" s="199"/>
      <c r="I29" s="200"/>
    </row>
    <row r="30" ht="15.75" customHeight="1">
      <c r="A30" s="15" t="s">
        <v>190</v>
      </c>
      <c r="B30" s="65">
        <v>63111.0</v>
      </c>
      <c r="C30" s="65"/>
      <c r="D30" s="15" t="s">
        <v>191</v>
      </c>
      <c r="E30" s="201">
        <v>63453.0</v>
      </c>
      <c r="F30" s="65"/>
      <c r="G30" s="65"/>
      <c r="I30" s="188"/>
    </row>
    <row r="31" ht="15.75" customHeight="1">
      <c r="A31" s="15" t="s">
        <v>192</v>
      </c>
      <c r="B31" s="65">
        <v>57000.0</v>
      </c>
      <c r="C31" s="65"/>
      <c r="D31" s="65"/>
      <c r="E31" s="65"/>
      <c r="F31" s="65"/>
      <c r="G31" s="65"/>
      <c r="I31" s="188"/>
    </row>
    <row r="32" ht="15.75" customHeight="1">
      <c r="A32" s="15" t="s">
        <v>193</v>
      </c>
      <c r="B32" s="65">
        <f>B29-B31</f>
        <v>13684</v>
      </c>
      <c r="C32" s="65"/>
      <c r="D32" s="65"/>
      <c r="E32" s="65"/>
      <c r="F32" s="65"/>
      <c r="G32" s="65"/>
      <c r="I32" s="188"/>
    </row>
    <row r="33" ht="15.75" customHeight="1">
      <c r="I33" s="188"/>
    </row>
    <row r="34" ht="15.75" customHeight="1">
      <c r="D34" s="15" t="s">
        <v>193</v>
      </c>
      <c r="E34" s="201">
        <f>E30-B30</f>
        <v>342</v>
      </c>
      <c r="I34" s="188"/>
    </row>
    <row r="35" ht="15.75" customHeight="1">
      <c r="B35" s="3"/>
      <c r="C35" s="3"/>
      <c r="D35" s="3"/>
      <c r="E35" s="3"/>
      <c r="F35" s="3"/>
      <c r="G35" s="3"/>
      <c r="I35" s="188"/>
    </row>
    <row r="36" ht="15.75" customHeight="1">
      <c r="I36" s="188"/>
    </row>
    <row r="37" ht="15.75" customHeight="1">
      <c r="I37" s="188"/>
    </row>
    <row r="38" ht="15.75" customHeight="1">
      <c r="I38" s="188"/>
    </row>
    <row r="39" ht="15.75" customHeight="1">
      <c r="I39" s="188"/>
    </row>
    <row r="40" ht="15.75" customHeight="1">
      <c r="B40" s="189">
        <v>45505.0</v>
      </c>
      <c r="C40" s="189">
        <v>45536.0</v>
      </c>
      <c r="D40" s="189">
        <v>45566.0</v>
      </c>
      <c r="E40" s="189">
        <v>45597.0</v>
      </c>
      <c r="F40" s="189">
        <v>45627.0</v>
      </c>
      <c r="G40" s="189">
        <v>45658.0</v>
      </c>
      <c r="H40" s="3" t="s">
        <v>194</v>
      </c>
      <c r="I40" s="190" t="s">
        <v>195</v>
      </c>
    </row>
    <row r="41" ht="15.75" customHeight="1">
      <c r="A41" s="192" t="s">
        <v>196</v>
      </c>
      <c r="B41" s="202">
        <v>11862.880000000001</v>
      </c>
      <c r="C41" s="202">
        <v>8590.0</v>
      </c>
      <c r="D41" s="202">
        <v>10840.0</v>
      </c>
      <c r="E41" s="202">
        <v>7240.0</v>
      </c>
      <c r="F41" s="202">
        <v>11290.0</v>
      </c>
      <c r="G41" s="202">
        <v>10175.0</v>
      </c>
      <c r="H41" s="203">
        <f>SUM(B41:G41)</f>
        <v>59997.88</v>
      </c>
      <c r="I41" s="204">
        <f>H41*1.12</f>
        <v>67197.6256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33"/>
    <col customWidth="1" min="2" max="3" width="11.22"/>
    <col customWidth="1" min="4" max="4" width="17.78"/>
    <col customWidth="1" min="5" max="6" width="11.22"/>
  </cols>
  <sheetData>
    <row r="2">
      <c r="A2" s="205" t="s">
        <v>199</v>
      </c>
      <c r="B2" s="65">
        <v>65088.0</v>
      </c>
      <c r="C2" s="65"/>
      <c r="D2" s="65"/>
      <c r="E2" s="65"/>
      <c r="F2" s="65"/>
    </row>
    <row r="3">
      <c r="A3" s="206" t="s">
        <v>200</v>
      </c>
      <c r="B3" s="65">
        <v>58115.0</v>
      </c>
      <c r="C3" s="65"/>
      <c r="D3" s="207" t="s">
        <v>201</v>
      </c>
      <c r="E3" s="65">
        <f>G12</f>
        <v>35080</v>
      </c>
      <c r="F3" s="65"/>
    </row>
    <row r="4">
      <c r="A4" s="207" t="s">
        <v>202</v>
      </c>
      <c r="B4" s="65">
        <v>60000.0</v>
      </c>
      <c r="C4" s="65"/>
      <c r="D4" s="207" t="s">
        <v>203</v>
      </c>
      <c r="E4" s="65">
        <f>G14</f>
        <v>37480</v>
      </c>
      <c r="F4" s="65"/>
    </row>
    <row r="5">
      <c r="A5" s="207" t="s">
        <v>204</v>
      </c>
      <c r="B5" s="65">
        <f>B4-B2</f>
        <v>-5088</v>
      </c>
      <c r="C5" s="65"/>
      <c r="D5" s="65"/>
      <c r="E5" s="65"/>
      <c r="F5" s="65"/>
    </row>
    <row r="7">
      <c r="D7" s="207" t="s">
        <v>204</v>
      </c>
      <c r="E7" s="65">
        <f>E3+E4-B3</f>
        <v>14445</v>
      </c>
      <c r="F7" s="65">
        <f>E7-F8</f>
        <v>6934</v>
      </c>
      <c r="G7" s="15" t="s">
        <v>205</v>
      </c>
    </row>
    <row r="8">
      <c r="B8" s="3"/>
      <c r="C8" s="3"/>
      <c r="D8" s="3"/>
      <c r="E8" s="3"/>
      <c r="F8" s="65">
        <v>7511.0</v>
      </c>
      <c r="G8" s="15" t="s">
        <v>206</v>
      </c>
    </row>
    <row r="10">
      <c r="B10" s="189">
        <v>45352.0</v>
      </c>
      <c r="C10" s="189">
        <v>45383.0</v>
      </c>
      <c r="D10" s="189">
        <v>45413.0</v>
      </c>
      <c r="E10" s="189">
        <v>45444.0</v>
      </c>
      <c r="F10" s="189">
        <v>45474.0</v>
      </c>
      <c r="G10" s="208" t="s">
        <v>207</v>
      </c>
      <c r="H10" s="208" t="s">
        <v>208</v>
      </c>
    </row>
    <row r="11">
      <c r="B11" s="191"/>
      <c r="C11" s="191"/>
      <c r="D11" s="191"/>
      <c r="E11" s="191"/>
      <c r="F11" s="191"/>
      <c r="G11" s="65">
        <f>G12+G14</f>
        <v>72560</v>
      </c>
    </row>
    <row r="12">
      <c r="A12" s="208" t="s">
        <v>209</v>
      </c>
      <c r="B12" s="209">
        <v>7700.0</v>
      </c>
      <c r="C12" s="209">
        <f>11920/2</f>
        <v>5960</v>
      </c>
      <c r="D12" s="209">
        <v>6860.0</v>
      </c>
      <c r="E12" s="209">
        <v>7280.0</v>
      </c>
      <c r="F12" s="209">
        <v>7280.0</v>
      </c>
      <c r="G12" s="210">
        <f>SUM(B12:F12)</f>
        <v>35080</v>
      </c>
      <c r="H12" s="65">
        <f>G12*1.12</f>
        <v>39289.6</v>
      </c>
    </row>
    <row r="13">
      <c r="B13" s="196"/>
      <c r="C13" s="196"/>
      <c r="D13" s="196"/>
      <c r="E13" s="196"/>
      <c r="F13" s="196"/>
    </row>
    <row r="14">
      <c r="A14" s="207" t="s">
        <v>210</v>
      </c>
      <c r="B14" s="211">
        <v>6380.0</v>
      </c>
      <c r="C14" s="211">
        <v>5960.0</v>
      </c>
      <c r="D14" s="211">
        <v>6860.0</v>
      </c>
      <c r="E14" s="211">
        <v>7280.0</v>
      </c>
      <c r="F14" s="211">
        <v>11000.0</v>
      </c>
      <c r="G14" s="65">
        <f t="shared" ref="G14:G15" si="1">SUM(B14:F14)</f>
        <v>37480</v>
      </c>
      <c r="H14" s="65">
        <f t="shared" ref="H14:H15" si="2">G14*1.12</f>
        <v>41977.6</v>
      </c>
    </row>
    <row r="15">
      <c r="A15" s="207" t="s">
        <v>211</v>
      </c>
      <c r="B15" s="65">
        <v>2000.0</v>
      </c>
      <c r="C15" s="65">
        <v>2000.0</v>
      </c>
      <c r="D15" s="65">
        <v>2000.0</v>
      </c>
      <c r="E15" s="65">
        <v>2000.0</v>
      </c>
      <c r="F15" s="65">
        <v>3000.0</v>
      </c>
      <c r="G15" s="65">
        <f t="shared" si="1"/>
        <v>11000</v>
      </c>
      <c r="H15" s="210">
        <f t="shared" si="2"/>
        <v>12320</v>
      </c>
    </row>
    <row r="17">
      <c r="F17" s="3"/>
      <c r="H17" s="3"/>
    </row>
    <row r="18">
      <c r="A18" s="212"/>
      <c r="G18" s="208" t="s">
        <v>207</v>
      </c>
      <c r="H18" s="208" t="s">
        <v>208</v>
      </c>
    </row>
    <row r="19">
      <c r="G19" s="65">
        <f>B3-G20</f>
        <v>27896</v>
      </c>
      <c r="H19" s="65">
        <f t="shared" ref="H19:H20" si="3">G19*1.12</f>
        <v>31243.52</v>
      </c>
      <c r="I19" s="15" t="s">
        <v>205</v>
      </c>
    </row>
    <row r="20">
      <c r="A20" s="213" t="s">
        <v>212</v>
      </c>
      <c r="G20" s="65">
        <v>30219.0</v>
      </c>
      <c r="H20" s="65">
        <f t="shared" si="3"/>
        <v>33845.28</v>
      </c>
      <c r="I20" s="15" t="s">
        <v>213</v>
      </c>
    </row>
    <row r="21" ht="15.75" customHeight="1">
      <c r="A21" s="208" t="s">
        <v>202</v>
      </c>
      <c r="G21" s="65">
        <f t="shared" ref="G21:H21" si="4">G15</f>
        <v>11000</v>
      </c>
      <c r="H21" s="65">
        <f t="shared" si="4"/>
        <v>12320</v>
      </c>
    </row>
    <row r="22" ht="15.75" customHeight="1">
      <c r="A22" s="214" t="s">
        <v>214</v>
      </c>
      <c r="B22" s="215"/>
      <c r="C22" s="215"/>
      <c r="D22" s="215"/>
      <c r="E22" s="215"/>
      <c r="F22" s="215"/>
      <c r="G22" s="216">
        <f t="shared" ref="G22:H22" si="5">G20-G21</f>
        <v>19219</v>
      </c>
      <c r="H22" s="216">
        <f t="shared" si="5"/>
        <v>21525.28</v>
      </c>
    </row>
    <row r="23" ht="15.75" customHeight="1"/>
    <row r="24" ht="15.75" customHeight="1"/>
    <row r="25" ht="15.75" customHeight="1"/>
    <row r="26" ht="15.75" customHeight="1">
      <c r="A26" s="205" t="s">
        <v>215</v>
      </c>
      <c r="B26" s="65">
        <v>69373.48</v>
      </c>
      <c r="D26" s="207" t="s">
        <v>201</v>
      </c>
      <c r="E26" s="65">
        <v>31540.0</v>
      </c>
      <c r="M26" s="217" t="s">
        <v>216</v>
      </c>
    </row>
    <row r="27" ht="15.75" customHeight="1">
      <c r="A27" s="206" t="s">
        <v>200</v>
      </c>
      <c r="B27" s="65">
        <v>61940.6</v>
      </c>
      <c r="D27" s="207" t="s">
        <v>203</v>
      </c>
      <c r="E27" s="65">
        <v>29363.0</v>
      </c>
    </row>
    <row r="28" ht="15.75" customHeight="1">
      <c r="P28" s="15">
        <v>686.0</v>
      </c>
    </row>
    <row r="29" ht="15.75" customHeight="1">
      <c r="B29" s="189">
        <v>45505.0</v>
      </c>
      <c r="C29" s="189">
        <v>45536.0</v>
      </c>
      <c r="D29" s="189">
        <v>45566.0</v>
      </c>
      <c r="E29" s="189">
        <v>45597.0</v>
      </c>
      <c r="F29" s="189">
        <v>45627.0</v>
      </c>
      <c r="G29" s="218">
        <v>45658.0</v>
      </c>
      <c r="H29" s="218">
        <v>45689.0</v>
      </c>
      <c r="I29" s="208" t="s">
        <v>207</v>
      </c>
      <c r="J29" s="208" t="s">
        <v>208</v>
      </c>
    </row>
    <row r="30" ht="15.75" customHeight="1">
      <c r="A30" s="3"/>
      <c r="B30" s="219"/>
      <c r="C30" s="219"/>
      <c r="D30" s="219"/>
      <c r="E30" s="219"/>
      <c r="F30" s="219"/>
      <c r="G30" s="219"/>
      <c r="H30" s="219"/>
      <c r="I30" s="219"/>
    </row>
    <row r="31" ht="15.75" customHeight="1">
      <c r="A31" s="208" t="s">
        <v>209</v>
      </c>
      <c r="B31" s="219">
        <f>6500/2</f>
        <v>3250</v>
      </c>
      <c r="C31" s="219">
        <v>4700.0</v>
      </c>
      <c r="D31" s="219">
        <v>5690.0</v>
      </c>
      <c r="E31" s="219">
        <v>3845.0</v>
      </c>
      <c r="F31" s="219">
        <v>5105.0</v>
      </c>
      <c r="G31" s="219">
        <v>6000.0</v>
      </c>
      <c r="H31" s="219">
        <f>5900/2</f>
        <v>2950</v>
      </c>
      <c r="I31" s="219">
        <f>SUM(B31:H31)</f>
        <v>31540</v>
      </c>
      <c r="J31" s="65">
        <f>I31*1.12</f>
        <v>35324.8</v>
      </c>
    </row>
    <row r="32" ht="15.75" customHeight="1">
      <c r="B32" s="219"/>
      <c r="C32" s="219"/>
      <c r="D32" s="219"/>
      <c r="E32" s="219"/>
      <c r="F32" s="219"/>
      <c r="G32" s="219"/>
      <c r="H32" s="219"/>
      <c r="I32" s="219"/>
    </row>
    <row r="33" ht="15.75" customHeight="1">
      <c r="A33" s="207" t="s">
        <v>210</v>
      </c>
      <c r="B33" s="219">
        <f>6860/2</f>
        <v>3430</v>
      </c>
      <c r="C33" s="219">
        <v>4700.0</v>
      </c>
      <c r="D33" s="219">
        <v>5690.0</v>
      </c>
      <c r="E33" s="219">
        <v>3845.0</v>
      </c>
      <c r="F33" s="219">
        <v>5105.0</v>
      </c>
      <c r="G33" s="219">
        <v>4481.0</v>
      </c>
      <c r="H33" s="219">
        <f>4225/2</f>
        <v>2112.5</v>
      </c>
      <c r="I33" s="219">
        <f t="shared" ref="I33:I34" si="6">SUM(B33:H33)</f>
        <v>29363.5</v>
      </c>
      <c r="J33" s="65">
        <f t="shared" ref="J33:J34" si="7">I33*1.12</f>
        <v>32887.12</v>
      </c>
    </row>
    <row r="34" ht="15.75" customHeight="1">
      <c r="A34" s="207" t="s">
        <v>211</v>
      </c>
      <c r="B34" s="65">
        <v>1000.0</v>
      </c>
      <c r="C34" s="65">
        <v>2000.0</v>
      </c>
      <c r="D34" s="65">
        <v>2000.0</v>
      </c>
      <c r="E34" s="65">
        <v>2000.0</v>
      </c>
      <c r="F34" s="65">
        <v>2000.0</v>
      </c>
      <c r="G34" s="65">
        <v>2000.0</v>
      </c>
      <c r="H34" s="65">
        <v>2000.0</v>
      </c>
      <c r="I34" s="65">
        <f t="shared" si="6"/>
        <v>13000</v>
      </c>
      <c r="J34" s="65">
        <f t="shared" si="7"/>
        <v>14560</v>
      </c>
    </row>
    <row r="35" ht="15.75" customHeight="1"/>
    <row r="36" ht="15.75" customHeight="1">
      <c r="B36" s="219"/>
      <c r="C36" s="219"/>
      <c r="D36" s="219"/>
      <c r="E36" s="219"/>
      <c r="F36" s="219"/>
      <c r="G36" s="219"/>
      <c r="H36" s="219"/>
      <c r="I36" s="219"/>
    </row>
    <row r="37" ht="15.75" customHeight="1">
      <c r="A37" s="205" t="s">
        <v>217</v>
      </c>
      <c r="B37" s="65">
        <v>69548.85</v>
      </c>
      <c r="D37" s="220" t="s">
        <v>201</v>
      </c>
      <c r="E37" s="221">
        <f>I42</f>
        <v>33477</v>
      </c>
      <c r="G37" s="65">
        <f>B38-E38-E37</f>
        <v>-313.32</v>
      </c>
    </row>
    <row r="38" ht="15.75" customHeight="1">
      <c r="A38" s="206" t="s">
        <v>200</v>
      </c>
      <c r="B38" s="65">
        <v>62097.18</v>
      </c>
      <c r="D38" s="220" t="s">
        <v>203</v>
      </c>
      <c r="E38" s="221">
        <f>I44</f>
        <v>28933.5</v>
      </c>
    </row>
    <row r="39" ht="15.75" customHeight="1"/>
    <row r="40" ht="15.75" customHeight="1">
      <c r="B40" s="189">
        <v>45689.0</v>
      </c>
      <c r="C40" s="189">
        <v>45717.0</v>
      </c>
      <c r="D40" s="189">
        <v>45748.0</v>
      </c>
      <c r="E40" s="189">
        <v>45778.0</v>
      </c>
      <c r="F40" s="189">
        <v>45809.0</v>
      </c>
      <c r="G40" s="189">
        <v>45839.0</v>
      </c>
      <c r="H40" s="189">
        <v>45870.0</v>
      </c>
      <c r="I40" s="208" t="s">
        <v>207</v>
      </c>
      <c r="J40" s="208" t="s">
        <v>208</v>
      </c>
    </row>
    <row r="41" ht="15.75" customHeight="1">
      <c r="A41" s="3"/>
      <c r="B41" s="219"/>
      <c r="C41" s="219"/>
      <c r="D41" s="219"/>
      <c r="E41" s="219"/>
      <c r="F41" s="219"/>
      <c r="G41" s="219"/>
      <c r="H41" s="219"/>
      <c r="I41" s="219"/>
    </row>
    <row r="42" ht="15.75" customHeight="1">
      <c r="A42" s="208" t="s">
        <v>209</v>
      </c>
      <c r="B42" s="219">
        <f>5900/2</f>
        <v>2950</v>
      </c>
      <c r="C42" s="219">
        <v>6842.5</v>
      </c>
      <c r="D42" s="219">
        <v>6575.5</v>
      </c>
      <c r="E42" s="219">
        <v>4528.5</v>
      </c>
      <c r="F42" s="219">
        <v>6842.5</v>
      </c>
      <c r="G42" s="219">
        <v>5952.5</v>
      </c>
      <c r="H42" s="219">
        <v>2354.0</v>
      </c>
      <c r="I42" s="219">
        <v>33477.0</v>
      </c>
      <c r="J42" s="65">
        <f>I42*1.12</f>
        <v>37494.24</v>
      </c>
    </row>
    <row r="43" ht="15.75" customHeight="1">
      <c r="B43" s="219"/>
      <c r="C43" s="219"/>
      <c r="D43" s="219"/>
      <c r="E43" s="219"/>
      <c r="F43" s="219"/>
      <c r="G43" s="219"/>
      <c r="H43" s="219"/>
      <c r="I43" s="219"/>
    </row>
    <row r="44" ht="15.75" customHeight="1">
      <c r="A44" s="207" t="s">
        <v>210</v>
      </c>
      <c r="B44" s="219">
        <v>2113.0</v>
      </c>
      <c r="C44" s="219">
        <v>5062.5</v>
      </c>
      <c r="D44" s="219">
        <v>5329.5</v>
      </c>
      <c r="E44" s="219">
        <v>4172.5</v>
      </c>
      <c r="F44" s="219">
        <v>5329.5</v>
      </c>
      <c r="G44" s="219">
        <v>5062.5</v>
      </c>
      <c r="H44" s="219">
        <v>1864.0</v>
      </c>
      <c r="I44" s="219">
        <f t="shared" ref="I44:I45" si="8">SUM(B44:H44)</f>
        <v>28933.5</v>
      </c>
      <c r="J44" s="65">
        <f t="shared" ref="J44:J45" si="9">I44*1.12</f>
        <v>32405.52</v>
      </c>
    </row>
    <row r="45" ht="15.75" customHeight="1">
      <c r="A45" s="207" t="s">
        <v>211</v>
      </c>
      <c r="B45" s="65">
        <v>1000.0</v>
      </c>
      <c r="C45" s="65">
        <v>2000.0</v>
      </c>
      <c r="D45" s="65">
        <v>2000.0</v>
      </c>
      <c r="E45" s="65">
        <v>2000.0</v>
      </c>
      <c r="F45" s="65">
        <v>2000.0</v>
      </c>
      <c r="G45" s="65">
        <v>2000.0</v>
      </c>
      <c r="H45" s="65">
        <v>2000.0</v>
      </c>
      <c r="I45" s="65">
        <f t="shared" si="8"/>
        <v>13000</v>
      </c>
      <c r="J45" s="65">
        <f t="shared" si="9"/>
        <v>14560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4" width="8.33"/>
    <col customWidth="1" min="15" max="15" width="14.78"/>
    <col customWidth="1" min="16" max="19" width="8.33"/>
    <col customWidth="1" min="20" max="20" width="10.33"/>
    <col customWidth="1" min="21" max="21" width="9.89"/>
    <col customWidth="1" min="22" max="22" width="13.78"/>
    <col customWidth="1" min="23" max="27" width="8.33"/>
  </cols>
  <sheetData>
    <row r="1">
      <c r="A1" s="15">
        <v>2.0</v>
      </c>
      <c r="L1" s="69"/>
      <c r="N1" s="49"/>
    </row>
    <row r="2">
      <c r="A2" s="5" t="s">
        <v>218</v>
      </c>
      <c r="L2" s="69"/>
      <c r="N2" s="49"/>
    </row>
    <row r="3">
      <c r="B3" s="222" t="s">
        <v>219</v>
      </c>
      <c r="C3" s="77"/>
      <c r="D3" s="77"/>
      <c r="E3" s="77"/>
      <c r="F3" s="77"/>
      <c r="G3" s="223" t="s">
        <v>220</v>
      </c>
      <c r="H3" s="223"/>
      <c r="I3" s="223"/>
      <c r="J3" s="223"/>
      <c r="K3" s="223"/>
      <c r="L3" s="224"/>
      <c r="N3" s="49"/>
    </row>
    <row r="4">
      <c r="B4" s="71" t="s">
        <v>221</v>
      </c>
      <c r="C4" s="71" t="s">
        <v>222</v>
      </c>
      <c r="D4" s="71" t="s">
        <v>223</v>
      </c>
      <c r="E4" s="71" t="s">
        <v>224</v>
      </c>
      <c r="F4" s="71" t="s">
        <v>225</v>
      </c>
      <c r="G4" s="225" t="s">
        <v>221</v>
      </c>
      <c r="H4" s="225" t="s">
        <v>222</v>
      </c>
      <c r="I4" s="225" t="s">
        <v>223</v>
      </c>
      <c r="J4" s="225" t="s">
        <v>224</v>
      </c>
      <c r="K4" s="225" t="s">
        <v>225</v>
      </c>
      <c r="L4" s="224" t="s">
        <v>226</v>
      </c>
      <c r="N4" s="49"/>
    </row>
    <row r="5">
      <c r="A5" s="5"/>
      <c r="B5" s="71"/>
      <c r="C5" s="71"/>
      <c r="D5" s="71"/>
      <c r="E5" s="71"/>
      <c r="F5" s="71"/>
      <c r="G5" s="223"/>
      <c r="H5" s="223"/>
      <c r="I5" s="223"/>
      <c r="J5" s="223"/>
      <c r="K5" s="223"/>
      <c r="L5" s="224"/>
      <c r="N5" s="49"/>
    </row>
    <row r="6">
      <c r="A6" s="5">
        <v>2019.0</v>
      </c>
      <c r="B6" s="71"/>
      <c r="C6" s="71"/>
      <c r="D6" s="71"/>
      <c r="E6" s="71"/>
      <c r="F6" s="71"/>
      <c r="G6" s="223"/>
      <c r="H6" s="223"/>
      <c r="I6" s="223"/>
      <c r="J6" s="223"/>
      <c r="K6" s="223"/>
      <c r="L6" s="224"/>
      <c r="N6" s="49"/>
    </row>
    <row r="7">
      <c r="A7" s="5" t="s">
        <v>53</v>
      </c>
      <c r="B7" s="71"/>
      <c r="C7" s="71"/>
      <c r="D7" s="71"/>
      <c r="E7" s="71"/>
      <c r="F7" s="71"/>
      <c r="G7" s="223"/>
      <c r="H7" s="223"/>
      <c r="I7" s="223"/>
      <c r="J7" s="223"/>
      <c r="K7" s="223"/>
      <c r="L7" s="224"/>
      <c r="N7" s="49"/>
    </row>
    <row r="8">
      <c r="A8" s="5" t="s">
        <v>54</v>
      </c>
      <c r="B8" s="71"/>
      <c r="C8" s="71"/>
      <c r="D8" s="71"/>
      <c r="E8" s="71"/>
      <c r="F8" s="71"/>
      <c r="G8" s="225"/>
      <c r="H8" s="225"/>
      <c r="I8" s="223"/>
      <c r="J8" s="223"/>
      <c r="K8" s="223"/>
      <c r="L8" s="224"/>
      <c r="N8" s="49"/>
    </row>
    <row r="9">
      <c r="A9" s="5" t="s">
        <v>133</v>
      </c>
      <c r="B9" s="71"/>
      <c r="C9" s="71"/>
      <c r="D9" s="77"/>
      <c r="E9" s="77"/>
      <c r="F9" s="71"/>
      <c r="G9" s="225"/>
      <c r="H9" s="225"/>
      <c r="I9" s="225"/>
      <c r="J9" s="223"/>
      <c r="K9" s="223"/>
      <c r="L9" s="224"/>
      <c r="N9" s="49"/>
    </row>
    <row r="10">
      <c r="A10" s="5" t="s">
        <v>227</v>
      </c>
      <c r="B10" s="71"/>
      <c r="C10" s="71"/>
      <c r="D10" s="77"/>
      <c r="E10" s="77"/>
      <c r="F10" s="71"/>
      <c r="G10" s="225"/>
      <c r="H10" s="225"/>
      <c r="I10" s="225"/>
      <c r="J10" s="223"/>
      <c r="K10" s="223"/>
      <c r="L10" s="224"/>
      <c r="N10" s="49"/>
    </row>
    <row r="11">
      <c r="A11" s="15" t="s">
        <v>57</v>
      </c>
      <c r="B11" s="71"/>
      <c r="C11" s="71"/>
      <c r="D11" s="77"/>
      <c r="E11" s="77"/>
      <c r="F11" s="71"/>
      <c r="G11" s="223"/>
      <c r="H11" s="223"/>
      <c r="I11" s="223"/>
      <c r="J11" s="223"/>
      <c r="K11" s="223"/>
      <c r="L11" s="224"/>
      <c r="N11" s="49"/>
    </row>
    <row r="12">
      <c r="A12" s="15" t="s">
        <v>58</v>
      </c>
      <c r="B12" s="71">
        <v>388.0</v>
      </c>
      <c r="C12" s="71"/>
      <c r="D12" s="77"/>
      <c r="E12" s="77"/>
      <c r="F12" s="71">
        <v>1218.0</v>
      </c>
      <c r="G12" s="225"/>
      <c r="H12" s="225"/>
      <c r="I12" s="225"/>
      <c r="J12" s="223"/>
      <c r="K12" s="223"/>
      <c r="L12" s="224"/>
      <c r="N12" s="49"/>
    </row>
    <row r="13">
      <c r="A13" s="15" t="s">
        <v>69</v>
      </c>
      <c r="B13" s="71">
        <v>401.0</v>
      </c>
      <c r="C13" s="71"/>
      <c r="D13" s="77"/>
      <c r="E13" s="77"/>
      <c r="F13" s="71">
        <v>1231.0</v>
      </c>
      <c r="G13" s="225">
        <f t="shared" ref="G13:G18" si="1">B13-B12</f>
        <v>13</v>
      </c>
      <c r="H13" s="225"/>
      <c r="I13" s="223"/>
      <c r="J13" s="223"/>
      <c r="K13" s="223">
        <f t="shared" ref="K13:K15" si="2">F13-F12</f>
        <v>13</v>
      </c>
      <c r="L13" s="224"/>
      <c r="N13" s="49"/>
    </row>
    <row r="14">
      <c r="A14" s="15" t="s">
        <v>21</v>
      </c>
      <c r="B14" s="71">
        <v>416.0</v>
      </c>
      <c r="C14" s="71"/>
      <c r="D14" s="77"/>
      <c r="E14" s="77"/>
      <c r="F14" s="71">
        <v>1246.0</v>
      </c>
      <c r="G14" s="225">
        <f t="shared" si="1"/>
        <v>15</v>
      </c>
      <c r="H14" s="225"/>
      <c r="I14" s="223"/>
      <c r="J14" s="223"/>
      <c r="K14" s="223">
        <f t="shared" si="2"/>
        <v>15</v>
      </c>
      <c r="L14" s="224"/>
      <c r="N14" s="49"/>
    </row>
    <row r="15">
      <c r="A15" s="15" t="s">
        <v>228</v>
      </c>
      <c r="B15" s="77">
        <v>426.0</v>
      </c>
      <c r="C15" s="77">
        <v>820.0</v>
      </c>
      <c r="D15" s="77">
        <v>147.0</v>
      </c>
      <c r="E15" s="77">
        <v>324.0</v>
      </c>
      <c r="F15" s="77">
        <v>1265.0</v>
      </c>
      <c r="G15" s="225">
        <f t="shared" si="1"/>
        <v>10</v>
      </c>
      <c r="H15" s="225"/>
      <c r="I15" s="223"/>
      <c r="J15" s="223"/>
      <c r="K15" s="223">
        <f t="shared" si="2"/>
        <v>19</v>
      </c>
      <c r="L15" s="224"/>
      <c r="N15" s="49"/>
    </row>
    <row r="16">
      <c r="A16" s="5" t="s">
        <v>23</v>
      </c>
      <c r="B16" s="77">
        <v>441.0</v>
      </c>
      <c r="C16" s="77">
        <v>851.0</v>
      </c>
      <c r="D16" s="77">
        <v>156.0</v>
      </c>
      <c r="E16" s="77">
        <v>336.0</v>
      </c>
      <c r="F16" s="77">
        <v>22.0</v>
      </c>
      <c r="G16" s="225">
        <f t="shared" si="1"/>
        <v>15</v>
      </c>
      <c r="H16" s="225">
        <f t="shared" ref="H16:K16" si="3">C16-C15</f>
        <v>31</v>
      </c>
      <c r="I16" s="223">
        <f t="shared" si="3"/>
        <v>9</v>
      </c>
      <c r="J16" s="223">
        <f t="shared" si="3"/>
        <v>12</v>
      </c>
      <c r="K16" s="223">
        <f t="shared" si="3"/>
        <v>-1243</v>
      </c>
      <c r="L16" s="224">
        <f>H16*499</f>
        <v>15469</v>
      </c>
      <c r="N16" s="49"/>
    </row>
    <row r="17">
      <c r="A17" s="5" t="s">
        <v>24</v>
      </c>
      <c r="B17" s="77">
        <v>454.0</v>
      </c>
      <c r="C17" s="77">
        <v>880.0</v>
      </c>
      <c r="D17" s="77">
        <v>164.0</v>
      </c>
      <c r="E17" s="77">
        <v>336.0</v>
      </c>
      <c r="F17" s="77">
        <v>61.0</v>
      </c>
      <c r="G17" s="225">
        <f t="shared" si="1"/>
        <v>13</v>
      </c>
      <c r="H17" s="225">
        <f t="shared" ref="H17:K17" si="4">C17-C16</f>
        <v>29</v>
      </c>
      <c r="I17" s="223">
        <f t="shared" si="4"/>
        <v>8</v>
      </c>
      <c r="J17" s="223">
        <f t="shared" si="4"/>
        <v>0</v>
      </c>
      <c r="K17" s="223">
        <f t="shared" si="4"/>
        <v>39</v>
      </c>
      <c r="L17" s="224">
        <v>20254.0</v>
      </c>
      <c r="N17" s="49"/>
    </row>
    <row r="18">
      <c r="A18" s="5" t="s">
        <v>25</v>
      </c>
      <c r="B18" s="77">
        <v>468.0</v>
      </c>
      <c r="C18" s="77">
        <v>901.0</v>
      </c>
      <c r="D18" s="77">
        <v>181.0</v>
      </c>
      <c r="E18" s="77">
        <v>354.0</v>
      </c>
      <c r="F18" s="77">
        <v>107.0</v>
      </c>
      <c r="G18" s="225">
        <f t="shared" si="1"/>
        <v>14</v>
      </c>
      <c r="H18" s="225">
        <f t="shared" ref="H18:K18" si="5">C18-C17</f>
        <v>21</v>
      </c>
      <c r="I18" s="223">
        <f t="shared" si="5"/>
        <v>17</v>
      </c>
      <c r="J18" s="223">
        <f t="shared" si="5"/>
        <v>18</v>
      </c>
      <c r="K18" s="223">
        <f t="shared" si="5"/>
        <v>46</v>
      </c>
      <c r="L18" s="224">
        <f>K18*499</f>
        <v>22954</v>
      </c>
      <c r="N18" s="49"/>
    </row>
    <row r="19">
      <c r="L19" s="69"/>
      <c r="N19" s="49"/>
    </row>
    <row r="20">
      <c r="A20" s="226">
        <v>2020.0</v>
      </c>
      <c r="B20" s="226"/>
      <c r="C20" s="226"/>
      <c r="D20" s="226"/>
      <c r="E20" s="226"/>
      <c r="F20" s="226"/>
      <c r="G20" s="227"/>
      <c r="H20" s="227"/>
      <c r="I20" s="227"/>
      <c r="J20" s="227"/>
      <c r="K20" s="227"/>
      <c r="L20" s="228"/>
      <c r="M20" s="227"/>
      <c r="N20" s="49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ht="15.75" customHeight="1">
      <c r="B21" s="222" t="s">
        <v>219</v>
      </c>
      <c r="C21" s="77"/>
      <c r="D21" s="77"/>
      <c r="E21" s="77"/>
      <c r="F21" s="77"/>
      <c r="G21" s="223" t="s">
        <v>229</v>
      </c>
      <c r="H21" s="223"/>
      <c r="I21" s="223"/>
      <c r="J21" s="223"/>
      <c r="K21" s="223"/>
      <c r="L21" s="224"/>
      <c r="N21" s="49"/>
    </row>
    <row r="22" ht="15.75" customHeight="1">
      <c r="B22" s="71" t="s">
        <v>221</v>
      </c>
      <c r="C22" s="229" t="s">
        <v>230</v>
      </c>
      <c r="D22" s="230" t="s">
        <v>231</v>
      </c>
      <c r="E22" s="230" t="s">
        <v>232</v>
      </c>
      <c r="F22" s="71" t="s">
        <v>225</v>
      </c>
      <c r="G22" s="225" t="s">
        <v>221</v>
      </c>
      <c r="H22" s="225" t="s">
        <v>222</v>
      </c>
      <c r="I22" s="225" t="s">
        <v>223</v>
      </c>
      <c r="J22" s="225" t="s">
        <v>224</v>
      </c>
      <c r="K22" s="225" t="s">
        <v>225</v>
      </c>
      <c r="L22" s="224" t="s">
        <v>226</v>
      </c>
      <c r="N22" s="49"/>
    </row>
    <row r="23" ht="15.75" customHeight="1">
      <c r="A23" s="5"/>
      <c r="B23" s="71"/>
      <c r="C23" s="71"/>
      <c r="D23" s="71"/>
      <c r="E23" s="71"/>
      <c r="F23" s="71"/>
      <c r="G23" s="223"/>
      <c r="H23" s="223"/>
      <c r="I23" s="223"/>
      <c r="J23" s="223"/>
      <c r="K23" s="223"/>
      <c r="L23" s="224"/>
      <c r="N23" s="49"/>
    </row>
    <row r="24" ht="15.75" customHeight="1">
      <c r="A24" s="5">
        <v>2020.0</v>
      </c>
      <c r="B24" s="71"/>
      <c r="C24" s="71"/>
      <c r="D24" s="71"/>
      <c r="E24" s="71"/>
      <c r="F24" s="71"/>
      <c r="G24" s="223"/>
      <c r="H24" s="223"/>
      <c r="I24" s="223"/>
      <c r="J24" s="223"/>
      <c r="K24" s="223"/>
      <c r="L24" s="224"/>
      <c r="N24" s="49"/>
    </row>
    <row r="25" ht="15.75" customHeight="1">
      <c r="A25" s="5" t="s">
        <v>53</v>
      </c>
      <c r="B25" s="71">
        <v>483.0</v>
      </c>
      <c r="C25" s="71">
        <v>939.0</v>
      </c>
      <c r="D25" s="71">
        <v>191.0</v>
      </c>
      <c r="E25" s="71">
        <v>365.0</v>
      </c>
      <c r="F25" s="71">
        <v>152.0</v>
      </c>
      <c r="G25" s="225">
        <f t="shared" ref="G25:J25" si="6">B25-B18</f>
        <v>15</v>
      </c>
      <c r="H25" s="225">
        <f t="shared" si="6"/>
        <v>38</v>
      </c>
      <c r="I25" s="223">
        <f t="shared" si="6"/>
        <v>10</v>
      </c>
      <c r="J25" s="223">
        <f t="shared" si="6"/>
        <v>11</v>
      </c>
      <c r="K25" s="223"/>
      <c r="L25" s="224">
        <f t="shared" ref="L25:L29" si="8">H25*499</f>
        <v>18962</v>
      </c>
      <c r="N25" s="49"/>
    </row>
    <row r="26" ht="15.75" customHeight="1">
      <c r="A26" s="5" t="s">
        <v>54</v>
      </c>
      <c r="B26" s="71">
        <v>497.0</v>
      </c>
      <c r="C26" s="71">
        <v>968.0</v>
      </c>
      <c r="D26" s="71">
        <v>200.0</v>
      </c>
      <c r="E26" s="71">
        <v>374.0</v>
      </c>
      <c r="F26" s="71">
        <v>190.0</v>
      </c>
      <c r="G26" s="225">
        <f t="shared" ref="G26:K26" si="7">B26-B25</f>
        <v>14</v>
      </c>
      <c r="H26" s="225">
        <f t="shared" si="7"/>
        <v>29</v>
      </c>
      <c r="I26" s="225">
        <f t="shared" si="7"/>
        <v>9</v>
      </c>
      <c r="J26" s="225">
        <f t="shared" si="7"/>
        <v>9</v>
      </c>
      <c r="K26" s="223">
        <f t="shared" si="7"/>
        <v>38</v>
      </c>
      <c r="L26" s="224">
        <f t="shared" si="8"/>
        <v>14471</v>
      </c>
      <c r="N26" s="49"/>
    </row>
    <row r="27" ht="15.75" customHeight="1">
      <c r="A27" s="5" t="s">
        <v>133</v>
      </c>
      <c r="B27" s="71">
        <v>508.0</v>
      </c>
      <c r="C27" s="77">
        <v>997.0</v>
      </c>
      <c r="D27" s="77">
        <v>212.0</v>
      </c>
      <c r="E27" s="77">
        <v>382.0</v>
      </c>
      <c r="F27" s="71">
        <v>227.0</v>
      </c>
      <c r="G27" s="225">
        <f t="shared" ref="G27:K27" si="9">B27-B26</f>
        <v>11</v>
      </c>
      <c r="H27" s="225">
        <f t="shared" si="9"/>
        <v>29</v>
      </c>
      <c r="I27" s="225">
        <f t="shared" si="9"/>
        <v>12</v>
      </c>
      <c r="J27" s="225">
        <f t="shared" si="9"/>
        <v>8</v>
      </c>
      <c r="K27" s="223">
        <f t="shared" si="9"/>
        <v>37</v>
      </c>
      <c r="L27" s="224">
        <f t="shared" si="8"/>
        <v>14471</v>
      </c>
      <c r="N27" s="49"/>
    </row>
    <row r="28" ht="15.75" customHeight="1">
      <c r="A28" s="5" t="s">
        <v>227</v>
      </c>
      <c r="B28" s="71">
        <v>514.0</v>
      </c>
      <c r="C28" s="231">
        <v>1000.0</v>
      </c>
      <c r="D28" s="77">
        <v>220.0</v>
      </c>
      <c r="E28" s="225">
        <v>382.0</v>
      </c>
      <c r="F28" s="71">
        <v>236.0</v>
      </c>
      <c r="G28" s="225">
        <f t="shared" ref="G28:K28" si="10">B28-B27</f>
        <v>6</v>
      </c>
      <c r="H28" s="225">
        <f t="shared" si="10"/>
        <v>3</v>
      </c>
      <c r="I28" s="225">
        <f t="shared" si="10"/>
        <v>8</v>
      </c>
      <c r="J28" s="225">
        <f t="shared" si="10"/>
        <v>0</v>
      </c>
      <c r="K28" s="223">
        <f t="shared" si="10"/>
        <v>9</v>
      </c>
      <c r="L28" s="225">
        <f t="shared" si="8"/>
        <v>1497</v>
      </c>
      <c r="N28" s="49"/>
    </row>
    <row r="29" ht="15.75" customHeight="1">
      <c r="A29" s="15" t="s">
        <v>57</v>
      </c>
      <c r="B29" s="71">
        <v>520.0</v>
      </c>
      <c r="C29" s="71">
        <v>1005.0</v>
      </c>
      <c r="D29" s="77">
        <v>220.0</v>
      </c>
      <c r="E29" s="225">
        <v>382.0</v>
      </c>
      <c r="F29" s="71">
        <v>248.0</v>
      </c>
      <c r="G29" s="225">
        <f t="shared" ref="G29:K29" si="11">B29-B28</f>
        <v>6</v>
      </c>
      <c r="H29" s="225">
        <f t="shared" si="11"/>
        <v>5</v>
      </c>
      <c r="I29" s="225">
        <f t="shared" si="11"/>
        <v>0</v>
      </c>
      <c r="J29" s="225">
        <f t="shared" si="11"/>
        <v>0</v>
      </c>
      <c r="K29" s="223">
        <f t="shared" si="11"/>
        <v>12</v>
      </c>
      <c r="L29" s="225">
        <f t="shared" si="8"/>
        <v>2495</v>
      </c>
      <c r="N29" s="49"/>
    </row>
    <row r="30" ht="15.75" customHeight="1">
      <c r="A30" s="15" t="s">
        <v>58</v>
      </c>
      <c r="B30" s="71">
        <v>530.0</v>
      </c>
      <c r="C30" s="71">
        <v>1005.0</v>
      </c>
      <c r="D30" s="77">
        <v>220.0</v>
      </c>
      <c r="E30" s="77">
        <v>382.0</v>
      </c>
      <c r="F30" s="71">
        <v>259.0</v>
      </c>
      <c r="G30" s="225">
        <f t="shared" ref="G30:K30" si="12">B30-B29</f>
        <v>10</v>
      </c>
      <c r="H30" s="225">
        <f t="shared" si="12"/>
        <v>0</v>
      </c>
      <c r="I30" s="225">
        <f t="shared" si="12"/>
        <v>0</v>
      </c>
      <c r="J30" s="225">
        <f t="shared" si="12"/>
        <v>0</v>
      </c>
      <c r="K30" s="223">
        <f t="shared" si="12"/>
        <v>11</v>
      </c>
      <c r="L30" s="225">
        <v>2230.0</v>
      </c>
      <c r="N30" s="49"/>
    </row>
    <row r="31" ht="15.75" customHeight="1">
      <c r="A31" s="15" t="s">
        <v>69</v>
      </c>
      <c r="B31" s="71">
        <v>543.0</v>
      </c>
      <c r="C31" s="71">
        <v>1005.0</v>
      </c>
      <c r="D31" s="77">
        <v>220.0</v>
      </c>
      <c r="E31" s="77">
        <v>382.0</v>
      </c>
      <c r="F31" s="71">
        <v>273.0</v>
      </c>
      <c r="G31" s="225">
        <f t="shared" ref="G31:K31" si="13">B31-B30</f>
        <v>13</v>
      </c>
      <c r="H31" s="225">
        <f t="shared" si="13"/>
        <v>0</v>
      </c>
      <c r="I31" s="225">
        <f t="shared" si="13"/>
        <v>0</v>
      </c>
      <c r="J31" s="225">
        <f t="shared" si="13"/>
        <v>0</v>
      </c>
      <c r="K31" s="223">
        <f t="shared" si="13"/>
        <v>14</v>
      </c>
      <c r="L31" s="225"/>
      <c r="N31" s="49"/>
    </row>
    <row r="32" ht="15.75" customHeight="1">
      <c r="A32" s="15" t="s">
        <v>21</v>
      </c>
      <c r="B32" s="71">
        <v>557.0</v>
      </c>
      <c r="C32" s="71">
        <v>1005.0</v>
      </c>
      <c r="D32" s="77">
        <v>220.0</v>
      </c>
      <c r="E32" s="77">
        <v>382.0</v>
      </c>
      <c r="F32" s="71">
        <v>287.0</v>
      </c>
      <c r="G32" s="225">
        <f t="shared" ref="G32:K32" si="14">B32-B31</f>
        <v>14</v>
      </c>
      <c r="H32" s="225">
        <f t="shared" si="14"/>
        <v>0</v>
      </c>
      <c r="I32" s="225">
        <f t="shared" si="14"/>
        <v>0</v>
      </c>
      <c r="J32" s="225">
        <f t="shared" si="14"/>
        <v>0</v>
      </c>
      <c r="K32" s="223">
        <f t="shared" si="14"/>
        <v>14</v>
      </c>
      <c r="L32" s="224"/>
      <c r="N32" s="49"/>
    </row>
    <row r="33" ht="15.75" customHeight="1">
      <c r="A33" s="15" t="s">
        <v>228</v>
      </c>
      <c r="B33" s="77">
        <v>568.0</v>
      </c>
      <c r="C33" s="77">
        <v>1010.0</v>
      </c>
      <c r="D33" s="77">
        <v>224.0</v>
      </c>
      <c r="E33" s="77">
        <v>386.0</v>
      </c>
      <c r="F33" s="77">
        <v>303.0</v>
      </c>
      <c r="G33" s="225">
        <f t="shared" ref="G33:K33" si="15">B33-B32</f>
        <v>11</v>
      </c>
      <c r="H33" s="225">
        <f t="shared" si="15"/>
        <v>5</v>
      </c>
      <c r="I33" s="225">
        <f t="shared" si="15"/>
        <v>4</v>
      </c>
      <c r="J33" s="225">
        <f t="shared" si="15"/>
        <v>4</v>
      </c>
      <c r="K33" s="225">
        <f t="shared" si="15"/>
        <v>16</v>
      </c>
      <c r="L33" s="224">
        <f t="shared" ref="L33:L36" si="17">H33*499</f>
        <v>2495</v>
      </c>
      <c r="N33" s="49"/>
    </row>
    <row r="34" ht="15.75" customHeight="1">
      <c r="A34" s="5" t="s">
        <v>23</v>
      </c>
      <c r="B34" s="77">
        <v>576.0</v>
      </c>
      <c r="C34" s="77">
        <v>1029.0</v>
      </c>
      <c r="D34" s="77">
        <v>233.0</v>
      </c>
      <c r="E34" s="77">
        <v>397.0</v>
      </c>
      <c r="F34" s="77">
        <v>325.0</v>
      </c>
      <c r="G34" s="225">
        <f t="shared" ref="G34:K34" si="16">B34-B33</f>
        <v>8</v>
      </c>
      <c r="H34" s="225">
        <f t="shared" si="16"/>
        <v>19</v>
      </c>
      <c r="I34" s="225">
        <f t="shared" si="16"/>
        <v>9</v>
      </c>
      <c r="J34" s="225">
        <f t="shared" si="16"/>
        <v>11</v>
      </c>
      <c r="K34" s="225">
        <f t="shared" si="16"/>
        <v>22</v>
      </c>
      <c r="L34" s="224">
        <f t="shared" si="17"/>
        <v>9481</v>
      </c>
      <c r="N34" s="49"/>
    </row>
    <row r="35" ht="15.75" customHeight="1">
      <c r="A35" s="5" t="s">
        <v>24</v>
      </c>
      <c r="B35" s="77">
        <v>584.0</v>
      </c>
      <c r="C35" s="77">
        <v>1059.0</v>
      </c>
      <c r="D35" s="77">
        <v>241.0</v>
      </c>
      <c r="E35" s="77">
        <v>410.0</v>
      </c>
      <c r="F35" s="77">
        <v>356.0</v>
      </c>
      <c r="G35" s="225">
        <f t="shared" ref="G35:K35" si="18">B35-B34</f>
        <v>8</v>
      </c>
      <c r="H35" s="225">
        <f t="shared" si="18"/>
        <v>30</v>
      </c>
      <c r="I35" s="225">
        <f t="shared" si="18"/>
        <v>8</v>
      </c>
      <c r="J35" s="225">
        <f t="shared" si="18"/>
        <v>13</v>
      </c>
      <c r="K35" s="225">
        <f t="shared" si="18"/>
        <v>31</v>
      </c>
      <c r="L35" s="224">
        <f t="shared" si="17"/>
        <v>14970</v>
      </c>
      <c r="N35" s="49"/>
    </row>
    <row r="36" ht="15.75" customHeight="1">
      <c r="A36" s="5" t="s">
        <v>25</v>
      </c>
      <c r="B36" s="77">
        <v>594.0</v>
      </c>
      <c r="C36" s="77">
        <v>1091.0</v>
      </c>
      <c r="D36" s="77">
        <v>241.0</v>
      </c>
      <c r="E36" s="77">
        <v>423.0</v>
      </c>
      <c r="F36" s="77">
        <v>404.0</v>
      </c>
      <c r="G36" s="225">
        <f t="shared" ref="G36:K36" si="19">B36-B35</f>
        <v>10</v>
      </c>
      <c r="H36" s="225">
        <f t="shared" si="19"/>
        <v>32</v>
      </c>
      <c r="I36" s="225">
        <f t="shared" si="19"/>
        <v>0</v>
      </c>
      <c r="J36" s="225">
        <f t="shared" si="19"/>
        <v>13</v>
      </c>
      <c r="K36" s="225">
        <f t="shared" si="19"/>
        <v>48</v>
      </c>
      <c r="L36" s="224">
        <f t="shared" si="17"/>
        <v>15968</v>
      </c>
      <c r="N36" s="49"/>
    </row>
    <row r="37" ht="15.75" customHeight="1">
      <c r="A37" s="226">
        <v>2021.0</v>
      </c>
      <c r="B37" s="226"/>
      <c r="C37" s="226"/>
      <c r="D37" s="226"/>
      <c r="E37" s="226"/>
      <c r="F37" s="226"/>
      <c r="G37" s="227"/>
      <c r="H37" s="227"/>
      <c r="I37" s="227"/>
      <c r="J37" s="227"/>
      <c r="K37" s="227"/>
      <c r="L37" s="228"/>
      <c r="N37" s="49"/>
    </row>
    <row r="38" ht="15.75" customHeight="1">
      <c r="B38" s="222" t="s">
        <v>219</v>
      </c>
      <c r="C38" s="77"/>
      <c r="D38" s="77"/>
      <c r="E38" s="77"/>
      <c r="F38" s="77"/>
      <c r="G38" s="223" t="s">
        <v>233</v>
      </c>
      <c r="H38" s="223"/>
      <c r="I38" s="223"/>
      <c r="J38" s="223"/>
      <c r="K38" s="223"/>
      <c r="L38" s="224"/>
      <c r="N38" s="49"/>
    </row>
    <row r="39" ht="15.75" customHeight="1">
      <c r="B39" s="71" t="s">
        <v>221</v>
      </c>
      <c r="C39" s="229" t="s">
        <v>234</v>
      </c>
      <c r="D39" s="230" t="s">
        <v>235</v>
      </c>
      <c r="E39" s="230" t="s">
        <v>236</v>
      </c>
      <c r="F39" s="71" t="s">
        <v>225</v>
      </c>
      <c r="G39" s="225" t="s">
        <v>221</v>
      </c>
      <c r="H39" s="225" t="s">
        <v>222</v>
      </c>
      <c r="I39" s="225" t="s">
        <v>223</v>
      </c>
      <c r="J39" s="225" t="s">
        <v>224</v>
      </c>
      <c r="K39" s="225" t="s">
        <v>225</v>
      </c>
      <c r="L39" s="224" t="s">
        <v>226</v>
      </c>
      <c r="M39" s="232" t="s">
        <v>237</v>
      </c>
      <c r="N39" s="87"/>
      <c r="O39" s="15" t="s">
        <v>238</v>
      </c>
      <c r="P39" s="15">
        <v>2021.0</v>
      </c>
    </row>
    <row r="40" ht="15.75" customHeight="1">
      <c r="A40" s="5"/>
      <c r="B40" s="71"/>
      <c r="C40" s="71"/>
      <c r="D40" s="71"/>
      <c r="E40" s="71"/>
      <c r="F40" s="71"/>
      <c r="G40" s="223"/>
      <c r="H40" s="223"/>
      <c r="I40" s="223"/>
      <c r="J40" s="223"/>
      <c r="K40" s="223"/>
      <c r="L40" s="224"/>
      <c r="M40" s="233"/>
      <c r="N40" s="49"/>
      <c r="O40" s="69" t="s">
        <v>239</v>
      </c>
      <c r="P40" s="17">
        <f>SUM(I42:J53)</f>
        <v>179</v>
      </c>
    </row>
    <row r="41" ht="15.75" customHeight="1">
      <c r="A41" s="5">
        <v>2021.0</v>
      </c>
      <c r="B41" s="71"/>
      <c r="C41" s="71"/>
      <c r="D41" s="71"/>
      <c r="E41" s="71"/>
      <c r="F41" s="71"/>
      <c r="G41" s="223"/>
      <c r="H41" s="223"/>
      <c r="I41" s="223"/>
      <c r="J41" s="223"/>
      <c r="K41" s="223"/>
      <c r="L41" s="224"/>
      <c r="M41" s="233"/>
      <c r="N41" s="49"/>
      <c r="O41" s="69" t="s">
        <v>240</v>
      </c>
      <c r="P41" s="65">
        <f>P40*462</f>
        <v>82698</v>
      </c>
    </row>
    <row r="42" ht="15.75" customHeight="1">
      <c r="A42" s="15" t="s">
        <v>53</v>
      </c>
      <c r="B42" s="77">
        <v>603.0</v>
      </c>
      <c r="C42" s="77">
        <v>1121.0</v>
      </c>
      <c r="D42" s="77">
        <v>241.0</v>
      </c>
      <c r="E42" s="77">
        <v>435.0</v>
      </c>
      <c r="F42" s="77">
        <v>450.0</v>
      </c>
      <c r="G42" s="225">
        <f t="shared" ref="G42:K42" si="20">B42-B36</f>
        <v>9</v>
      </c>
      <c r="H42" s="225">
        <f t="shared" si="20"/>
        <v>30</v>
      </c>
      <c r="I42" s="225">
        <f t="shared" si="20"/>
        <v>0</v>
      </c>
      <c r="J42" s="225">
        <f t="shared" si="20"/>
        <v>12</v>
      </c>
      <c r="K42" s="225">
        <f t="shared" si="20"/>
        <v>46</v>
      </c>
      <c r="L42" s="224">
        <f t="shared" ref="L42:L53" si="22">K42*499</f>
        <v>22954</v>
      </c>
      <c r="M42" s="233">
        <f t="shared" ref="M42:M53" si="23">H42*499</f>
        <v>14970</v>
      </c>
      <c r="N42" s="49"/>
      <c r="O42" s="15" t="s">
        <v>192</v>
      </c>
      <c r="P42" s="17">
        <f>12*7000</f>
        <v>84000</v>
      </c>
    </row>
    <row r="43" ht="15.75" customHeight="1">
      <c r="A43" s="15" t="s">
        <v>54</v>
      </c>
      <c r="B43" s="77">
        <v>612.0</v>
      </c>
      <c r="C43" s="77">
        <v>1149.0</v>
      </c>
      <c r="D43" s="77">
        <v>241.0</v>
      </c>
      <c r="E43" s="77">
        <v>447.0</v>
      </c>
      <c r="F43" s="77">
        <v>496.0</v>
      </c>
      <c r="G43" s="225">
        <f t="shared" ref="G43:K43" si="21">B43-B42</f>
        <v>9</v>
      </c>
      <c r="H43" s="225">
        <f t="shared" si="21"/>
        <v>28</v>
      </c>
      <c r="I43" s="225">
        <f t="shared" si="21"/>
        <v>0</v>
      </c>
      <c r="J43" s="225">
        <f t="shared" si="21"/>
        <v>12</v>
      </c>
      <c r="K43" s="225">
        <f t="shared" si="21"/>
        <v>46</v>
      </c>
      <c r="L43" s="224">
        <f t="shared" si="22"/>
        <v>22954</v>
      </c>
      <c r="M43" s="233">
        <f t="shared" si="23"/>
        <v>13972</v>
      </c>
      <c r="N43" s="49"/>
    </row>
    <row r="44" ht="15.75" customHeight="1">
      <c r="A44" s="15" t="s">
        <v>55</v>
      </c>
      <c r="B44" s="77">
        <v>622.0</v>
      </c>
      <c r="C44" s="77">
        <v>1179.0</v>
      </c>
      <c r="D44" s="77">
        <v>241.0</v>
      </c>
      <c r="E44" s="77">
        <v>447.0</v>
      </c>
      <c r="F44" s="77">
        <v>536.0</v>
      </c>
      <c r="G44" s="225">
        <f t="shared" ref="G44:K44" si="24">B44-B43</f>
        <v>10</v>
      </c>
      <c r="H44" s="225">
        <f t="shared" si="24"/>
        <v>30</v>
      </c>
      <c r="I44" s="225">
        <f t="shared" si="24"/>
        <v>0</v>
      </c>
      <c r="J44" s="225">
        <f t="shared" si="24"/>
        <v>0</v>
      </c>
      <c r="K44" s="225">
        <f t="shared" si="24"/>
        <v>40</v>
      </c>
      <c r="L44" s="224">
        <f t="shared" si="22"/>
        <v>19960</v>
      </c>
      <c r="M44" s="233">
        <f t="shared" si="23"/>
        <v>14970</v>
      </c>
      <c r="N44" s="49"/>
      <c r="O44" s="15" t="s">
        <v>241</v>
      </c>
      <c r="P44" s="65">
        <f>P41-P42</f>
        <v>-1302</v>
      </c>
    </row>
    <row r="45" ht="15.75" customHeight="1">
      <c r="A45" s="15" t="s">
        <v>56</v>
      </c>
      <c r="B45" s="77">
        <v>631.0</v>
      </c>
      <c r="C45" s="77">
        <v>1209.0</v>
      </c>
      <c r="D45" s="77">
        <v>259.0</v>
      </c>
      <c r="E45" s="77">
        <v>468.0</v>
      </c>
      <c r="F45" s="77">
        <v>571.0</v>
      </c>
      <c r="G45" s="225">
        <f t="shared" ref="G45:K45" si="25">B45-B44</f>
        <v>9</v>
      </c>
      <c r="H45" s="225">
        <f t="shared" si="25"/>
        <v>30</v>
      </c>
      <c r="I45" s="225">
        <f t="shared" si="25"/>
        <v>18</v>
      </c>
      <c r="J45" s="225">
        <f t="shared" si="25"/>
        <v>21</v>
      </c>
      <c r="K45" s="225">
        <f t="shared" si="25"/>
        <v>35</v>
      </c>
      <c r="L45" s="224">
        <f t="shared" si="22"/>
        <v>17465</v>
      </c>
      <c r="M45" s="233">
        <f t="shared" si="23"/>
        <v>14970</v>
      </c>
      <c r="N45" s="49"/>
    </row>
    <row r="46" ht="15.75" customHeight="1">
      <c r="A46" s="15" t="s">
        <v>81</v>
      </c>
      <c r="B46" s="77">
        <v>640.0</v>
      </c>
      <c r="C46" s="77">
        <v>1237.0</v>
      </c>
      <c r="D46" s="77">
        <v>267.0</v>
      </c>
      <c r="E46" s="77">
        <v>479.0</v>
      </c>
      <c r="F46" s="77">
        <v>596.0</v>
      </c>
      <c r="G46" s="225">
        <f t="shared" ref="G46:K46" si="26">B46-B45</f>
        <v>9</v>
      </c>
      <c r="H46" s="225">
        <f t="shared" si="26"/>
        <v>28</v>
      </c>
      <c r="I46" s="225">
        <f t="shared" si="26"/>
        <v>8</v>
      </c>
      <c r="J46" s="225">
        <f t="shared" si="26"/>
        <v>11</v>
      </c>
      <c r="K46" s="225">
        <f t="shared" si="26"/>
        <v>25</v>
      </c>
      <c r="L46" s="224">
        <f t="shared" si="22"/>
        <v>12475</v>
      </c>
      <c r="M46" s="233">
        <f t="shared" si="23"/>
        <v>13972</v>
      </c>
      <c r="N46" s="49"/>
    </row>
    <row r="47" ht="15.75" customHeight="1">
      <c r="A47" s="15" t="s">
        <v>58</v>
      </c>
      <c r="B47" s="77">
        <v>648.0</v>
      </c>
      <c r="C47" s="77">
        <v>1254.0</v>
      </c>
      <c r="D47" s="77">
        <v>273.0</v>
      </c>
      <c r="E47" s="77">
        <v>484.0</v>
      </c>
      <c r="F47" s="77">
        <v>607.0</v>
      </c>
      <c r="G47" s="225">
        <f t="shared" ref="G47:K47" si="27">B47-B46</f>
        <v>8</v>
      </c>
      <c r="H47" s="225">
        <f t="shared" si="27"/>
        <v>17</v>
      </c>
      <c r="I47" s="225">
        <f t="shared" si="27"/>
        <v>6</v>
      </c>
      <c r="J47" s="225">
        <f t="shared" si="27"/>
        <v>5</v>
      </c>
      <c r="K47" s="225">
        <f t="shared" si="27"/>
        <v>11</v>
      </c>
      <c r="L47" s="224">
        <f t="shared" si="22"/>
        <v>5489</v>
      </c>
      <c r="M47" s="233">
        <f t="shared" si="23"/>
        <v>8483</v>
      </c>
      <c r="N47" s="49"/>
    </row>
    <row r="48" ht="15.75" customHeight="1">
      <c r="A48" s="15" t="s">
        <v>10</v>
      </c>
      <c r="B48" s="15">
        <v>660.0</v>
      </c>
      <c r="C48" s="15">
        <v>1254.0</v>
      </c>
      <c r="D48" s="15">
        <v>273.0</v>
      </c>
      <c r="E48" s="15">
        <v>484.0</v>
      </c>
      <c r="F48" s="15">
        <v>619.0</v>
      </c>
      <c r="G48" s="225">
        <f t="shared" ref="G48:K48" si="28">B48-B47</f>
        <v>12</v>
      </c>
      <c r="H48" s="225">
        <f t="shared" si="28"/>
        <v>0</v>
      </c>
      <c r="I48" s="225">
        <f t="shared" si="28"/>
        <v>0</v>
      </c>
      <c r="J48" s="225">
        <f t="shared" si="28"/>
        <v>0</v>
      </c>
      <c r="K48" s="225">
        <f t="shared" si="28"/>
        <v>12</v>
      </c>
      <c r="L48" s="224">
        <f t="shared" si="22"/>
        <v>5988</v>
      </c>
      <c r="M48" s="233">
        <f t="shared" si="23"/>
        <v>0</v>
      </c>
      <c r="N48" s="49"/>
    </row>
    <row r="49" ht="15.75" customHeight="1">
      <c r="A49" s="15" t="s">
        <v>21</v>
      </c>
      <c r="B49" s="77">
        <v>672.0</v>
      </c>
      <c r="C49" s="77">
        <v>1254.0</v>
      </c>
      <c r="D49" s="77">
        <v>273.0</v>
      </c>
      <c r="E49" s="77">
        <v>484.0</v>
      </c>
      <c r="F49" s="77">
        <v>632.0</v>
      </c>
      <c r="G49" s="225">
        <f t="shared" ref="G49:K49" si="29">B49-B48</f>
        <v>12</v>
      </c>
      <c r="H49" s="225">
        <f t="shared" si="29"/>
        <v>0</v>
      </c>
      <c r="I49" s="225">
        <f t="shared" si="29"/>
        <v>0</v>
      </c>
      <c r="J49" s="225">
        <f t="shared" si="29"/>
        <v>0</v>
      </c>
      <c r="K49" s="225">
        <f t="shared" si="29"/>
        <v>13</v>
      </c>
      <c r="L49" s="224">
        <f t="shared" si="22"/>
        <v>6487</v>
      </c>
      <c r="M49" s="233">
        <f t="shared" si="23"/>
        <v>0</v>
      </c>
      <c r="N49" s="49"/>
    </row>
    <row r="50" ht="15.75" customHeight="1">
      <c r="A50" s="15" t="s">
        <v>22</v>
      </c>
      <c r="B50" s="15">
        <v>683.0</v>
      </c>
      <c r="C50" s="15">
        <v>1285.0</v>
      </c>
      <c r="D50" s="15">
        <v>286.0</v>
      </c>
      <c r="E50" s="15">
        <v>493.0</v>
      </c>
      <c r="F50" s="15">
        <v>655.0</v>
      </c>
      <c r="G50" s="225">
        <f t="shared" ref="G50:K50" si="30">B50-B49</f>
        <v>11</v>
      </c>
      <c r="H50" s="225">
        <f t="shared" si="30"/>
        <v>31</v>
      </c>
      <c r="I50" s="225">
        <f t="shared" si="30"/>
        <v>13</v>
      </c>
      <c r="J50" s="225">
        <f t="shared" si="30"/>
        <v>9</v>
      </c>
      <c r="K50" s="225">
        <f t="shared" si="30"/>
        <v>23</v>
      </c>
      <c r="L50" s="224">
        <f t="shared" si="22"/>
        <v>11477</v>
      </c>
      <c r="M50" s="233">
        <f t="shared" si="23"/>
        <v>15469</v>
      </c>
      <c r="N50" s="49"/>
    </row>
    <row r="51" ht="15.75" customHeight="1">
      <c r="A51" s="15" t="s">
        <v>60</v>
      </c>
      <c r="B51" s="15">
        <v>694.0</v>
      </c>
      <c r="C51" s="15">
        <v>1314.0</v>
      </c>
      <c r="D51" s="15">
        <v>296.0</v>
      </c>
      <c r="E51" s="15">
        <v>504.0</v>
      </c>
      <c r="F51" s="15">
        <v>688.0</v>
      </c>
      <c r="G51" s="225">
        <f t="shared" ref="G51:K51" si="31">B51-B50</f>
        <v>11</v>
      </c>
      <c r="H51" s="225">
        <f t="shared" si="31"/>
        <v>29</v>
      </c>
      <c r="I51" s="225">
        <f t="shared" si="31"/>
        <v>10</v>
      </c>
      <c r="J51" s="225">
        <f t="shared" si="31"/>
        <v>11</v>
      </c>
      <c r="K51" s="225">
        <f t="shared" si="31"/>
        <v>33</v>
      </c>
      <c r="L51" s="224">
        <f t="shared" si="22"/>
        <v>16467</v>
      </c>
      <c r="M51" s="233">
        <f t="shared" si="23"/>
        <v>14471</v>
      </c>
      <c r="N51" s="49"/>
    </row>
    <row r="52" ht="15.75" customHeight="1">
      <c r="A52" s="15" t="s">
        <v>61</v>
      </c>
      <c r="B52" s="15">
        <v>723.0</v>
      </c>
      <c r="C52" s="15">
        <v>1343.0</v>
      </c>
      <c r="D52" s="15">
        <v>306.0</v>
      </c>
      <c r="E52" s="15">
        <v>515.0</v>
      </c>
      <c r="F52" s="15">
        <v>704.0</v>
      </c>
      <c r="G52" s="225">
        <f t="shared" ref="G52:K52" si="32">B52-B51</f>
        <v>29</v>
      </c>
      <c r="H52" s="225">
        <f t="shared" si="32"/>
        <v>29</v>
      </c>
      <c r="I52" s="225">
        <f t="shared" si="32"/>
        <v>10</v>
      </c>
      <c r="J52" s="225">
        <f t="shared" si="32"/>
        <v>11</v>
      </c>
      <c r="K52" s="225">
        <f t="shared" si="32"/>
        <v>16</v>
      </c>
      <c r="L52" s="224">
        <f t="shared" si="22"/>
        <v>7984</v>
      </c>
      <c r="M52" s="233">
        <f t="shared" si="23"/>
        <v>14471</v>
      </c>
      <c r="N52" s="49"/>
    </row>
    <row r="53" ht="15.75" customHeight="1">
      <c r="A53" s="15" t="s">
        <v>51</v>
      </c>
      <c r="B53" s="15">
        <v>732.0</v>
      </c>
      <c r="C53" s="15">
        <v>1376.0</v>
      </c>
      <c r="D53" s="15">
        <v>315.0</v>
      </c>
      <c r="E53" s="15">
        <v>528.0</v>
      </c>
      <c r="F53" s="15">
        <v>715.0</v>
      </c>
      <c r="G53" s="225">
        <f t="shared" ref="G53:K53" si="33">B53-B52</f>
        <v>9</v>
      </c>
      <c r="H53" s="225">
        <f t="shared" si="33"/>
        <v>33</v>
      </c>
      <c r="I53" s="225">
        <f t="shared" si="33"/>
        <v>9</v>
      </c>
      <c r="J53" s="225">
        <f t="shared" si="33"/>
        <v>13</v>
      </c>
      <c r="K53" s="225">
        <f t="shared" si="33"/>
        <v>11</v>
      </c>
      <c r="L53" s="224">
        <f t="shared" si="22"/>
        <v>5489</v>
      </c>
      <c r="M53" s="233">
        <f t="shared" si="23"/>
        <v>16467</v>
      </c>
      <c r="N53" s="49"/>
    </row>
    <row r="54" ht="15.75" customHeight="1">
      <c r="L54" s="69"/>
      <c r="N54" s="49"/>
    </row>
    <row r="55" ht="15.75" customHeight="1">
      <c r="A55" s="227">
        <v>2022.0</v>
      </c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8"/>
      <c r="M55" s="49"/>
      <c r="N55" s="49"/>
    </row>
    <row r="56" ht="15.75" customHeight="1">
      <c r="B56" s="222" t="s">
        <v>219</v>
      </c>
      <c r="C56" s="77"/>
      <c r="D56" s="77"/>
      <c r="E56" s="77"/>
      <c r="F56" s="77"/>
      <c r="G56" s="223" t="s">
        <v>242</v>
      </c>
      <c r="H56" s="223"/>
      <c r="I56" s="223"/>
      <c r="J56" s="223"/>
      <c r="K56" s="223"/>
      <c r="L56" s="224"/>
      <c r="N56" s="49"/>
    </row>
    <row r="57" ht="15.75" customHeight="1">
      <c r="B57" s="71" t="s">
        <v>221</v>
      </c>
      <c r="C57" s="229" t="s">
        <v>243</v>
      </c>
      <c r="D57" s="230" t="s">
        <v>244</v>
      </c>
      <c r="E57" s="230" t="s">
        <v>245</v>
      </c>
      <c r="F57" s="71" t="s">
        <v>225</v>
      </c>
      <c r="G57" s="225" t="s">
        <v>221</v>
      </c>
      <c r="H57" s="225" t="s">
        <v>222</v>
      </c>
      <c r="I57" s="225" t="s">
        <v>223</v>
      </c>
      <c r="J57" s="225" t="s">
        <v>224</v>
      </c>
      <c r="K57" s="225" t="s">
        <v>225</v>
      </c>
      <c r="L57" s="224" t="s">
        <v>226</v>
      </c>
      <c r="M57" s="232" t="s">
        <v>237</v>
      </c>
      <c r="N57" s="87"/>
      <c r="O57" s="15" t="s">
        <v>238</v>
      </c>
      <c r="P57" s="15">
        <v>2022.0</v>
      </c>
    </row>
    <row r="58" ht="15.75" customHeight="1">
      <c r="A58" s="5"/>
      <c r="B58" s="71"/>
      <c r="C58" s="71"/>
      <c r="D58" s="71"/>
      <c r="E58" s="71"/>
      <c r="F58" s="71"/>
      <c r="G58" s="223"/>
      <c r="H58" s="223"/>
      <c r="I58" s="223"/>
      <c r="J58" s="223"/>
      <c r="K58" s="223"/>
      <c r="L58" s="224"/>
      <c r="M58" s="233"/>
      <c r="N58" s="49"/>
      <c r="O58" s="69" t="s">
        <v>239</v>
      </c>
      <c r="P58" s="17">
        <f>SUM(I60:J71)</f>
        <v>230</v>
      </c>
    </row>
    <row r="59" ht="15.75" customHeight="1">
      <c r="A59" s="5">
        <v>2022.0</v>
      </c>
      <c r="B59" s="71"/>
      <c r="C59" s="71"/>
      <c r="D59" s="71"/>
      <c r="E59" s="71"/>
      <c r="F59" s="71"/>
      <c r="G59" s="223"/>
      <c r="H59" s="223"/>
      <c r="I59" s="223"/>
      <c r="J59" s="223"/>
      <c r="K59" s="223"/>
      <c r="L59" s="224"/>
      <c r="M59" s="233"/>
      <c r="N59" s="49"/>
      <c r="O59" s="69" t="s">
        <v>240</v>
      </c>
      <c r="P59" s="65">
        <f>P58*484</f>
        <v>111320</v>
      </c>
    </row>
    <row r="60" ht="15.75" customHeight="1">
      <c r="A60" s="15" t="s">
        <v>53</v>
      </c>
      <c r="B60" s="77">
        <v>807.0</v>
      </c>
      <c r="C60" s="77">
        <v>1405.0</v>
      </c>
      <c r="D60" s="77">
        <v>324.0</v>
      </c>
      <c r="E60" s="77">
        <v>538.0</v>
      </c>
      <c r="F60" s="77">
        <v>724.0</v>
      </c>
      <c r="G60" s="225">
        <f t="shared" ref="G60:K60" si="34">B60-B53</f>
        <v>75</v>
      </c>
      <c r="H60" s="225">
        <f t="shared" si="34"/>
        <v>29</v>
      </c>
      <c r="I60" s="225">
        <f t="shared" si="34"/>
        <v>9</v>
      </c>
      <c r="J60" s="225">
        <f t="shared" si="34"/>
        <v>10</v>
      </c>
      <c r="K60" s="225">
        <f t="shared" si="34"/>
        <v>9</v>
      </c>
      <c r="L60" s="224">
        <f t="shared" ref="L60:L71" si="36">K60*499</f>
        <v>4491</v>
      </c>
      <c r="M60" s="233">
        <f t="shared" ref="M60:M71" si="37">H60*499</f>
        <v>14471</v>
      </c>
      <c r="N60" s="49"/>
      <c r="O60" s="15" t="s">
        <v>192</v>
      </c>
      <c r="P60" s="17">
        <f>12*7000</f>
        <v>84000</v>
      </c>
    </row>
    <row r="61" ht="15.75" customHeight="1">
      <c r="A61" s="15" t="s">
        <v>54</v>
      </c>
      <c r="B61" s="77">
        <v>836.0</v>
      </c>
      <c r="C61" s="77">
        <v>1430.0</v>
      </c>
      <c r="D61" s="77">
        <v>332.0</v>
      </c>
      <c r="E61" s="77">
        <v>546.0</v>
      </c>
      <c r="F61" s="77">
        <v>734.0</v>
      </c>
      <c r="G61" s="225">
        <f t="shared" ref="G61:K61" si="35">B61-B60</f>
        <v>29</v>
      </c>
      <c r="H61" s="225">
        <f t="shared" si="35"/>
        <v>25</v>
      </c>
      <c r="I61" s="225">
        <f t="shared" si="35"/>
        <v>8</v>
      </c>
      <c r="J61" s="225">
        <f t="shared" si="35"/>
        <v>8</v>
      </c>
      <c r="K61" s="225">
        <f t="shared" si="35"/>
        <v>10</v>
      </c>
      <c r="L61" s="224">
        <f t="shared" si="36"/>
        <v>4990</v>
      </c>
      <c r="M61" s="233">
        <f t="shared" si="37"/>
        <v>12475</v>
      </c>
      <c r="N61" s="49"/>
    </row>
    <row r="62" ht="15.75" customHeight="1">
      <c r="A62" s="15" t="s">
        <v>55</v>
      </c>
      <c r="B62" s="77">
        <v>873.0</v>
      </c>
      <c r="C62" s="77">
        <v>1462.0</v>
      </c>
      <c r="D62" s="77">
        <v>343.0</v>
      </c>
      <c r="E62" s="77">
        <v>556.0</v>
      </c>
      <c r="F62" s="77">
        <v>745.0</v>
      </c>
      <c r="G62" s="225">
        <f t="shared" ref="G62:K62" si="38">B62-B61</f>
        <v>37</v>
      </c>
      <c r="H62" s="225">
        <f t="shared" si="38"/>
        <v>32</v>
      </c>
      <c r="I62" s="225">
        <f t="shared" si="38"/>
        <v>11</v>
      </c>
      <c r="J62" s="225">
        <f t="shared" si="38"/>
        <v>10</v>
      </c>
      <c r="K62" s="225">
        <f t="shared" si="38"/>
        <v>11</v>
      </c>
      <c r="L62" s="224">
        <f t="shared" si="36"/>
        <v>5489</v>
      </c>
      <c r="M62" s="233">
        <f t="shared" si="37"/>
        <v>15968</v>
      </c>
      <c r="N62" s="49"/>
      <c r="O62" s="15" t="s">
        <v>241</v>
      </c>
      <c r="P62" s="65">
        <f>P59-P60</f>
        <v>27320</v>
      </c>
    </row>
    <row r="63" ht="15.75" customHeight="1">
      <c r="A63" s="15" t="s">
        <v>56</v>
      </c>
      <c r="B63" s="77">
        <v>903.0</v>
      </c>
      <c r="C63" s="77">
        <v>1488.0</v>
      </c>
      <c r="D63" s="77">
        <v>353.0</v>
      </c>
      <c r="E63" s="77">
        <v>566.0</v>
      </c>
      <c r="F63" s="77">
        <v>757.0</v>
      </c>
      <c r="G63" s="225">
        <f t="shared" ref="G63:K63" si="39">B63-B62</f>
        <v>30</v>
      </c>
      <c r="H63" s="225">
        <f t="shared" si="39"/>
        <v>26</v>
      </c>
      <c r="I63" s="225">
        <f t="shared" si="39"/>
        <v>10</v>
      </c>
      <c r="J63" s="225">
        <f t="shared" si="39"/>
        <v>10</v>
      </c>
      <c r="K63" s="225">
        <f t="shared" si="39"/>
        <v>12</v>
      </c>
      <c r="L63" s="224">
        <f t="shared" si="36"/>
        <v>5988</v>
      </c>
      <c r="M63" s="233">
        <f t="shared" si="37"/>
        <v>12974</v>
      </c>
      <c r="N63" s="49"/>
    </row>
    <row r="64" ht="15.75" customHeight="1">
      <c r="A64" s="15" t="s">
        <v>81</v>
      </c>
      <c r="B64" s="77">
        <v>917.0</v>
      </c>
      <c r="C64" s="77">
        <v>1503.0</v>
      </c>
      <c r="D64" s="77">
        <v>360.0</v>
      </c>
      <c r="E64" s="77">
        <v>574.0</v>
      </c>
      <c r="F64" s="77">
        <v>766.0</v>
      </c>
      <c r="G64" s="225">
        <f t="shared" ref="G64:K64" si="40">B64-B63</f>
        <v>14</v>
      </c>
      <c r="H64" s="225">
        <f t="shared" si="40"/>
        <v>15</v>
      </c>
      <c r="I64" s="225">
        <f t="shared" si="40"/>
        <v>7</v>
      </c>
      <c r="J64" s="225">
        <f t="shared" si="40"/>
        <v>8</v>
      </c>
      <c r="K64" s="225">
        <f t="shared" si="40"/>
        <v>9</v>
      </c>
      <c r="L64" s="224">
        <f t="shared" si="36"/>
        <v>4491</v>
      </c>
      <c r="M64" s="233">
        <f t="shared" si="37"/>
        <v>7485</v>
      </c>
      <c r="N64" s="49"/>
    </row>
    <row r="65" ht="15.75" customHeight="1">
      <c r="A65" s="15" t="s">
        <v>58</v>
      </c>
      <c r="B65" s="77">
        <v>2.0</v>
      </c>
      <c r="C65" s="77">
        <v>1515.0</v>
      </c>
      <c r="D65" s="77">
        <v>369.0</v>
      </c>
      <c r="E65" s="77">
        <v>582.0</v>
      </c>
      <c r="F65" s="77">
        <v>776.0</v>
      </c>
      <c r="G65" s="225"/>
      <c r="H65" s="225">
        <f t="shared" ref="H65:K65" si="41">C65-C64</f>
        <v>12</v>
      </c>
      <c r="I65" s="225">
        <f t="shared" si="41"/>
        <v>9</v>
      </c>
      <c r="J65" s="225">
        <f t="shared" si="41"/>
        <v>8</v>
      </c>
      <c r="K65" s="225">
        <f t="shared" si="41"/>
        <v>10</v>
      </c>
      <c r="L65" s="224">
        <f t="shared" si="36"/>
        <v>4990</v>
      </c>
      <c r="M65" s="233">
        <f t="shared" si="37"/>
        <v>5988</v>
      </c>
      <c r="N65" s="49"/>
    </row>
    <row r="66" ht="15.75" customHeight="1">
      <c r="A66" s="15" t="s">
        <v>10</v>
      </c>
      <c r="B66" s="15">
        <v>15.0</v>
      </c>
      <c r="C66" s="15">
        <v>1530.0</v>
      </c>
      <c r="D66" s="15">
        <v>378.0</v>
      </c>
      <c r="E66" s="15">
        <v>590.0</v>
      </c>
      <c r="F66" s="15">
        <v>787.0</v>
      </c>
      <c r="G66" s="225">
        <f t="shared" ref="G66:K66" si="42">B66-B65</f>
        <v>13</v>
      </c>
      <c r="H66" s="225">
        <f t="shared" si="42"/>
        <v>15</v>
      </c>
      <c r="I66" s="225">
        <f t="shared" si="42"/>
        <v>9</v>
      </c>
      <c r="J66" s="225">
        <f t="shared" si="42"/>
        <v>8</v>
      </c>
      <c r="K66" s="225">
        <f t="shared" si="42"/>
        <v>11</v>
      </c>
      <c r="L66" s="224">
        <f t="shared" si="36"/>
        <v>5489</v>
      </c>
      <c r="M66" s="233">
        <f t="shared" si="37"/>
        <v>7485</v>
      </c>
      <c r="N66" s="49"/>
    </row>
    <row r="67" ht="15.75" customHeight="1">
      <c r="A67" s="15" t="s">
        <v>21</v>
      </c>
      <c r="B67" s="77">
        <v>28.0</v>
      </c>
      <c r="C67" s="77">
        <v>1546.0</v>
      </c>
      <c r="D67" s="77">
        <v>387.0</v>
      </c>
      <c r="E67" s="77">
        <v>598.0</v>
      </c>
      <c r="F67" s="77">
        <v>798.0</v>
      </c>
      <c r="G67" s="225">
        <f t="shared" ref="G67:K67" si="43">B67-B66</f>
        <v>13</v>
      </c>
      <c r="H67" s="225">
        <f t="shared" si="43"/>
        <v>16</v>
      </c>
      <c r="I67" s="225">
        <f t="shared" si="43"/>
        <v>9</v>
      </c>
      <c r="J67" s="225">
        <f t="shared" si="43"/>
        <v>8</v>
      </c>
      <c r="K67" s="225">
        <f t="shared" si="43"/>
        <v>11</v>
      </c>
      <c r="L67" s="224">
        <f t="shared" si="36"/>
        <v>5489</v>
      </c>
      <c r="M67" s="233">
        <f t="shared" si="37"/>
        <v>7984</v>
      </c>
      <c r="N67" s="49"/>
    </row>
    <row r="68" ht="15.75" customHeight="1">
      <c r="A68" s="15" t="s">
        <v>22</v>
      </c>
      <c r="B68" s="15">
        <v>43.0</v>
      </c>
      <c r="C68" s="15">
        <v>1562.0</v>
      </c>
      <c r="D68" s="15">
        <v>395.0</v>
      </c>
      <c r="E68" s="15">
        <v>605.0</v>
      </c>
      <c r="F68" s="15">
        <v>808.0</v>
      </c>
      <c r="G68" s="225">
        <f t="shared" ref="G68:K68" si="44">B68-B67</f>
        <v>15</v>
      </c>
      <c r="H68" s="225">
        <f t="shared" si="44"/>
        <v>16</v>
      </c>
      <c r="I68" s="225">
        <f t="shared" si="44"/>
        <v>8</v>
      </c>
      <c r="J68" s="225">
        <f t="shared" si="44"/>
        <v>7</v>
      </c>
      <c r="K68" s="225">
        <f t="shared" si="44"/>
        <v>10</v>
      </c>
      <c r="L68" s="224">
        <f t="shared" si="36"/>
        <v>4990</v>
      </c>
      <c r="M68" s="233">
        <f t="shared" si="37"/>
        <v>7984</v>
      </c>
      <c r="N68" s="49"/>
    </row>
    <row r="69" ht="15.75" customHeight="1">
      <c r="A69" s="15" t="s">
        <v>60</v>
      </c>
      <c r="B69" s="15">
        <v>67.0</v>
      </c>
      <c r="C69" s="15">
        <v>1587.0</v>
      </c>
      <c r="D69" s="15">
        <v>405.0</v>
      </c>
      <c r="E69" s="15">
        <v>614.0</v>
      </c>
      <c r="F69" s="15">
        <v>819.0</v>
      </c>
      <c r="G69" s="225">
        <f t="shared" ref="G69:K69" si="45">B69-B68</f>
        <v>24</v>
      </c>
      <c r="H69" s="225">
        <f t="shared" si="45"/>
        <v>25</v>
      </c>
      <c r="I69" s="225">
        <f t="shared" si="45"/>
        <v>10</v>
      </c>
      <c r="J69" s="225">
        <f t="shared" si="45"/>
        <v>9</v>
      </c>
      <c r="K69" s="225">
        <f t="shared" si="45"/>
        <v>11</v>
      </c>
      <c r="L69" s="224">
        <f t="shared" si="36"/>
        <v>5489</v>
      </c>
      <c r="M69" s="233">
        <f t="shared" si="37"/>
        <v>12475</v>
      </c>
      <c r="N69" s="49"/>
    </row>
    <row r="70" ht="15.75" customHeight="1">
      <c r="A70" s="15" t="s">
        <v>61</v>
      </c>
      <c r="B70" s="15">
        <v>102.0</v>
      </c>
      <c r="C70" s="15">
        <v>1614.0</v>
      </c>
      <c r="D70" s="15">
        <v>415.0</v>
      </c>
      <c r="E70" s="15">
        <v>624.0</v>
      </c>
      <c r="F70" s="15">
        <v>830.0</v>
      </c>
      <c r="G70" s="225">
        <f t="shared" ref="G70:K70" si="46">B70-B69</f>
        <v>35</v>
      </c>
      <c r="H70" s="225">
        <f t="shared" si="46"/>
        <v>27</v>
      </c>
      <c r="I70" s="225">
        <f t="shared" si="46"/>
        <v>10</v>
      </c>
      <c r="J70" s="225">
        <f t="shared" si="46"/>
        <v>10</v>
      </c>
      <c r="K70" s="225">
        <f t="shared" si="46"/>
        <v>11</v>
      </c>
      <c r="L70" s="224">
        <f t="shared" si="36"/>
        <v>5489</v>
      </c>
      <c r="M70" s="233">
        <f t="shared" si="37"/>
        <v>13473</v>
      </c>
      <c r="N70" s="49"/>
    </row>
    <row r="71" ht="15.75" customHeight="1">
      <c r="A71" s="15" t="s">
        <v>51</v>
      </c>
      <c r="B71" s="15">
        <v>156.0</v>
      </c>
      <c r="C71" s="15">
        <v>1645.0</v>
      </c>
      <c r="D71" s="15">
        <v>436.0</v>
      </c>
      <c r="E71" s="15">
        <v>637.0</v>
      </c>
      <c r="F71" s="15">
        <v>841.0</v>
      </c>
      <c r="G71" s="225">
        <f t="shared" ref="G71:K71" si="47">B71-B70</f>
        <v>54</v>
      </c>
      <c r="H71" s="225">
        <f t="shared" si="47"/>
        <v>31</v>
      </c>
      <c r="I71" s="225">
        <f t="shared" si="47"/>
        <v>21</v>
      </c>
      <c r="J71" s="225">
        <f t="shared" si="47"/>
        <v>13</v>
      </c>
      <c r="K71" s="225">
        <f t="shared" si="47"/>
        <v>11</v>
      </c>
      <c r="L71" s="224">
        <f t="shared" si="36"/>
        <v>5489</v>
      </c>
      <c r="M71" s="233">
        <f t="shared" si="37"/>
        <v>15469</v>
      </c>
      <c r="N71" s="49"/>
    </row>
    <row r="72" ht="15.75" customHeight="1">
      <c r="L72" s="69"/>
      <c r="N72" s="49"/>
    </row>
    <row r="73" ht="15.75" customHeight="1">
      <c r="A73" s="227">
        <v>2023.0</v>
      </c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8"/>
      <c r="M73" s="49"/>
      <c r="N73" s="49"/>
    </row>
    <row r="74" ht="15.75" customHeight="1">
      <c r="B74" s="222" t="s">
        <v>219</v>
      </c>
      <c r="C74" s="77"/>
      <c r="D74" s="77"/>
      <c r="E74" s="77"/>
      <c r="F74" s="77"/>
      <c r="G74" s="223" t="s">
        <v>246</v>
      </c>
      <c r="H74" s="223"/>
      <c r="I74" s="223"/>
      <c r="J74" s="223"/>
      <c r="K74" s="223"/>
      <c r="L74" s="224"/>
      <c r="N74" s="49"/>
    </row>
    <row r="75" ht="15.75" customHeight="1">
      <c r="B75" s="71" t="s">
        <v>221</v>
      </c>
      <c r="C75" s="229" t="s">
        <v>247</v>
      </c>
      <c r="D75" s="230" t="s">
        <v>248</v>
      </c>
      <c r="E75" s="230" t="s">
        <v>249</v>
      </c>
      <c r="F75" s="71" t="s">
        <v>225</v>
      </c>
      <c r="G75" s="225" t="s">
        <v>221</v>
      </c>
      <c r="H75" s="225" t="s">
        <v>222</v>
      </c>
      <c r="I75" s="225" t="s">
        <v>223</v>
      </c>
      <c r="J75" s="225" t="s">
        <v>224</v>
      </c>
      <c r="K75" s="225" t="s">
        <v>225</v>
      </c>
      <c r="L75" s="224" t="s">
        <v>226</v>
      </c>
      <c r="M75" s="232" t="s">
        <v>237</v>
      </c>
      <c r="N75" s="234" t="s">
        <v>250</v>
      </c>
      <c r="O75" s="15" t="s">
        <v>251</v>
      </c>
      <c r="Q75" s="15" t="s">
        <v>252</v>
      </c>
      <c r="R75" s="15" t="s">
        <v>252</v>
      </c>
      <c r="S75" s="15" t="s">
        <v>253</v>
      </c>
      <c r="V75" s="15" t="s">
        <v>238</v>
      </c>
      <c r="W75" s="15">
        <v>2023.0</v>
      </c>
    </row>
    <row r="76" ht="15.75" customHeight="1">
      <c r="A76" s="5"/>
      <c r="B76" s="40"/>
      <c r="C76" s="40"/>
      <c r="D76" s="40"/>
      <c r="E76" s="40"/>
      <c r="F76" s="40"/>
      <c r="G76" s="223"/>
      <c r="H76" s="223"/>
      <c r="I76" s="223"/>
      <c r="J76" s="223"/>
      <c r="K76" s="223"/>
      <c r="L76" s="224"/>
      <c r="M76" s="233"/>
      <c r="N76" s="77"/>
      <c r="V76" s="69" t="s">
        <v>239</v>
      </c>
      <c r="W76" s="17">
        <f>SUM(I78:J89)</f>
        <v>137</v>
      </c>
    </row>
    <row r="77" ht="15.75" customHeight="1">
      <c r="A77" s="5">
        <v>2023.0</v>
      </c>
      <c r="B77" s="40"/>
      <c r="C77" s="40"/>
      <c r="D77" s="40"/>
      <c r="E77" s="40"/>
      <c r="F77" s="40"/>
      <c r="G77" s="223"/>
      <c r="H77" s="223"/>
      <c r="I77" s="223"/>
      <c r="J77" s="223"/>
      <c r="K77" s="223"/>
      <c r="L77" s="224"/>
      <c r="M77" s="233"/>
      <c r="N77" s="77"/>
      <c r="V77" s="69" t="s">
        <v>240</v>
      </c>
      <c r="W77" s="65">
        <f>W76*547</f>
        <v>74939</v>
      </c>
    </row>
    <row r="78" ht="15.75" customHeight="1">
      <c r="A78" s="15" t="s">
        <v>53</v>
      </c>
      <c r="B78" s="49">
        <v>197.0</v>
      </c>
      <c r="C78" s="49">
        <v>1674.0</v>
      </c>
      <c r="D78" s="49">
        <v>444.0</v>
      </c>
      <c r="E78" s="49">
        <v>649.0</v>
      </c>
      <c r="F78" s="49">
        <v>853.0</v>
      </c>
      <c r="G78" s="225">
        <f t="shared" ref="G78:K78" si="48">B78-B71</f>
        <v>41</v>
      </c>
      <c r="H78" s="225">
        <f t="shared" si="48"/>
        <v>29</v>
      </c>
      <c r="I78" s="225">
        <f t="shared" si="48"/>
        <v>8</v>
      </c>
      <c r="J78" s="225">
        <f t="shared" si="48"/>
        <v>12</v>
      </c>
      <c r="K78" s="225">
        <f t="shared" si="48"/>
        <v>12</v>
      </c>
      <c r="L78" s="224">
        <f t="shared" ref="L78:L89" si="50">K78*547</f>
        <v>6564</v>
      </c>
      <c r="M78" s="233">
        <f t="shared" ref="M78:M89" si="51">H78*547</f>
        <v>15863</v>
      </c>
      <c r="N78" s="77">
        <f t="shared" ref="N78:N89" si="52">L78+M78</f>
        <v>22427</v>
      </c>
      <c r="O78" s="15">
        <v>22974.0</v>
      </c>
      <c r="P78" s="15" t="s">
        <v>254</v>
      </c>
      <c r="Q78" s="15">
        <v>951.0</v>
      </c>
      <c r="R78" s="196">
        <f t="shared" ref="R78:R80" si="53">Q78*24.4</f>
        <v>23204.4</v>
      </c>
      <c r="S78" s="196">
        <f t="shared" ref="S78:S89" si="54">O78-R78</f>
        <v>-230.4</v>
      </c>
      <c r="V78" s="15" t="s">
        <v>192</v>
      </c>
      <c r="W78" s="17">
        <f>12*7000</f>
        <v>84000</v>
      </c>
    </row>
    <row r="79" ht="15.75" customHeight="1">
      <c r="A79" s="15" t="s">
        <v>54</v>
      </c>
      <c r="B79" s="49">
        <v>240.0</v>
      </c>
      <c r="C79" s="49">
        <v>1701.0</v>
      </c>
      <c r="D79" s="49">
        <v>452.0</v>
      </c>
      <c r="E79" s="49">
        <v>661.0</v>
      </c>
      <c r="F79" s="49">
        <v>864.0</v>
      </c>
      <c r="G79" s="225">
        <f t="shared" ref="G79:K79" si="49">B79-B78</f>
        <v>43</v>
      </c>
      <c r="H79" s="225">
        <f t="shared" si="49"/>
        <v>27</v>
      </c>
      <c r="I79" s="225">
        <f t="shared" si="49"/>
        <v>8</v>
      </c>
      <c r="J79" s="225">
        <f t="shared" si="49"/>
        <v>12</v>
      </c>
      <c r="K79" s="225">
        <f t="shared" si="49"/>
        <v>11</v>
      </c>
      <c r="L79" s="224">
        <f t="shared" si="50"/>
        <v>6017</v>
      </c>
      <c r="M79" s="233">
        <f t="shared" si="51"/>
        <v>14769</v>
      </c>
      <c r="N79" s="77">
        <f t="shared" si="52"/>
        <v>20786</v>
      </c>
      <c r="O79" s="15">
        <v>23521.0</v>
      </c>
      <c r="P79" s="15" t="s">
        <v>254</v>
      </c>
      <c r="Q79" s="15">
        <v>628.0</v>
      </c>
      <c r="R79" s="196">
        <f t="shared" si="53"/>
        <v>15323.2</v>
      </c>
      <c r="S79" s="196">
        <f t="shared" si="54"/>
        <v>8197.8</v>
      </c>
    </row>
    <row r="80" ht="15.75" customHeight="1">
      <c r="A80" s="15" t="s">
        <v>55</v>
      </c>
      <c r="B80" s="49">
        <v>274.0</v>
      </c>
      <c r="C80" s="49">
        <v>1729.0</v>
      </c>
      <c r="D80" s="49">
        <v>461.0</v>
      </c>
      <c r="E80" s="49">
        <v>671.0</v>
      </c>
      <c r="F80" s="49">
        <v>876.0</v>
      </c>
      <c r="G80" s="225">
        <f t="shared" ref="G80:K80" si="55">B80-B79</f>
        <v>34</v>
      </c>
      <c r="H80" s="225">
        <f t="shared" si="55"/>
        <v>28</v>
      </c>
      <c r="I80" s="225">
        <f t="shared" si="55"/>
        <v>9</v>
      </c>
      <c r="J80" s="225">
        <f t="shared" si="55"/>
        <v>10</v>
      </c>
      <c r="K80" s="225">
        <f t="shared" si="55"/>
        <v>12</v>
      </c>
      <c r="L80" s="224">
        <f t="shared" si="50"/>
        <v>6564</v>
      </c>
      <c r="M80" s="233">
        <f t="shared" si="51"/>
        <v>15316</v>
      </c>
      <c r="N80" s="77">
        <f t="shared" si="52"/>
        <v>21880</v>
      </c>
      <c r="O80" s="15">
        <v>18598.0</v>
      </c>
      <c r="P80" s="15" t="s">
        <v>254</v>
      </c>
      <c r="Q80" s="15">
        <v>653.0</v>
      </c>
      <c r="R80" s="196">
        <f t="shared" si="53"/>
        <v>15933.2</v>
      </c>
      <c r="S80" s="196">
        <f t="shared" si="54"/>
        <v>2664.8</v>
      </c>
      <c r="V80" s="15" t="s">
        <v>241</v>
      </c>
      <c r="W80" s="65">
        <f>W77-W78</f>
        <v>-9061</v>
      </c>
    </row>
    <row r="81" ht="15.75" customHeight="1">
      <c r="A81" s="15" t="s">
        <v>56</v>
      </c>
      <c r="B81" s="49">
        <v>302.0</v>
      </c>
      <c r="C81" s="49">
        <v>1752.0</v>
      </c>
      <c r="D81" s="49">
        <v>469.0</v>
      </c>
      <c r="E81" s="49">
        <v>682.0</v>
      </c>
      <c r="F81" s="49">
        <v>887.0</v>
      </c>
      <c r="G81" s="225">
        <f t="shared" ref="G81:K81" si="56">B81-B80</f>
        <v>28</v>
      </c>
      <c r="H81" s="225">
        <f t="shared" si="56"/>
        <v>23</v>
      </c>
      <c r="I81" s="225">
        <f t="shared" si="56"/>
        <v>8</v>
      </c>
      <c r="J81" s="225">
        <f t="shared" si="56"/>
        <v>11</v>
      </c>
      <c r="K81" s="225">
        <f t="shared" si="56"/>
        <v>11</v>
      </c>
      <c r="L81" s="224">
        <f t="shared" si="50"/>
        <v>6017</v>
      </c>
      <c r="M81" s="233">
        <f t="shared" si="51"/>
        <v>12581</v>
      </c>
      <c r="N81" s="77">
        <f t="shared" si="52"/>
        <v>18598</v>
      </c>
      <c r="O81" s="15">
        <v>14769.0</v>
      </c>
      <c r="P81" s="15" t="s">
        <v>254</v>
      </c>
      <c r="Q81" s="15">
        <v>516.0</v>
      </c>
      <c r="R81" s="196">
        <f t="shared" ref="R81:R83" si="58">Q81*23.36</f>
        <v>12053.76</v>
      </c>
      <c r="S81" s="196">
        <f t="shared" si="54"/>
        <v>2715.24</v>
      </c>
    </row>
    <row r="82" ht="15.75" customHeight="1">
      <c r="A82" s="15" t="s">
        <v>81</v>
      </c>
      <c r="B82" s="49">
        <v>319.0</v>
      </c>
      <c r="C82" s="49">
        <v>1768.0</v>
      </c>
      <c r="D82" s="49">
        <v>478.0</v>
      </c>
      <c r="E82" s="49">
        <v>692.0</v>
      </c>
      <c r="F82" s="49">
        <v>898.0</v>
      </c>
      <c r="G82" s="225">
        <f t="shared" ref="G82:K82" si="57">B82-B81</f>
        <v>17</v>
      </c>
      <c r="H82" s="225">
        <f t="shared" si="57"/>
        <v>16</v>
      </c>
      <c r="I82" s="225">
        <f t="shared" si="57"/>
        <v>9</v>
      </c>
      <c r="J82" s="225">
        <f t="shared" si="57"/>
        <v>10</v>
      </c>
      <c r="K82" s="225">
        <f t="shared" si="57"/>
        <v>11</v>
      </c>
      <c r="L82" s="224">
        <f t="shared" si="50"/>
        <v>6017</v>
      </c>
      <c r="M82" s="233">
        <f t="shared" si="51"/>
        <v>8752</v>
      </c>
      <c r="N82" s="77">
        <f t="shared" si="52"/>
        <v>14769</v>
      </c>
      <c r="O82" s="235">
        <v>10393.0</v>
      </c>
      <c r="P82" s="235" t="s">
        <v>254</v>
      </c>
      <c r="Q82" s="235">
        <v>375.0</v>
      </c>
      <c r="R82" s="236">
        <f t="shared" si="58"/>
        <v>8760</v>
      </c>
      <c r="S82" s="196">
        <f t="shared" si="54"/>
        <v>1633</v>
      </c>
      <c r="T82" s="237">
        <f>SUM(S78:S82)</f>
        <v>14980.44</v>
      </c>
    </row>
    <row r="83" ht="15.75" customHeight="1">
      <c r="A83" s="15" t="s">
        <v>58</v>
      </c>
      <c r="B83" s="49">
        <v>330.0</v>
      </c>
      <c r="C83" s="49">
        <v>1768.0</v>
      </c>
      <c r="D83" s="49">
        <v>478.0</v>
      </c>
      <c r="E83" s="49">
        <v>692.0</v>
      </c>
      <c r="F83" s="49">
        <v>907.0</v>
      </c>
      <c r="G83" s="225">
        <f t="shared" ref="G83:K83" si="59">B83-B82</f>
        <v>11</v>
      </c>
      <c r="H83" s="225">
        <f t="shared" si="59"/>
        <v>0</v>
      </c>
      <c r="I83" s="225">
        <f t="shared" si="59"/>
        <v>0</v>
      </c>
      <c r="J83" s="225">
        <f t="shared" si="59"/>
        <v>0</v>
      </c>
      <c r="K83" s="225">
        <f t="shared" si="59"/>
        <v>9</v>
      </c>
      <c r="L83" s="224">
        <f t="shared" si="50"/>
        <v>4923</v>
      </c>
      <c r="M83" s="233">
        <f t="shared" si="51"/>
        <v>0</v>
      </c>
      <c r="N83" s="77">
        <f t="shared" si="52"/>
        <v>4923</v>
      </c>
      <c r="O83" s="15">
        <v>6017.0</v>
      </c>
      <c r="P83" s="15" t="s">
        <v>254</v>
      </c>
      <c r="Q83" s="15">
        <v>211.0</v>
      </c>
      <c r="R83" s="17">
        <f t="shared" si="58"/>
        <v>4928.96</v>
      </c>
      <c r="S83" s="238">
        <f t="shared" si="54"/>
        <v>1088.04</v>
      </c>
    </row>
    <row r="84" ht="15.75" customHeight="1">
      <c r="A84" s="15" t="s">
        <v>10</v>
      </c>
      <c r="B84" s="49">
        <v>343.0</v>
      </c>
      <c r="C84" s="49">
        <v>1768.0</v>
      </c>
      <c r="D84" s="49">
        <v>478.0</v>
      </c>
      <c r="E84" s="49">
        <v>692.0</v>
      </c>
      <c r="F84" s="49">
        <v>919.0</v>
      </c>
      <c r="G84" s="225">
        <f t="shared" ref="G84:K84" si="60">B84-B83</f>
        <v>13</v>
      </c>
      <c r="H84" s="225">
        <f t="shared" si="60"/>
        <v>0</v>
      </c>
      <c r="I84" s="225">
        <f t="shared" si="60"/>
        <v>0</v>
      </c>
      <c r="J84" s="225">
        <f t="shared" si="60"/>
        <v>0</v>
      </c>
      <c r="K84" s="225">
        <f t="shared" si="60"/>
        <v>12</v>
      </c>
      <c r="L84" s="224">
        <f t="shared" si="50"/>
        <v>6564</v>
      </c>
      <c r="M84" s="233">
        <f t="shared" si="51"/>
        <v>0</v>
      </c>
      <c r="N84" s="77">
        <f t="shared" si="52"/>
        <v>6564</v>
      </c>
      <c r="O84" s="15">
        <v>7111.0</v>
      </c>
      <c r="P84" s="15" t="s">
        <v>254</v>
      </c>
      <c r="Q84" s="15">
        <v>277.0</v>
      </c>
      <c r="R84" s="17">
        <f>Q84*23.72</f>
        <v>6570.44</v>
      </c>
      <c r="S84" s="196">
        <f t="shared" si="54"/>
        <v>540.56</v>
      </c>
    </row>
    <row r="85" ht="15.75" customHeight="1">
      <c r="A85" s="15" t="s">
        <v>21</v>
      </c>
      <c r="B85" s="49">
        <v>355.0</v>
      </c>
      <c r="C85" s="49">
        <v>1768.0</v>
      </c>
      <c r="D85" s="49">
        <v>478.0</v>
      </c>
      <c r="E85" s="49">
        <v>692.0</v>
      </c>
      <c r="F85" s="49">
        <v>930.0</v>
      </c>
      <c r="G85" s="225">
        <f t="shared" ref="G85:K85" si="61">B85-B84</f>
        <v>12</v>
      </c>
      <c r="H85" s="225">
        <f t="shared" si="61"/>
        <v>0</v>
      </c>
      <c r="I85" s="225">
        <f t="shared" si="61"/>
        <v>0</v>
      </c>
      <c r="J85" s="225">
        <f t="shared" si="61"/>
        <v>0</v>
      </c>
      <c r="K85" s="225">
        <f t="shared" si="61"/>
        <v>11</v>
      </c>
      <c r="L85" s="224">
        <f t="shared" si="50"/>
        <v>6017</v>
      </c>
      <c r="M85" s="233">
        <f t="shared" si="51"/>
        <v>0</v>
      </c>
      <c r="N85" s="77">
        <f t="shared" si="52"/>
        <v>6017</v>
      </c>
      <c r="O85" s="15">
        <v>6564.0</v>
      </c>
      <c r="P85" s="15" t="s">
        <v>254</v>
      </c>
      <c r="Q85" s="15">
        <v>251.0</v>
      </c>
      <c r="R85" s="17">
        <f>Q85*24</f>
        <v>6024</v>
      </c>
      <c r="S85" s="196">
        <f t="shared" si="54"/>
        <v>540</v>
      </c>
      <c r="W85" s="65">
        <f>P44+P62+W80</f>
        <v>16957</v>
      </c>
    </row>
    <row r="86" ht="15.75" customHeight="1">
      <c r="A86" s="15" t="s">
        <v>22</v>
      </c>
      <c r="B86" s="49">
        <v>367.0</v>
      </c>
      <c r="C86" s="49">
        <v>1770.0</v>
      </c>
      <c r="D86" s="49">
        <v>479.0</v>
      </c>
      <c r="E86" s="49">
        <v>692.0</v>
      </c>
      <c r="F86" s="49">
        <v>939.0</v>
      </c>
      <c r="G86" s="225">
        <f t="shared" ref="G86:K86" si="62">B86-B85</f>
        <v>12</v>
      </c>
      <c r="H86" s="225">
        <f t="shared" si="62"/>
        <v>2</v>
      </c>
      <c r="I86" s="225">
        <f t="shared" si="62"/>
        <v>1</v>
      </c>
      <c r="J86" s="225">
        <f t="shared" si="62"/>
        <v>0</v>
      </c>
      <c r="K86" s="225">
        <f t="shared" si="62"/>
        <v>9</v>
      </c>
      <c r="L86" s="224">
        <f t="shared" si="50"/>
        <v>4923</v>
      </c>
      <c r="M86" s="233">
        <f t="shared" si="51"/>
        <v>1094</v>
      </c>
      <c r="N86" s="77">
        <f t="shared" si="52"/>
        <v>6017</v>
      </c>
      <c r="O86" s="15">
        <v>6564.0</v>
      </c>
      <c r="P86" s="15" t="s">
        <v>254</v>
      </c>
      <c r="Q86" s="15">
        <v>251.0</v>
      </c>
      <c r="R86" s="17">
        <f t="shared" ref="R86:R87" si="64">Q86*24.4</f>
        <v>6124.4</v>
      </c>
      <c r="S86" s="196">
        <f t="shared" si="54"/>
        <v>439.6</v>
      </c>
    </row>
    <row r="87" ht="15.75" customHeight="1">
      <c r="A87" s="15" t="s">
        <v>60</v>
      </c>
      <c r="B87" s="49">
        <v>388.0</v>
      </c>
      <c r="C87" s="49">
        <v>1795.0</v>
      </c>
      <c r="D87" s="49">
        <v>488.0</v>
      </c>
      <c r="E87" s="49">
        <v>692.0</v>
      </c>
      <c r="F87" s="49">
        <v>951.0</v>
      </c>
      <c r="G87" s="225">
        <f t="shared" ref="G87:K87" si="63">B87-B86</f>
        <v>21</v>
      </c>
      <c r="H87" s="225">
        <f t="shared" si="63"/>
        <v>25</v>
      </c>
      <c r="I87" s="225">
        <f t="shared" si="63"/>
        <v>9</v>
      </c>
      <c r="J87" s="225">
        <f t="shared" si="63"/>
        <v>0</v>
      </c>
      <c r="K87" s="225">
        <f t="shared" si="63"/>
        <v>12</v>
      </c>
      <c r="L87" s="224">
        <f t="shared" si="50"/>
        <v>6564</v>
      </c>
      <c r="M87" s="233">
        <f t="shared" si="51"/>
        <v>13675</v>
      </c>
      <c r="N87" s="77">
        <f t="shared" si="52"/>
        <v>20239</v>
      </c>
      <c r="O87" s="15">
        <v>10940.0</v>
      </c>
      <c r="P87" s="15" t="s">
        <v>254</v>
      </c>
      <c r="Q87" s="15">
        <v>829.0</v>
      </c>
      <c r="R87" s="17">
        <f t="shared" si="64"/>
        <v>20227.6</v>
      </c>
      <c r="S87" s="196">
        <f t="shared" si="54"/>
        <v>-9287.6</v>
      </c>
    </row>
    <row r="88" ht="15.75" customHeight="1">
      <c r="A88" s="15" t="s">
        <v>61</v>
      </c>
      <c r="B88" s="49">
        <v>414.0</v>
      </c>
      <c r="C88" s="49">
        <v>1820.0</v>
      </c>
      <c r="D88" s="49">
        <v>496.0</v>
      </c>
      <c r="E88" s="49">
        <v>696.0</v>
      </c>
      <c r="F88" s="49">
        <v>959.0</v>
      </c>
      <c r="G88" s="225">
        <f t="shared" ref="G88:K88" si="65">B88-B87</f>
        <v>26</v>
      </c>
      <c r="H88" s="225">
        <f t="shared" si="65"/>
        <v>25</v>
      </c>
      <c r="I88" s="225">
        <f t="shared" si="65"/>
        <v>8</v>
      </c>
      <c r="J88" s="225">
        <f t="shared" si="65"/>
        <v>4</v>
      </c>
      <c r="K88" s="225">
        <f t="shared" si="65"/>
        <v>8</v>
      </c>
      <c r="L88" s="224">
        <f t="shared" si="50"/>
        <v>4376</v>
      </c>
      <c r="M88" s="233">
        <f t="shared" si="51"/>
        <v>13675</v>
      </c>
      <c r="N88" s="77">
        <f t="shared" si="52"/>
        <v>18051</v>
      </c>
      <c r="O88" s="15">
        <v>14969.0</v>
      </c>
      <c r="P88" s="15" t="s">
        <v>254</v>
      </c>
      <c r="Q88" s="15">
        <v>732.0</v>
      </c>
      <c r="R88" s="17">
        <f t="shared" ref="R88:R89" si="67">Q88*24.65</f>
        <v>18043.8</v>
      </c>
      <c r="S88" s="196">
        <f t="shared" si="54"/>
        <v>-3074.8</v>
      </c>
    </row>
    <row r="89" ht="15.75" customHeight="1">
      <c r="A89" s="15" t="s">
        <v>51</v>
      </c>
      <c r="B89" s="15">
        <v>455.0</v>
      </c>
      <c r="C89" s="15">
        <v>1850.0</v>
      </c>
      <c r="D89" s="15">
        <v>504.0</v>
      </c>
      <c r="E89" s="15">
        <v>706.0</v>
      </c>
      <c r="F89" s="15">
        <v>970.0</v>
      </c>
      <c r="G89" s="225">
        <f t="shared" ref="G89:K89" si="66">B89-B88</f>
        <v>41</v>
      </c>
      <c r="H89" s="225">
        <f t="shared" si="66"/>
        <v>30</v>
      </c>
      <c r="I89" s="225">
        <f t="shared" si="66"/>
        <v>8</v>
      </c>
      <c r="J89" s="225">
        <f t="shared" si="66"/>
        <v>10</v>
      </c>
      <c r="K89" s="225">
        <f t="shared" si="66"/>
        <v>11</v>
      </c>
      <c r="L89" s="224">
        <f t="shared" si="50"/>
        <v>6017</v>
      </c>
      <c r="M89" s="233">
        <f t="shared" si="51"/>
        <v>16410</v>
      </c>
      <c r="N89" s="77">
        <f t="shared" si="52"/>
        <v>22427</v>
      </c>
      <c r="O89" s="15">
        <v>19000.0</v>
      </c>
      <c r="P89" s="15" t="s">
        <v>254</v>
      </c>
      <c r="Q89" s="15">
        <v>910.0</v>
      </c>
      <c r="R89" s="17">
        <f t="shared" si="67"/>
        <v>22431.5</v>
      </c>
      <c r="S89" s="196">
        <f t="shared" si="54"/>
        <v>-3431.5</v>
      </c>
    </row>
    <row r="90" ht="15.75" customHeight="1">
      <c r="I90" s="17">
        <f t="shared" ref="I90:J90" si="68">SUM(I78:I89)</f>
        <v>68</v>
      </c>
      <c r="J90" s="17">
        <f t="shared" si="68"/>
        <v>69</v>
      </c>
      <c r="L90" s="69"/>
      <c r="N90" s="49"/>
      <c r="T90" s="196">
        <f>SUM(S83:S89)</f>
        <v>-13185.7</v>
      </c>
    </row>
    <row r="91" ht="15.75" customHeight="1">
      <c r="A91" s="227">
        <v>2024.0</v>
      </c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8"/>
      <c r="M91" s="49"/>
      <c r="N91" s="49"/>
    </row>
    <row r="92" ht="15.75" customHeight="1">
      <c r="B92" s="222" t="s">
        <v>219</v>
      </c>
      <c r="C92" s="77"/>
      <c r="D92" s="77"/>
      <c r="E92" s="77"/>
      <c r="F92" s="77"/>
      <c r="G92" s="223" t="s">
        <v>255</v>
      </c>
      <c r="H92" s="223"/>
      <c r="I92" s="223"/>
      <c r="J92" s="223"/>
      <c r="K92" s="223"/>
      <c r="L92" s="224"/>
      <c r="N92" s="49"/>
    </row>
    <row r="93" ht="15.75" customHeight="1">
      <c r="B93" s="71" t="s">
        <v>221</v>
      </c>
      <c r="C93" s="229" t="s">
        <v>256</v>
      </c>
      <c r="D93" s="230" t="s">
        <v>257</v>
      </c>
      <c r="E93" s="230" t="s">
        <v>258</v>
      </c>
      <c r="F93" s="71" t="s">
        <v>225</v>
      </c>
      <c r="G93" s="225" t="s">
        <v>221</v>
      </c>
      <c r="H93" s="225" t="s">
        <v>222</v>
      </c>
      <c r="I93" s="225" t="s">
        <v>223</v>
      </c>
      <c r="J93" s="225" t="s">
        <v>224</v>
      </c>
      <c r="K93" s="225" t="s">
        <v>225</v>
      </c>
      <c r="L93" s="224" t="s">
        <v>226</v>
      </c>
      <c r="M93" s="232" t="s">
        <v>237</v>
      </c>
      <c r="N93" s="234" t="s">
        <v>250</v>
      </c>
    </row>
    <row r="94" ht="15.75" customHeight="1">
      <c r="A94" s="5"/>
      <c r="B94" s="40"/>
      <c r="C94" s="40"/>
      <c r="D94" s="40"/>
      <c r="E94" s="40"/>
      <c r="F94" s="40"/>
      <c r="G94" s="223"/>
      <c r="H94" s="223"/>
      <c r="I94" s="223"/>
      <c r="J94" s="223"/>
      <c r="K94" s="223"/>
      <c r="L94" s="224"/>
      <c r="M94" s="233"/>
      <c r="N94" s="77"/>
      <c r="T94" s="239" t="s">
        <v>251</v>
      </c>
    </row>
    <row r="95" ht="15.75" customHeight="1">
      <c r="A95" s="5">
        <v>2024.0</v>
      </c>
      <c r="B95" s="40"/>
      <c r="C95" s="40"/>
      <c r="D95" s="40"/>
      <c r="E95" s="40"/>
      <c r="F95" s="40"/>
      <c r="G95" s="223"/>
      <c r="H95" s="223"/>
      <c r="I95" s="223"/>
      <c r="J95" s="223"/>
      <c r="K95" s="223"/>
      <c r="L95" s="224"/>
      <c r="M95" s="233"/>
      <c r="N95" s="77"/>
      <c r="T95" s="240"/>
      <c r="U95" s="199" t="s">
        <v>259</v>
      </c>
      <c r="V95" s="199" t="s">
        <v>254</v>
      </c>
      <c r="W95" s="199" t="s">
        <v>260</v>
      </c>
      <c r="X95" s="199"/>
      <c r="Y95" s="200" t="s">
        <v>261</v>
      </c>
    </row>
    <row r="96" ht="15.75" customHeight="1">
      <c r="A96" s="15" t="s">
        <v>53</v>
      </c>
      <c r="B96" s="49">
        <v>496.0</v>
      </c>
      <c r="C96" s="49">
        <v>1879.0</v>
      </c>
      <c r="D96" s="49">
        <v>512.0</v>
      </c>
      <c r="E96" s="49">
        <v>716.0</v>
      </c>
      <c r="F96" s="49">
        <v>980.0</v>
      </c>
      <c r="G96" s="225">
        <f t="shared" ref="G96:K96" si="69">B96-B89</f>
        <v>41</v>
      </c>
      <c r="H96" s="225">
        <f t="shared" si="69"/>
        <v>29</v>
      </c>
      <c r="I96" s="225">
        <f t="shared" si="69"/>
        <v>8</v>
      </c>
      <c r="J96" s="225">
        <f t="shared" si="69"/>
        <v>10</v>
      </c>
      <c r="K96" s="225">
        <f t="shared" si="69"/>
        <v>10</v>
      </c>
      <c r="L96" s="224">
        <f t="shared" ref="L96:L105" si="71">K96*634</f>
        <v>6340</v>
      </c>
      <c r="M96" s="233">
        <f t="shared" ref="M96:M105" si="72">H96*634</f>
        <v>18386</v>
      </c>
      <c r="N96" s="77">
        <f t="shared" ref="N96:N103" si="73">L96+M96</f>
        <v>24726</v>
      </c>
      <c r="Q96" s="49"/>
      <c r="T96" s="241" t="s">
        <v>262</v>
      </c>
      <c r="U96" s="15">
        <v>43.0</v>
      </c>
      <c r="V96" s="15">
        <v>27262.0</v>
      </c>
      <c r="W96" s="15">
        <v>30533.0</v>
      </c>
      <c r="Y96" s="188">
        <v>7000.0</v>
      </c>
    </row>
    <row r="97" ht="15.75" customHeight="1">
      <c r="A97" s="15" t="s">
        <v>54</v>
      </c>
      <c r="B97" s="49">
        <v>526.0</v>
      </c>
      <c r="C97" s="49">
        <v>1906.0</v>
      </c>
      <c r="D97" s="49">
        <v>520.0</v>
      </c>
      <c r="E97" s="49">
        <v>724.0</v>
      </c>
      <c r="F97" s="49">
        <v>990.0</v>
      </c>
      <c r="G97" s="225">
        <f t="shared" ref="G97:K97" si="70">B97-B96</f>
        <v>30</v>
      </c>
      <c r="H97" s="225">
        <f t="shared" si="70"/>
        <v>27</v>
      </c>
      <c r="I97" s="225">
        <f t="shared" si="70"/>
        <v>8</v>
      </c>
      <c r="J97" s="225">
        <f t="shared" si="70"/>
        <v>8</v>
      </c>
      <c r="K97" s="225">
        <f t="shared" si="70"/>
        <v>10</v>
      </c>
      <c r="L97" s="224">
        <f t="shared" si="71"/>
        <v>6340</v>
      </c>
      <c r="M97" s="233">
        <f t="shared" si="72"/>
        <v>17118</v>
      </c>
      <c r="N97" s="77">
        <f t="shared" si="73"/>
        <v>23458</v>
      </c>
      <c r="Q97" s="49"/>
      <c r="T97" s="241" t="s">
        <v>263</v>
      </c>
      <c r="U97" s="15">
        <v>30.0</v>
      </c>
      <c r="V97" s="15">
        <v>19020.0</v>
      </c>
      <c r="W97" s="15">
        <v>21302.0</v>
      </c>
      <c r="Y97" s="188">
        <v>7000.0</v>
      </c>
    </row>
    <row r="98" ht="15.75" customHeight="1">
      <c r="A98" s="15" t="s">
        <v>55</v>
      </c>
      <c r="B98" s="49">
        <v>556.0</v>
      </c>
      <c r="C98" s="49">
        <v>1933.0</v>
      </c>
      <c r="D98" s="49">
        <v>528.0</v>
      </c>
      <c r="E98" s="49">
        <v>733.0</v>
      </c>
      <c r="F98" s="49">
        <v>1001.0</v>
      </c>
      <c r="G98" s="225">
        <f t="shared" ref="G98:K98" si="74">B98-B97</f>
        <v>30</v>
      </c>
      <c r="H98" s="225">
        <f t="shared" si="74"/>
        <v>27</v>
      </c>
      <c r="I98" s="225">
        <f t="shared" si="74"/>
        <v>8</v>
      </c>
      <c r="J98" s="225">
        <f t="shared" si="74"/>
        <v>9</v>
      </c>
      <c r="K98" s="225">
        <f t="shared" si="74"/>
        <v>11</v>
      </c>
      <c r="L98" s="224">
        <f t="shared" si="71"/>
        <v>6974</v>
      </c>
      <c r="M98" s="233">
        <f t="shared" si="72"/>
        <v>17118</v>
      </c>
      <c r="N98" s="77">
        <f t="shared" si="73"/>
        <v>24092</v>
      </c>
      <c r="Q98" s="49"/>
      <c r="T98" s="241" t="s">
        <v>264</v>
      </c>
      <c r="U98" s="15">
        <v>29.0</v>
      </c>
      <c r="V98" s="15">
        <v>18386.0</v>
      </c>
      <c r="W98" s="15">
        <v>20592.0</v>
      </c>
      <c r="Y98" s="188">
        <v>7000.0</v>
      </c>
    </row>
    <row r="99" ht="15.75" customHeight="1">
      <c r="A99" s="15" t="s">
        <v>56</v>
      </c>
      <c r="B99" s="49">
        <v>573.0</v>
      </c>
      <c r="C99" s="49">
        <v>1961.0</v>
      </c>
      <c r="D99" s="49">
        <v>537.0</v>
      </c>
      <c r="E99" s="49">
        <v>741.0</v>
      </c>
      <c r="F99" s="49">
        <v>1011.0</v>
      </c>
      <c r="G99" s="225">
        <f t="shared" ref="G99:K99" si="75">B99-B98</f>
        <v>17</v>
      </c>
      <c r="H99" s="225">
        <f t="shared" si="75"/>
        <v>28</v>
      </c>
      <c r="I99" s="225">
        <f t="shared" si="75"/>
        <v>9</v>
      </c>
      <c r="J99" s="225">
        <f t="shared" si="75"/>
        <v>8</v>
      </c>
      <c r="K99" s="225">
        <f t="shared" si="75"/>
        <v>10</v>
      </c>
      <c r="L99" s="224">
        <f t="shared" si="71"/>
        <v>6340</v>
      </c>
      <c r="M99" s="233">
        <f t="shared" si="72"/>
        <v>17752</v>
      </c>
      <c r="N99" s="77">
        <f t="shared" si="73"/>
        <v>24092</v>
      </c>
      <c r="Q99" s="49"/>
      <c r="T99" s="241" t="s">
        <v>265</v>
      </c>
      <c r="U99" s="15">
        <v>17.0</v>
      </c>
      <c r="V99" s="15">
        <v>10778.0</v>
      </c>
      <c r="W99" s="15">
        <v>12071.0</v>
      </c>
      <c r="Y99" s="188">
        <v>7000.0</v>
      </c>
    </row>
    <row r="100" ht="15.75" customHeight="1">
      <c r="A100" s="15" t="s">
        <v>81</v>
      </c>
      <c r="B100" s="49">
        <v>588.0</v>
      </c>
      <c r="C100" s="49">
        <v>1976.0</v>
      </c>
      <c r="D100" s="49">
        <v>545.0</v>
      </c>
      <c r="E100" s="49">
        <v>749.0</v>
      </c>
      <c r="F100" s="49">
        <v>1021.0</v>
      </c>
      <c r="G100" s="225">
        <f t="shared" ref="G100:K100" si="76">B100-B99</f>
        <v>15</v>
      </c>
      <c r="H100" s="225">
        <f t="shared" si="76"/>
        <v>15</v>
      </c>
      <c r="I100" s="225">
        <f t="shared" si="76"/>
        <v>8</v>
      </c>
      <c r="J100" s="225">
        <f t="shared" si="76"/>
        <v>8</v>
      </c>
      <c r="K100" s="225">
        <f t="shared" si="76"/>
        <v>10</v>
      </c>
      <c r="L100" s="224">
        <f t="shared" si="71"/>
        <v>6340</v>
      </c>
      <c r="M100" s="233">
        <f t="shared" si="72"/>
        <v>9510</v>
      </c>
      <c r="N100" s="77">
        <f t="shared" si="73"/>
        <v>15850</v>
      </c>
      <c r="Q100" s="49"/>
      <c r="T100" s="241" t="s">
        <v>266</v>
      </c>
      <c r="U100" s="15">
        <v>15.0</v>
      </c>
      <c r="V100" s="15">
        <v>9510.0</v>
      </c>
      <c r="W100" s="15">
        <v>10651.0</v>
      </c>
      <c r="Y100" s="188">
        <v>7000.0</v>
      </c>
    </row>
    <row r="101" ht="15.75" customHeight="1">
      <c r="A101" s="15" t="s">
        <v>58</v>
      </c>
      <c r="B101" s="49">
        <v>599.0</v>
      </c>
      <c r="C101" s="49">
        <v>1976.0</v>
      </c>
      <c r="D101" s="49">
        <v>545.0</v>
      </c>
      <c r="E101" s="49">
        <v>749.0</v>
      </c>
      <c r="F101" s="49">
        <v>1030.0</v>
      </c>
      <c r="G101" s="225">
        <f t="shared" ref="G101:K101" si="77">B101-B100</f>
        <v>11</v>
      </c>
      <c r="H101" s="225">
        <f t="shared" si="77"/>
        <v>0</v>
      </c>
      <c r="I101" s="225">
        <f t="shared" si="77"/>
        <v>0</v>
      </c>
      <c r="J101" s="225">
        <f t="shared" si="77"/>
        <v>0</v>
      </c>
      <c r="K101" s="225">
        <f t="shared" si="77"/>
        <v>9</v>
      </c>
      <c r="L101" s="224">
        <f t="shared" si="71"/>
        <v>5706</v>
      </c>
      <c r="M101" s="233">
        <f t="shared" si="72"/>
        <v>0</v>
      </c>
      <c r="N101" s="77">
        <f t="shared" si="73"/>
        <v>5706</v>
      </c>
      <c r="Q101" s="49"/>
      <c r="T101" s="241" t="s">
        <v>267</v>
      </c>
      <c r="U101" s="15">
        <v>11.0</v>
      </c>
      <c r="V101" s="15">
        <v>6974.0</v>
      </c>
      <c r="W101" s="15">
        <v>7811.0</v>
      </c>
      <c r="Y101" s="188">
        <v>7000.0</v>
      </c>
    </row>
    <row r="102" ht="15.75" customHeight="1">
      <c r="A102" s="15" t="s">
        <v>10</v>
      </c>
      <c r="B102" s="49">
        <v>611.0</v>
      </c>
      <c r="C102" s="49">
        <v>1976.0</v>
      </c>
      <c r="D102" s="49">
        <v>545.0</v>
      </c>
      <c r="E102" s="49">
        <v>749.0</v>
      </c>
      <c r="F102" s="49">
        <v>1041.0</v>
      </c>
      <c r="G102" s="225">
        <f t="shared" ref="G102:K102" si="78">B102-B101</f>
        <v>12</v>
      </c>
      <c r="H102" s="225">
        <f t="shared" si="78"/>
        <v>0</v>
      </c>
      <c r="I102" s="225">
        <f t="shared" si="78"/>
        <v>0</v>
      </c>
      <c r="J102" s="225">
        <f t="shared" si="78"/>
        <v>0</v>
      </c>
      <c r="K102" s="225">
        <f t="shared" si="78"/>
        <v>11</v>
      </c>
      <c r="L102" s="224">
        <f t="shared" si="71"/>
        <v>6974</v>
      </c>
      <c r="M102" s="233">
        <f t="shared" si="72"/>
        <v>0</v>
      </c>
      <c r="N102" s="77">
        <f t="shared" si="73"/>
        <v>6974</v>
      </c>
      <c r="Q102" s="49"/>
      <c r="T102" s="241" t="s">
        <v>268</v>
      </c>
      <c r="U102" s="15">
        <v>12.0</v>
      </c>
      <c r="V102" s="15">
        <v>7608.0</v>
      </c>
      <c r="W102" s="15">
        <v>8521.0</v>
      </c>
      <c r="Y102" s="188">
        <v>7000.0</v>
      </c>
    </row>
    <row r="103" ht="15.75" customHeight="1">
      <c r="A103" s="15" t="s">
        <v>21</v>
      </c>
      <c r="B103" s="49">
        <v>622.0</v>
      </c>
      <c r="C103" s="49">
        <v>1976.0</v>
      </c>
      <c r="D103" s="49">
        <v>545.0</v>
      </c>
      <c r="E103" s="49">
        <v>749.0</v>
      </c>
      <c r="F103" s="49">
        <v>1050.0</v>
      </c>
      <c r="G103" s="225">
        <f t="shared" ref="G103:K103" si="79">B103-B102</f>
        <v>11</v>
      </c>
      <c r="H103" s="225">
        <f t="shared" si="79"/>
        <v>0</v>
      </c>
      <c r="I103" s="225">
        <f t="shared" si="79"/>
        <v>0</v>
      </c>
      <c r="J103" s="225">
        <f t="shared" si="79"/>
        <v>0</v>
      </c>
      <c r="K103" s="225">
        <f t="shared" si="79"/>
        <v>9</v>
      </c>
      <c r="L103" s="224">
        <f t="shared" si="71"/>
        <v>5706</v>
      </c>
      <c r="M103" s="233">
        <f t="shared" si="72"/>
        <v>0</v>
      </c>
      <c r="N103" s="77">
        <f t="shared" si="73"/>
        <v>5706</v>
      </c>
      <c r="Q103" s="49"/>
      <c r="T103" s="241" t="s">
        <v>269</v>
      </c>
      <c r="U103" s="15">
        <v>11.0</v>
      </c>
      <c r="V103" s="15">
        <v>6974.0</v>
      </c>
      <c r="W103" s="15">
        <v>7811.0</v>
      </c>
      <c r="Y103" s="188">
        <v>7000.0</v>
      </c>
    </row>
    <row r="104" ht="15.75" customHeight="1">
      <c r="A104" s="15" t="s">
        <v>22</v>
      </c>
      <c r="B104" s="49">
        <v>633.0</v>
      </c>
      <c r="C104" s="49">
        <v>1978.0</v>
      </c>
      <c r="D104" s="49">
        <v>546.0</v>
      </c>
      <c r="E104" s="49">
        <v>749.0</v>
      </c>
      <c r="F104" s="49">
        <v>1059.0</v>
      </c>
      <c r="G104" s="225">
        <f t="shared" ref="G104:K104" si="80">B104-B103</f>
        <v>11</v>
      </c>
      <c r="H104" s="225">
        <f t="shared" si="80"/>
        <v>2</v>
      </c>
      <c r="I104" s="225">
        <f t="shared" si="80"/>
        <v>1</v>
      </c>
      <c r="J104" s="225">
        <f t="shared" si="80"/>
        <v>0</v>
      </c>
      <c r="K104" s="225">
        <f t="shared" si="80"/>
        <v>9</v>
      </c>
      <c r="L104" s="224">
        <f t="shared" si="71"/>
        <v>5706</v>
      </c>
      <c r="M104" s="233">
        <f t="shared" si="72"/>
        <v>1268</v>
      </c>
      <c r="N104" s="77">
        <v>7610.0</v>
      </c>
      <c r="Q104" s="49"/>
      <c r="T104" s="241" t="s">
        <v>270</v>
      </c>
      <c r="U104" s="15">
        <v>12.0</v>
      </c>
      <c r="V104" s="15">
        <v>7608.0</v>
      </c>
      <c r="W104" s="15">
        <v>8521.0</v>
      </c>
      <c r="Y104" s="188">
        <v>7000.0</v>
      </c>
    </row>
    <row r="105" ht="15.75" customHeight="1">
      <c r="A105" s="15" t="s">
        <v>60</v>
      </c>
      <c r="B105" s="49">
        <v>656.0</v>
      </c>
      <c r="C105" s="49">
        <v>2000.0</v>
      </c>
      <c r="D105" s="49">
        <v>555.0</v>
      </c>
      <c r="E105" s="49">
        <v>757.0</v>
      </c>
      <c r="F105" s="49">
        <v>1069.0</v>
      </c>
      <c r="G105" s="225">
        <f t="shared" ref="G105:K105" si="81">B105-B104</f>
        <v>23</v>
      </c>
      <c r="H105" s="225">
        <f t="shared" si="81"/>
        <v>22</v>
      </c>
      <c r="I105" s="225">
        <f t="shared" si="81"/>
        <v>9</v>
      </c>
      <c r="J105" s="225">
        <f t="shared" si="81"/>
        <v>8</v>
      </c>
      <c r="K105" s="225">
        <f t="shared" si="81"/>
        <v>10</v>
      </c>
      <c r="L105" s="224">
        <f t="shared" si="71"/>
        <v>6340</v>
      </c>
      <c r="M105" s="233">
        <f t="shared" si="72"/>
        <v>13948</v>
      </c>
      <c r="N105" s="77">
        <f t="shared" ref="N105:N107" si="83">L105+M105</f>
        <v>20288</v>
      </c>
      <c r="Q105" s="49"/>
      <c r="T105" s="241" t="s">
        <v>271</v>
      </c>
      <c r="U105" s="15">
        <v>22.0</v>
      </c>
      <c r="V105" s="15">
        <v>13148.0</v>
      </c>
      <c r="W105" s="15">
        <v>15622.0</v>
      </c>
      <c r="Y105" s="188">
        <v>7000.0</v>
      </c>
    </row>
    <row r="106" ht="15.75" customHeight="1">
      <c r="A106" s="15" t="s">
        <v>61</v>
      </c>
      <c r="B106" s="49">
        <v>689.0</v>
      </c>
      <c r="C106" s="49">
        <v>2022.0</v>
      </c>
      <c r="D106" s="49">
        <v>563.0</v>
      </c>
      <c r="E106" s="49">
        <v>766.0</v>
      </c>
      <c r="F106" s="49">
        <v>1077.0</v>
      </c>
      <c r="G106" s="225">
        <f t="shared" ref="G106:K106" si="82">B106-B105</f>
        <v>33</v>
      </c>
      <c r="H106" s="225">
        <f t="shared" si="82"/>
        <v>22</v>
      </c>
      <c r="I106" s="225">
        <f t="shared" si="82"/>
        <v>8</v>
      </c>
      <c r="J106" s="225">
        <f t="shared" si="82"/>
        <v>9</v>
      </c>
      <c r="K106" s="225">
        <f t="shared" si="82"/>
        <v>8</v>
      </c>
      <c r="L106" s="224">
        <f t="shared" ref="L106:L107" si="85">K106*749</f>
        <v>5992</v>
      </c>
      <c r="M106" s="233">
        <f t="shared" ref="M106:M107" si="86">H106*749</f>
        <v>16478</v>
      </c>
      <c r="N106" s="77">
        <f t="shared" si="83"/>
        <v>22470</v>
      </c>
      <c r="Q106" s="15"/>
      <c r="T106" s="241" t="s">
        <v>272</v>
      </c>
      <c r="U106" s="15">
        <v>33.0</v>
      </c>
      <c r="V106" s="15">
        <v>24717.0</v>
      </c>
      <c r="W106" s="15">
        <v>27683.0</v>
      </c>
      <c r="Y106" s="188">
        <v>7000.0</v>
      </c>
    </row>
    <row r="107" ht="15.75" customHeight="1">
      <c r="A107" s="15" t="s">
        <v>51</v>
      </c>
      <c r="B107" s="15">
        <v>731.0</v>
      </c>
      <c r="C107" s="15">
        <v>2049.0</v>
      </c>
      <c r="D107" s="15">
        <v>573.0</v>
      </c>
      <c r="E107" s="15">
        <v>776.0</v>
      </c>
      <c r="F107" s="15">
        <v>1086.0</v>
      </c>
      <c r="G107" s="225">
        <f t="shared" ref="G107:K107" si="84">B107-B106</f>
        <v>42</v>
      </c>
      <c r="H107" s="225">
        <f t="shared" si="84"/>
        <v>27</v>
      </c>
      <c r="I107" s="225">
        <f t="shared" si="84"/>
        <v>10</v>
      </c>
      <c r="J107" s="225">
        <f t="shared" si="84"/>
        <v>10</v>
      </c>
      <c r="K107" s="225">
        <f t="shared" si="84"/>
        <v>9</v>
      </c>
      <c r="L107" s="224">
        <f t="shared" si="85"/>
        <v>6741</v>
      </c>
      <c r="M107" s="233">
        <f t="shared" si="86"/>
        <v>20223</v>
      </c>
      <c r="N107" s="77">
        <f t="shared" si="83"/>
        <v>26964</v>
      </c>
      <c r="Q107" s="15"/>
      <c r="T107" s="241" t="s">
        <v>273</v>
      </c>
      <c r="U107" s="15">
        <v>42.0</v>
      </c>
      <c r="V107" s="15">
        <v>31458.0</v>
      </c>
      <c r="W107" s="15">
        <v>35233.0</v>
      </c>
      <c r="Y107" s="188">
        <v>7000.0</v>
      </c>
    </row>
    <row r="108" ht="15.75" customHeight="1">
      <c r="B108" s="49"/>
      <c r="C108" s="49"/>
      <c r="D108" s="49"/>
      <c r="E108" s="49"/>
      <c r="F108" s="49"/>
      <c r="G108" s="40"/>
      <c r="H108" s="40"/>
      <c r="I108" s="40">
        <f t="shared" ref="I108:J108" si="87">SUM(I96:I107)</f>
        <v>69</v>
      </c>
      <c r="J108" s="40">
        <f t="shared" si="87"/>
        <v>70</v>
      </c>
      <c r="L108" s="69"/>
      <c r="N108" s="49"/>
      <c r="T108" s="242"/>
      <c r="U108" s="235"/>
      <c r="V108" s="235"/>
      <c r="W108" s="235"/>
      <c r="X108" s="235"/>
      <c r="Y108" s="243"/>
    </row>
    <row r="109" ht="15.75" customHeight="1">
      <c r="J109" s="17">
        <f>I108+J108</f>
        <v>139</v>
      </c>
      <c r="L109" s="69"/>
      <c r="N109" s="49">
        <f>SUM(N95:N107)</f>
        <v>207936</v>
      </c>
      <c r="U109" s="17">
        <f t="shared" ref="U109:W109" si="88">SUM(U96:U107)</f>
        <v>277</v>
      </c>
      <c r="V109" s="17">
        <f t="shared" si="88"/>
        <v>183443</v>
      </c>
      <c r="W109" s="17">
        <f t="shared" si="88"/>
        <v>206351</v>
      </c>
      <c r="Y109" s="17">
        <f>SUM(Y95:Y107)</f>
        <v>84000</v>
      </c>
    </row>
    <row r="110" ht="15.75" customHeight="1">
      <c r="J110" s="17">
        <f>J109*634</f>
        <v>88126</v>
      </c>
      <c r="L110" s="69"/>
      <c r="N110" s="49"/>
    </row>
    <row r="111" ht="15.75" customHeight="1">
      <c r="L111" s="69"/>
      <c r="N111" s="49"/>
    </row>
    <row r="112" ht="15.75" hidden="1" customHeight="1">
      <c r="A112" s="227">
        <v>2024.0</v>
      </c>
      <c r="B112" s="227" t="s">
        <v>274</v>
      </c>
      <c r="C112" s="227"/>
      <c r="D112" s="227"/>
      <c r="E112" s="227"/>
      <c r="F112" s="227"/>
      <c r="G112" s="227"/>
      <c r="H112" s="227"/>
      <c r="I112" s="227"/>
      <c r="J112" s="227"/>
      <c r="K112" s="227"/>
      <c r="L112" s="228"/>
      <c r="M112" s="49"/>
      <c r="N112" s="49"/>
    </row>
    <row r="113" ht="15.75" hidden="1" customHeight="1">
      <c r="B113" s="222" t="s">
        <v>219</v>
      </c>
      <c r="C113" s="77"/>
      <c r="D113" s="77"/>
      <c r="E113" s="77"/>
      <c r="F113" s="77"/>
      <c r="G113" s="223" t="s">
        <v>275</v>
      </c>
      <c r="H113" s="223"/>
      <c r="I113" s="223"/>
      <c r="J113" s="223"/>
      <c r="K113" s="223"/>
      <c r="L113" s="224"/>
      <c r="N113" s="49"/>
    </row>
    <row r="114" ht="15.75" hidden="1" customHeight="1">
      <c r="B114" s="71" t="s">
        <v>221</v>
      </c>
      <c r="C114" s="229" t="s">
        <v>276</v>
      </c>
      <c r="D114" s="230" t="s">
        <v>277</v>
      </c>
      <c r="E114" s="230" t="s">
        <v>278</v>
      </c>
      <c r="F114" s="71" t="s">
        <v>225</v>
      </c>
      <c r="G114" s="244" t="s">
        <v>279</v>
      </c>
      <c r="H114" s="225" t="s">
        <v>205</v>
      </c>
      <c r="I114" s="225" t="s">
        <v>223</v>
      </c>
      <c r="J114" s="225" t="s">
        <v>224</v>
      </c>
      <c r="K114" s="225" t="s">
        <v>280</v>
      </c>
      <c r="L114" s="224" t="s">
        <v>226</v>
      </c>
      <c r="M114" s="232" t="s">
        <v>237</v>
      </c>
      <c r="N114" s="234" t="s">
        <v>250</v>
      </c>
      <c r="O114" s="15" t="s">
        <v>251</v>
      </c>
      <c r="Q114" s="15" t="s">
        <v>252</v>
      </c>
      <c r="R114" s="15" t="s">
        <v>253</v>
      </c>
    </row>
    <row r="115" ht="15.75" hidden="1" customHeight="1">
      <c r="A115" s="5"/>
      <c r="B115" s="40"/>
      <c r="C115" s="40"/>
      <c r="D115" s="40"/>
      <c r="E115" s="40"/>
      <c r="F115" s="40"/>
      <c r="G115" s="223"/>
      <c r="H115" s="223"/>
      <c r="I115" s="223"/>
      <c r="J115" s="223"/>
      <c r="K115" s="223"/>
      <c r="L115" s="224"/>
      <c r="M115" s="233"/>
      <c r="N115" s="77"/>
    </row>
    <row r="116" ht="15.75" hidden="1" customHeight="1">
      <c r="A116" s="5">
        <v>2024.0</v>
      </c>
      <c r="B116" s="40"/>
      <c r="C116" s="40"/>
      <c r="D116" s="40"/>
      <c r="E116" s="40"/>
      <c r="F116" s="40"/>
      <c r="G116" s="223"/>
      <c r="H116" s="223"/>
      <c r="I116" s="223"/>
      <c r="J116" s="223"/>
      <c r="K116" s="223"/>
      <c r="L116" s="224"/>
      <c r="M116" s="233"/>
      <c r="N116" s="77"/>
      <c r="W116" s="15" t="s">
        <v>260</v>
      </c>
    </row>
    <row r="117" ht="15.75" hidden="1" customHeight="1">
      <c r="A117" s="15" t="s">
        <v>53</v>
      </c>
      <c r="B117" s="49">
        <v>496.0</v>
      </c>
      <c r="C117" s="49">
        <v>1879.0</v>
      </c>
      <c r="D117" s="49">
        <v>512.0</v>
      </c>
      <c r="E117" s="49">
        <v>716.0</v>
      </c>
      <c r="F117" s="49">
        <v>980.0</v>
      </c>
      <c r="G117" s="225">
        <f t="shared" ref="G117:K117" si="89">B117-B89</f>
        <v>41</v>
      </c>
      <c r="H117" s="225">
        <f t="shared" si="89"/>
        <v>29</v>
      </c>
      <c r="I117" s="225">
        <f t="shared" si="89"/>
        <v>8</v>
      </c>
      <c r="J117" s="225">
        <f t="shared" si="89"/>
        <v>10</v>
      </c>
      <c r="K117" s="225">
        <f t="shared" si="89"/>
        <v>10</v>
      </c>
      <c r="L117" s="224">
        <f t="shared" ref="L117:L126" si="91">K117*634</f>
        <v>6340</v>
      </c>
      <c r="M117" s="233">
        <f t="shared" ref="M117:M126" si="92">H117*634</f>
        <v>18386</v>
      </c>
      <c r="N117" s="77">
        <f t="shared" ref="N117:N124" si="93">L117+M117</f>
        <v>24726</v>
      </c>
      <c r="O117" s="15">
        <v>27262.0</v>
      </c>
      <c r="P117" s="15" t="s">
        <v>254</v>
      </c>
      <c r="Q117" s="245">
        <v>24726.0</v>
      </c>
      <c r="R117" s="17">
        <f t="shared" ref="R117:R126" si="94">O117-Q117</f>
        <v>2536</v>
      </c>
      <c r="W117" s="15">
        <v>30533.0</v>
      </c>
    </row>
    <row r="118" ht="15.75" hidden="1" customHeight="1">
      <c r="A118" s="15" t="s">
        <v>54</v>
      </c>
      <c r="B118" s="49">
        <v>526.0</v>
      </c>
      <c r="C118" s="49">
        <v>1906.0</v>
      </c>
      <c r="D118" s="49">
        <v>520.0</v>
      </c>
      <c r="E118" s="49">
        <v>724.0</v>
      </c>
      <c r="F118" s="49">
        <v>990.0</v>
      </c>
      <c r="G118" s="225">
        <f t="shared" ref="G118:K118" si="90">B118-B117</f>
        <v>30</v>
      </c>
      <c r="H118" s="225">
        <f t="shared" si="90"/>
        <v>27</v>
      </c>
      <c r="I118" s="225">
        <f t="shared" si="90"/>
        <v>8</v>
      </c>
      <c r="J118" s="225">
        <f t="shared" si="90"/>
        <v>8</v>
      </c>
      <c r="K118" s="225">
        <f t="shared" si="90"/>
        <v>10</v>
      </c>
      <c r="L118" s="224">
        <f t="shared" si="91"/>
        <v>6340</v>
      </c>
      <c r="M118" s="233">
        <f t="shared" si="92"/>
        <v>17118</v>
      </c>
      <c r="N118" s="77">
        <f t="shared" si="93"/>
        <v>23458</v>
      </c>
      <c r="O118" s="15">
        <v>19020.0</v>
      </c>
      <c r="P118" s="15" t="s">
        <v>254</v>
      </c>
      <c r="Q118" s="245">
        <v>23458.0</v>
      </c>
      <c r="R118" s="17">
        <f t="shared" si="94"/>
        <v>-4438</v>
      </c>
      <c r="W118" s="15">
        <v>21302.0</v>
      </c>
    </row>
    <row r="119" ht="15.75" hidden="1" customHeight="1">
      <c r="A119" s="15" t="s">
        <v>55</v>
      </c>
      <c r="B119" s="49">
        <v>556.0</v>
      </c>
      <c r="C119" s="49">
        <v>1933.0</v>
      </c>
      <c r="D119" s="49">
        <v>528.0</v>
      </c>
      <c r="E119" s="49">
        <v>733.0</v>
      </c>
      <c r="F119" s="49">
        <v>1001.0</v>
      </c>
      <c r="G119" s="225">
        <f t="shared" ref="G119:K119" si="95">B119-B118</f>
        <v>30</v>
      </c>
      <c r="H119" s="225">
        <f t="shared" si="95"/>
        <v>27</v>
      </c>
      <c r="I119" s="225">
        <f t="shared" si="95"/>
        <v>8</v>
      </c>
      <c r="J119" s="225">
        <f t="shared" si="95"/>
        <v>9</v>
      </c>
      <c r="K119" s="225">
        <f t="shared" si="95"/>
        <v>11</v>
      </c>
      <c r="L119" s="224">
        <f t="shared" si="91"/>
        <v>6974</v>
      </c>
      <c r="M119" s="233">
        <f t="shared" si="92"/>
        <v>17118</v>
      </c>
      <c r="N119" s="77">
        <f t="shared" si="93"/>
        <v>24092</v>
      </c>
      <c r="O119" s="15">
        <v>18386.0</v>
      </c>
      <c r="P119" s="15" t="s">
        <v>254</v>
      </c>
      <c r="Q119" s="245">
        <v>24092.0</v>
      </c>
      <c r="R119" s="17">
        <f t="shared" si="94"/>
        <v>-5706</v>
      </c>
      <c r="W119" s="15">
        <v>20592.0</v>
      </c>
    </row>
    <row r="120" ht="15.75" hidden="1" customHeight="1">
      <c r="A120" s="15" t="s">
        <v>56</v>
      </c>
      <c r="B120" s="49">
        <v>573.0</v>
      </c>
      <c r="C120" s="49">
        <v>1961.0</v>
      </c>
      <c r="D120" s="49">
        <v>537.0</v>
      </c>
      <c r="E120" s="49">
        <v>741.0</v>
      </c>
      <c r="F120" s="49">
        <v>1011.0</v>
      </c>
      <c r="G120" s="225">
        <f t="shared" ref="G120:K120" si="96">B120-B119</f>
        <v>17</v>
      </c>
      <c r="H120" s="225">
        <f t="shared" si="96"/>
        <v>28</v>
      </c>
      <c r="I120" s="225">
        <f t="shared" si="96"/>
        <v>9</v>
      </c>
      <c r="J120" s="225">
        <f t="shared" si="96"/>
        <v>8</v>
      </c>
      <c r="K120" s="225">
        <f t="shared" si="96"/>
        <v>10</v>
      </c>
      <c r="L120" s="224">
        <f t="shared" si="91"/>
        <v>6340</v>
      </c>
      <c r="M120" s="233">
        <f t="shared" si="92"/>
        <v>17752</v>
      </c>
      <c r="N120" s="77">
        <f t="shared" si="93"/>
        <v>24092</v>
      </c>
      <c r="O120" s="15">
        <v>10778.0</v>
      </c>
      <c r="P120" s="15" t="s">
        <v>254</v>
      </c>
      <c r="Q120" s="245">
        <v>16000.0</v>
      </c>
      <c r="R120" s="17">
        <f t="shared" si="94"/>
        <v>-5222</v>
      </c>
      <c r="W120" s="15">
        <v>12071.0</v>
      </c>
    </row>
    <row r="121" ht="15.75" hidden="1" customHeight="1">
      <c r="A121" s="15" t="s">
        <v>81</v>
      </c>
      <c r="B121" s="49">
        <v>588.0</v>
      </c>
      <c r="C121" s="49">
        <v>1976.0</v>
      </c>
      <c r="D121" s="49">
        <v>545.0</v>
      </c>
      <c r="E121" s="49">
        <v>749.0</v>
      </c>
      <c r="F121" s="49">
        <v>1021.0</v>
      </c>
      <c r="G121" s="225">
        <f t="shared" ref="G121:K121" si="97">B121-B120</f>
        <v>15</v>
      </c>
      <c r="H121" s="225">
        <f t="shared" si="97"/>
        <v>15</v>
      </c>
      <c r="I121" s="225">
        <f t="shared" si="97"/>
        <v>8</v>
      </c>
      <c r="J121" s="225">
        <f t="shared" si="97"/>
        <v>8</v>
      </c>
      <c r="K121" s="225">
        <f t="shared" si="97"/>
        <v>10</v>
      </c>
      <c r="L121" s="224">
        <f t="shared" si="91"/>
        <v>6340</v>
      </c>
      <c r="M121" s="233">
        <f t="shared" si="92"/>
        <v>9510</v>
      </c>
      <c r="N121" s="77">
        <f t="shared" si="93"/>
        <v>15850</v>
      </c>
      <c r="O121" s="15">
        <v>9510.0</v>
      </c>
      <c r="P121" s="15" t="s">
        <v>254</v>
      </c>
      <c r="Q121" s="245">
        <v>15850.0</v>
      </c>
      <c r="R121" s="17">
        <f t="shared" si="94"/>
        <v>-6340</v>
      </c>
      <c r="W121" s="15">
        <v>10651.0</v>
      </c>
    </row>
    <row r="122" ht="15.75" hidden="1" customHeight="1">
      <c r="A122" s="15" t="s">
        <v>58</v>
      </c>
      <c r="B122" s="49">
        <v>599.0</v>
      </c>
      <c r="C122" s="49">
        <v>1976.0</v>
      </c>
      <c r="D122" s="49">
        <v>545.0</v>
      </c>
      <c r="E122" s="49">
        <v>749.0</v>
      </c>
      <c r="F122" s="49">
        <v>1030.0</v>
      </c>
      <c r="G122" s="225">
        <f t="shared" ref="G122:K122" si="98">B122-B121</f>
        <v>11</v>
      </c>
      <c r="H122" s="225">
        <f t="shared" si="98"/>
        <v>0</v>
      </c>
      <c r="I122" s="225">
        <f t="shared" si="98"/>
        <v>0</v>
      </c>
      <c r="J122" s="225">
        <f t="shared" si="98"/>
        <v>0</v>
      </c>
      <c r="K122" s="225">
        <f t="shared" si="98"/>
        <v>9</v>
      </c>
      <c r="L122" s="224">
        <f t="shared" si="91"/>
        <v>5706</v>
      </c>
      <c r="M122" s="233">
        <f t="shared" si="92"/>
        <v>0</v>
      </c>
      <c r="N122" s="77">
        <f t="shared" si="93"/>
        <v>5706</v>
      </c>
      <c r="O122" s="15">
        <v>6974.0</v>
      </c>
      <c r="P122" s="15" t="s">
        <v>254</v>
      </c>
      <c r="Q122" s="245">
        <v>5706.0</v>
      </c>
      <c r="R122" s="17">
        <f t="shared" si="94"/>
        <v>1268</v>
      </c>
      <c r="W122" s="15">
        <v>7811.0</v>
      </c>
    </row>
    <row r="123" ht="15.75" hidden="1" customHeight="1">
      <c r="A123" s="15" t="s">
        <v>10</v>
      </c>
      <c r="B123" s="49">
        <v>611.0</v>
      </c>
      <c r="C123" s="49">
        <v>1976.0</v>
      </c>
      <c r="D123" s="49">
        <v>545.0</v>
      </c>
      <c r="E123" s="49">
        <v>749.0</v>
      </c>
      <c r="F123" s="49">
        <v>1041.0</v>
      </c>
      <c r="G123" s="225">
        <f t="shared" ref="G123:K123" si="99">B123-B122</f>
        <v>12</v>
      </c>
      <c r="H123" s="225">
        <f t="shared" si="99"/>
        <v>0</v>
      </c>
      <c r="I123" s="225">
        <f t="shared" si="99"/>
        <v>0</v>
      </c>
      <c r="J123" s="225">
        <f t="shared" si="99"/>
        <v>0</v>
      </c>
      <c r="K123" s="225">
        <f t="shared" si="99"/>
        <v>11</v>
      </c>
      <c r="L123" s="224">
        <f t="shared" si="91"/>
        <v>6974</v>
      </c>
      <c r="M123" s="233">
        <f t="shared" si="92"/>
        <v>0</v>
      </c>
      <c r="N123" s="77">
        <f t="shared" si="93"/>
        <v>6974</v>
      </c>
      <c r="O123" s="15">
        <v>7608.0</v>
      </c>
      <c r="P123" s="15" t="s">
        <v>254</v>
      </c>
      <c r="Q123" s="245">
        <v>6974.0</v>
      </c>
      <c r="R123" s="17">
        <f t="shared" si="94"/>
        <v>634</v>
      </c>
      <c r="W123" s="15">
        <v>8521.0</v>
      </c>
    </row>
    <row r="124" ht="15.75" hidden="1" customHeight="1">
      <c r="A124" s="15" t="s">
        <v>21</v>
      </c>
      <c r="B124" s="49">
        <v>622.0</v>
      </c>
      <c r="C124" s="49">
        <v>1976.0</v>
      </c>
      <c r="D124" s="49">
        <v>545.0</v>
      </c>
      <c r="E124" s="49">
        <v>749.0</v>
      </c>
      <c r="F124" s="49">
        <v>1050.0</v>
      </c>
      <c r="G124" s="225">
        <f t="shared" ref="G124:K124" si="100">B124-B123</f>
        <v>11</v>
      </c>
      <c r="H124" s="225">
        <f t="shared" si="100"/>
        <v>0</v>
      </c>
      <c r="I124" s="225">
        <f t="shared" si="100"/>
        <v>0</v>
      </c>
      <c r="J124" s="225">
        <f t="shared" si="100"/>
        <v>0</v>
      </c>
      <c r="K124" s="225">
        <f t="shared" si="100"/>
        <v>9</v>
      </c>
      <c r="L124" s="224">
        <f t="shared" si="91"/>
        <v>5706</v>
      </c>
      <c r="M124" s="233">
        <f t="shared" si="92"/>
        <v>0</v>
      </c>
      <c r="N124" s="77">
        <f t="shared" si="93"/>
        <v>5706</v>
      </c>
      <c r="O124" s="15">
        <v>6974.0</v>
      </c>
      <c r="P124" s="15" t="s">
        <v>254</v>
      </c>
      <c r="Q124" s="245">
        <v>5706.0</v>
      </c>
      <c r="R124" s="17">
        <f t="shared" si="94"/>
        <v>1268</v>
      </c>
      <c r="W124" s="15">
        <v>7811.0</v>
      </c>
    </row>
    <row r="125" ht="15.75" hidden="1" customHeight="1">
      <c r="A125" s="15" t="s">
        <v>22</v>
      </c>
      <c r="B125" s="49">
        <v>633.0</v>
      </c>
      <c r="C125" s="49">
        <v>1978.0</v>
      </c>
      <c r="D125" s="49">
        <v>546.0</v>
      </c>
      <c r="E125" s="49">
        <v>749.0</v>
      </c>
      <c r="F125" s="49">
        <v>1059.0</v>
      </c>
      <c r="G125" s="225">
        <f t="shared" ref="G125:K125" si="101">B125-B124</f>
        <v>11</v>
      </c>
      <c r="H125" s="225">
        <f t="shared" si="101"/>
        <v>2</v>
      </c>
      <c r="I125" s="225">
        <f t="shared" si="101"/>
        <v>1</v>
      </c>
      <c r="J125" s="225">
        <f t="shared" si="101"/>
        <v>0</v>
      </c>
      <c r="K125" s="225">
        <f t="shared" si="101"/>
        <v>9</v>
      </c>
      <c r="L125" s="224">
        <f t="shared" si="91"/>
        <v>5706</v>
      </c>
      <c r="M125" s="233">
        <f t="shared" si="92"/>
        <v>1268</v>
      </c>
      <c r="N125" s="77">
        <v>7610.0</v>
      </c>
      <c r="O125" s="15">
        <v>7608.0</v>
      </c>
      <c r="P125" s="15" t="s">
        <v>254</v>
      </c>
      <c r="Q125" s="245">
        <v>7610.0</v>
      </c>
      <c r="R125" s="17">
        <f t="shared" si="94"/>
        <v>-2</v>
      </c>
      <c r="W125" s="15">
        <v>8521.0</v>
      </c>
    </row>
    <row r="126" ht="15.75" hidden="1" customHeight="1">
      <c r="A126" s="15" t="s">
        <v>60</v>
      </c>
      <c r="B126" s="49">
        <v>656.0</v>
      </c>
      <c r="C126" s="49">
        <v>2000.0</v>
      </c>
      <c r="D126" s="49">
        <v>555.0</v>
      </c>
      <c r="E126" s="49">
        <v>757.0</v>
      </c>
      <c r="F126" s="49">
        <v>1069.0</v>
      </c>
      <c r="G126" s="225">
        <f t="shared" ref="G126:K126" si="102">B126-B125</f>
        <v>23</v>
      </c>
      <c r="H126" s="225">
        <f t="shared" si="102"/>
        <v>22</v>
      </c>
      <c r="I126" s="225">
        <f t="shared" si="102"/>
        <v>9</v>
      </c>
      <c r="J126" s="225">
        <f t="shared" si="102"/>
        <v>8</v>
      </c>
      <c r="K126" s="225">
        <f t="shared" si="102"/>
        <v>10</v>
      </c>
      <c r="L126" s="224">
        <f t="shared" si="91"/>
        <v>6340</v>
      </c>
      <c r="M126" s="233">
        <f t="shared" si="92"/>
        <v>13948</v>
      </c>
      <c r="N126" s="77">
        <f t="shared" ref="N126:N127" si="104">L126+M126</f>
        <v>20288</v>
      </c>
      <c r="O126" s="15">
        <v>13148.0</v>
      </c>
      <c r="P126" s="15" t="s">
        <v>254</v>
      </c>
      <c r="Q126" s="245">
        <v>20288.0</v>
      </c>
      <c r="R126" s="17">
        <f t="shared" si="94"/>
        <v>-7140</v>
      </c>
      <c r="W126" s="15">
        <v>15622.0</v>
      </c>
    </row>
    <row r="127" ht="15.75" hidden="1" customHeight="1">
      <c r="A127" s="15" t="s">
        <v>61</v>
      </c>
      <c r="B127" s="49"/>
      <c r="C127" s="49"/>
      <c r="D127" s="49"/>
      <c r="E127" s="49"/>
      <c r="F127" s="49"/>
      <c r="G127" s="225">
        <f t="shared" ref="G127:K127" si="103">B127-B126</f>
        <v>-656</v>
      </c>
      <c r="H127" s="225">
        <f t="shared" si="103"/>
        <v>-2000</v>
      </c>
      <c r="I127" s="225">
        <f t="shared" si="103"/>
        <v>-555</v>
      </c>
      <c r="J127" s="225">
        <f t="shared" si="103"/>
        <v>-757</v>
      </c>
      <c r="K127" s="225">
        <f t="shared" si="103"/>
        <v>-1069</v>
      </c>
      <c r="L127" s="224">
        <f t="shared" ref="L127:L128" si="106">K127*749</f>
        <v>-800681</v>
      </c>
      <c r="M127" s="233">
        <f t="shared" ref="M127:M128" si="107">H127*749</f>
        <v>-1498000</v>
      </c>
      <c r="N127" s="77">
        <f t="shared" si="104"/>
        <v>-2298681</v>
      </c>
    </row>
    <row r="128" ht="15.75" hidden="1" customHeight="1">
      <c r="A128" s="15" t="s">
        <v>51</v>
      </c>
      <c r="G128" s="225">
        <f t="shared" ref="G128:K128" si="105">B128-B127</f>
        <v>0</v>
      </c>
      <c r="H128" s="225">
        <f t="shared" si="105"/>
        <v>0</v>
      </c>
      <c r="I128" s="225">
        <f t="shared" si="105"/>
        <v>0</v>
      </c>
      <c r="J128" s="225">
        <f t="shared" si="105"/>
        <v>0</v>
      </c>
      <c r="K128" s="225">
        <f t="shared" si="105"/>
        <v>0</v>
      </c>
      <c r="L128" s="224">
        <f t="shared" si="106"/>
        <v>0</v>
      </c>
      <c r="M128" s="233">
        <f t="shared" si="107"/>
        <v>0</v>
      </c>
      <c r="N128" s="77">
        <v>20240.0</v>
      </c>
    </row>
    <row r="129" ht="15.75" hidden="1" customHeight="1">
      <c r="L129" s="69"/>
      <c r="N129" s="49"/>
      <c r="R129" s="17">
        <f>SUM(R117:R128)</f>
        <v>-23142</v>
      </c>
    </row>
    <row r="130" ht="15.75" hidden="1" customHeight="1">
      <c r="G130" s="17">
        <f>SUM(G117:G126)</f>
        <v>201</v>
      </c>
      <c r="K130" s="15">
        <v>99.0</v>
      </c>
      <c r="L130" s="69"/>
      <c r="N130" s="49"/>
      <c r="O130" s="17">
        <f>SUM(O116:O128)</f>
        <v>127268</v>
      </c>
      <c r="Q130" s="17">
        <f>SUM(Q116:Q128)</f>
        <v>150410</v>
      </c>
    </row>
    <row r="131" ht="15.75" customHeight="1">
      <c r="L131" s="69"/>
      <c r="N131" s="49"/>
    </row>
    <row r="132" ht="15.75" customHeight="1">
      <c r="A132" s="227">
        <v>2025.0</v>
      </c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8"/>
      <c r="M132" s="49"/>
      <c r="N132" s="49"/>
    </row>
    <row r="133" ht="15.75" customHeight="1">
      <c r="B133" s="222" t="s">
        <v>219</v>
      </c>
      <c r="C133" s="77"/>
      <c r="D133" s="77"/>
      <c r="E133" s="77"/>
      <c r="F133" s="77"/>
      <c r="G133" s="223" t="s">
        <v>281</v>
      </c>
      <c r="H133" s="223"/>
      <c r="I133" s="223"/>
      <c r="J133" s="223"/>
      <c r="K133" s="223"/>
      <c r="L133" s="224"/>
      <c r="N133" s="49"/>
    </row>
    <row r="134" ht="15.75" customHeight="1">
      <c r="B134" s="71" t="s">
        <v>225</v>
      </c>
      <c r="C134" s="229" t="s">
        <v>282</v>
      </c>
      <c r="D134" s="230" t="s">
        <v>283</v>
      </c>
      <c r="E134" s="230" t="s">
        <v>284</v>
      </c>
      <c r="F134" s="230" t="s">
        <v>221</v>
      </c>
      <c r="G134" s="225" t="s">
        <v>225</v>
      </c>
      <c r="H134" s="225" t="s">
        <v>222</v>
      </c>
      <c r="I134" s="225" t="s">
        <v>223</v>
      </c>
      <c r="J134" s="225" t="s">
        <v>224</v>
      </c>
      <c r="K134" s="225" t="s">
        <v>221</v>
      </c>
      <c r="L134" s="224" t="s">
        <v>285</v>
      </c>
      <c r="M134" s="232" t="s">
        <v>237</v>
      </c>
      <c r="N134" s="234" t="s">
        <v>250</v>
      </c>
      <c r="O134" s="15" t="s">
        <v>213</v>
      </c>
      <c r="T134" s="239"/>
    </row>
    <row r="135" ht="15.75" customHeight="1">
      <c r="A135" s="5"/>
      <c r="B135" s="40"/>
      <c r="C135" s="40"/>
      <c r="D135" s="40"/>
      <c r="E135" s="40"/>
      <c r="F135" s="40"/>
      <c r="G135" s="223"/>
      <c r="H135" s="223"/>
      <c r="I135" s="223"/>
      <c r="J135" s="223"/>
      <c r="K135" s="223"/>
      <c r="L135" s="224"/>
      <c r="M135" s="233"/>
      <c r="N135" s="77"/>
      <c r="T135" s="239" t="s">
        <v>251</v>
      </c>
    </row>
    <row r="136" ht="15.75" customHeight="1">
      <c r="A136" s="5">
        <v>2025.0</v>
      </c>
      <c r="B136" s="40"/>
      <c r="C136" s="40"/>
      <c r="D136" s="40"/>
      <c r="E136" s="40"/>
      <c r="F136" s="40"/>
      <c r="G136" s="223"/>
      <c r="H136" s="223"/>
      <c r="I136" s="223"/>
      <c r="J136" s="223"/>
      <c r="K136" s="223"/>
      <c r="L136" s="224"/>
      <c r="M136" s="233"/>
      <c r="N136" s="77"/>
      <c r="T136" s="240"/>
      <c r="U136" s="199" t="s">
        <v>259</v>
      </c>
      <c r="V136" s="199" t="s">
        <v>254</v>
      </c>
      <c r="W136" s="199" t="s">
        <v>260</v>
      </c>
      <c r="X136" s="199"/>
      <c r="Y136" s="200" t="s">
        <v>261</v>
      </c>
    </row>
    <row r="137" ht="15.75" customHeight="1">
      <c r="A137" s="15" t="s">
        <v>53</v>
      </c>
      <c r="B137" s="49">
        <v>777.0</v>
      </c>
      <c r="C137" s="49">
        <v>2076.0</v>
      </c>
      <c r="D137" s="49">
        <v>588.0</v>
      </c>
      <c r="E137" s="49">
        <v>786.0</v>
      </c>
      <c r="F137" s="49">
        <v>1094.0</v>
      </c>
      <c r="G137" s="225">
        <f t="shared" ref="G137:K137" si="108">B137-B107</f>
        <v>46</v>
      </c>
      <c r="H137" s="225">
        <f t="shared" si="108"/>
        <v>27</v>
      </c>
      <c r="I137" s="225">
        <f t="shared" si="108"/>
        <v>15</v>
      </c>
      <c r="J137" s="225">
        <f t="shared" si="108"/>
        <v>10</v>
      </c>
      <c r="K137" s="225">
        <f t="shared" si="108"/>
        <v>8</v>
      </c>
      <c r="L137" s="224">
        <f t="shared" ref="L137:L148" si="110">G137*749</f>
        <v>34454</v>
      </c>
      <c r="M137" s="233">
        <f>H137*749+(K137/2)*749</f>
        <v>23219</v>
      </c>
      <c r="N137" s="77">
        <f t="shared" ref="N137:N138" si="111">M137</f>
        <v>23219</v>
      </c>
      <c r="O137" s="17">
        <f t="shared" ref="O137:O148" si="112">L137-M137</f>
        <v>11235</v>
      </c>
      <c r="Q137" s="49"/>
      <c r="T137" s="241" t="s">
        <v>262</v>
      </c>
      <c r="U137" s="15">
        <v>48.0</v>
      </c>
      <c r="V137" s="15">
        <v>35952.0</v>
      </c>
      <c r="W137" s="15">
        <v>40266.0</v>
      </c>
      <c r="Y137" s="188">
        <v>7000.0</v>
      </c>
    </row>
    <row r="138" ht="15.75" customHeight="1">
      <c r="A138" s="15" t="s">
        <v>54</v>
      </c>
      <c r="B138" s="49">
        <v>825.0</v>
      </c>
      <c r="C138" s="49">
        <v>2103.0</v>
      </c>
      <c r="D138" s="49">
        <v>602.0</v>
      </c>
      <c r="E138" s="49">
        <v>797.0</v>
      </c>
      <c r="F138" s="49">
        <v>1101.0</v>
      </c>
      <c r="G138" s="225">
        <f t="shared" ref="G138:K138" si="109">B138-B137</f>
        <v>48</v>
      </c>
      <c r="H138" s="225">
        <f t="shared" si="109"/>
        <v>27</v>
      </c>
      <c r="I138" s="225">
        <f t="shared" si="109"/>
        <v>14</v>
      </c>
      <c r="J138" s="225">
        <f t="shared" si="109"/>
        <v>11</v>
      </c>
      <c r="K138" s="225">
        <f t="shared" si="109"/>
        <v>7</v>
      </c>
      <c r="L138" s="224">
        <f t="shared" si="110"/>
        <v>35952</v>
      </c>
      <c r="M138" s="233">
        <f t="shared" ref="M138:M148" si="114">H138*749</f>
        <v>20223</v>
      </c>
      <c r="N138" s="77">
        <f t="shared" si="111"/>
        <v>20223</v>
      </c>
      <c r="O138" s="17">
        <f t="shared" si="112"/>
        <v>15729</v>
      </c>
      <c r="Q138" s="49"/>
      <c r="T138" s="241"/>
      <c r="Y138" s="188">
        <v>7000.0</v>
      </c>
    </row>
    <row r="139" ht="15.75" customHeight="1">
      <c r="A139" s="15" t="s">
        <v>55</v>
      </c>
      <c r="B139" s="49"/>
      <c r="C139" s="49"/>
      <c r="D139" s="49"/>
      <c r="E139" s="49"/>
      <c r="F139" s="49"/>
      <c r="G139" s="225">
        <f t="shared" ref="G139:K139" si="113">B139-B138</f>
        <v>-825</v>
      </c>
      <c r="H139" s="225">
        <f t="shared" si="113"/>
        <v>-2103</v>
      </c>
      <c r="I139" s="225">
        <f t="shared" si="113"/>
        <v>-602</v>
      </c>
      <c r="J139" s="225">
        <f t="shared" si="113"/>
        <v>-797</v>
      </c>
      <c r="K139" s="225">
        <f t="shared" si="113"/>
        <v>-1101</v>
      </c>
      <c r="L139" s="224">
        <f t="shared" si="110"/>
        <v>-617925</v>
      </c>
      <c r="M139" s="233">
        <f t="shared" si="114"/>
        <v>-1575147</v>
      </c>
      <c r="N139" s="77">
        <f t="shared" ref="N139:N148" si="116">L139+M139</f>
        <v>-2193072</v>
      </c>
      <c r="O139" s="17">
        <f t="shared" si="112"/>
        <v>957222</v>
      </c>
      <c r="Q139" s="49"/>
      <c r="T139" s="241"/>
      <c r="Y139" s="188">
        <v>7000.0</v>
      </c>
    </row>
    <row r="140" ht="15.75" customHeight="1">
      <c r="A140" s="15" t="s">
        <v>56</v>
      </c>
      <c r="B140" s="49"/>
      <c r="C140" s="49"/>
      <c r="D140" s="49"/>
      <c r="E140" s="49"/>
      <c r="F140" s="49"/>
      <c r="G140" s="225">
        <f t="shared" ref="G140:K140" si="115">B140-B139</f>
        <v>0</v>
      </c>
      <c r="H140" s="225">
        <f t="shared" si="115"/>
        <v>0</v>
      </c>
      <c r="I140" s="225">
        <f t="shared" si="115"/>
        <v>0</v>
      </c>
      <c r="J140" s="225">
        <f t="shared" si="115"/>
        <v>0</v>
      </c>
      <c r="K140" s="225">
        <f t="shared" si="115"/>
        <v>0</v>
      </c>
      <c r="L140" s="224">
        <f t="shared" si="110"/>
        <v>0</v>
      </c>
      <c r="M140" s="233">
        <f t="shared" si="114"/>
        <v>0</v>
      </c>
      <c r="N140" s="77">
        <f t="shared" si="116"/>
        <v>0</v>
      </c>
      <c r="O140" s="17">
        <f t="shared" si="112"/>
        <v>0</v>
      </c>
      <c r="Q140" s="49"/>
      <c r="T140" s="241"/>
      <c r="Y140" s="188">
        <v>7000.0</v>
      </c>
    </row>
    <row r="141" ht="15.75" customHeight="1">
      <c r="A141" s="15" t="s">
        <v>81</v>
      </c>
      <c r="B141" s="49"/>
      <c r="C141" s="49"/>
      <c r="D141" s="49"/>
      <c r="E141" s="49"/>
      <c r="F141" s="49"/>
      <c r="G141" s="225">
        <f t="shared" ref="G141:K141" si="117">B141-B140</f>
        <v>0</v>
      </c>
      <c r="H141" s="225">
        <f t="shared" si="117"/>
        <v>0</v>
      </c>
      <c r="I141" s="225">
        <f t="shared" si="117"/>
        <v>0</v>
      </c>
      <c r="J141" s="225">
        <f t="shared" si="117"/>
        <v>0</v>
      </c>
      <c r="K141" s="225">
        <f t="shared" si="117"/>
        <v>0</v>
      </c>
      <c r="L141" s="224">
        <f t="shared" si="110"/>
        <v>0</v>
      </c>
      <c r="M141" s="233">
        <f t="shared" si="114"/>
        <v>0</v>
      </c>
      <c r="N141" s="77">
        <f t="shared" si="116"/>
        <v>0</v>
      </c>
      <c r="O141" s="17">
        <f t="shared" si="112"/>
        <v>0</v>
      </c>
      <c r="Q141" s="49"/>
      <c r="T141" s="241"/>
      <c r="Y141" s="188">
        <v>7000.0</v>
      </c>
    </row>
    <row r="142" ht="15.75" customHeight="1">
      <c r="A142" s="15" t="s">
        <v>58</v>
      </c>
      <c r="B142" s="49"/>
      <c r="C142" s="49"/>
      <c r="D142" s="49"/>
      <c r="E142" s="49"/>
      <c r="F142" s="49"/>
      <c r="G142" s="225">
        <f t="shared" ref="G142:K142" si="118">B142-B141</f>
        <v>0</v>
      </c>
      <c r="H142" s="225">
        <f t="shared" si="118"/>
        <v>0</v>
      </c>
      <c r="I142" s="225">
        <f t="shared" si="118"/>
        <v>0</v>
      </c>
      <c r="J142" s="225">
        <f t="shared" si="118"/>
        <v>0</v>
      </c>
      <c r="K142" s="225">
        <f t="shared" si="118"/>
        <v>0</v>
      </c>
      <c r="L142" s="224">
        <f t="shared" si="110"/>
        <v>0</v>
      </c>
      <c r="M142" s="233">
        <f t="shared" si="114"/>
        <v>0</v>
      </c>
      <c r="N142" s="77">
        <f t="shared" si="116"/>
        <v>0</v>
      </c>
      <c r="O142" s="17">
        <f t="shared" si="112"/>
        <v>0</v>
      </c>
      <c r="Q142" s="49"/>
      <c r="T142" s="241"/>
      <c r="Y142" s="188">
        <v>7000.0</v>
      </c>
    </row>
    <row r="143" ht="15.75" customHeight="1">
      <c r="A143" s="15" t="s">
        <v>10</v>
      </c>
      <c r="B143" s="49"/>
      <c r="C143" s="49"/>
      <c r="D143" s="49"/>
      <c r="E143" s="49"/>
      <c r="F143" s="49"/>
      <c r="G143" s="225">
        <f t="shared" ref="G143:K143" si="119">B143-B142</f>
        <v>0</v>
      </c>
      <c r="H143" s="225">
        <f t="shared" si="119"/>
        <v>0</v>
      </c>
      <c r="I143" s="225">
        <f t="shared" si="119"/>
        <v>0</v>
      </c>
      <c r="J143" s="225">
        <f t="shared" si="119"/>
        <v>0</v>
      </c>
      <c r="K143" s="225">
        <f t="shared" si="119"/>
        <v>0</v>
      </c>
      <c r="L143" s="224">
        <f t="shared" si="110"/>
        <v>0</v>
      </c>
      <c r="M143" s="233">
        <f t="shared" si="114"/>
        <v>0</v>
      </c>
      <c r="N143" s="77">
        <f t="shared" si="116"/>
        <v>0</v>
      </c>
      <c r="O143" s="17">
        <f t="shared" si="112"/>
        <v>0</v>
      </c>
      <c r="Q143" s="49"/>
      <c r="T143" s="241"/>
      <c r="Y143" s="188">
        <v>7000.0</v>
      </c>
    </row>
    <row r="144" ht="15.75" customHeight="1">
      <c r="A144" s="15" t="s">
        <v>21</v>
      </c>
      <c r="B144" s="49"/>
      <c r="C144" s="49"/>
      <c r="D144" s="49"/>
      <c r="E144" s="49"/>
      <c r="F144" s="49"/>
      <c r="G144" s="225">
        <f t="shared" ref="G144:K144" si="120">B144-B143</f>
        <v>0</v>
      </c>
      <c r="H144" s="225">
        <f t="shared" si="120"/>
        <v>0</v>
      </c>
      <c r="I144" s="225">
        <f t="shared" si="120"/>
        <v>0</v>
      </c>
      <c r="J144" s="225">
        <f t="shared" si="120"/>
        <v>0</v>
      </c>
      <c r="K144" s="225">
        <f t="shared" si="120"/>
        <v>0</v>
      </c>
      <c r="L144" s="224">
        <f t="shared" si="110"/>
        <v>0</v>
      </c>
      <c r="M144" s="233">
        <f t="shared" si="114"/>
        <v>0</v>
      </c>
      <c r="N144" s="77">
        <f t="shared" si="116"/>
        <v>0</v>
      </c>
      <c r="O144" s="17">
        <f t="shared" si="112"/>
        <v>0</v>
      </c>
      <c r="Q144" s="49"/>
      <c r="T144" s="241"/>
      <c r="Y144" s="188">
        <v>7000.0</v>
      </c>
    </row>
    <row r="145" ht="15.75" customHeight="1">
      <c r="A145" s="15" t="s">
        <v>22</v>
      </c>
      <c r="B145" s="49"/>
      <c r="C145" s="49"/>
      <c r="D145" s="49"/>
      <c r="E145" s="49"/>
      <c r="F145" s="49"/>
      <c r="G145" s="225">
        <f t="shared" ref="G145:K145" si="121">B145-B144</f>
        <v>0</v>
      </c>
      <c r="H145" s="225">
        <f t="shared" si="121"/>
        <v>0</v>
      </c>
      <c r="I145" s="225">
        <f t="shared" si="121"/>
        <v>0</v>
      </c>
      <c r="J145" s="225">
        <f t="shared" si="121"/>
        <v>0</v>
      </c>
      <c r="K145" s="225">
        <f t="shared" si="121"/>
        <v>0</v>
      </c>
      <c r="L145" s="224">
        <f t="shared" si="110"/>
        <v>0</v>
      </c>
      <c r="M145" s="233">
        <f t="shared" si="114"/>
        <v>0</v>
      </c>
      <c r="N145" s="77">
        <f t="shared" si="116"/>
        <v>0</v>
      </c>
      <c r="O145" s="17">
        <f t="shared" si="112"/>
        <v>0</v>
      </c>
      <c r="Q145" s="49"/>
      <c r="T145" s="241"/>
      <c r="Y145" s="188">
        <v>7000.0</v>
      </c>
    </row>
    <row r="146" ht="15.75" customHeight="1">
      <c r="A146" s="15" t="s">
        <v>60</v>
      </c>
      <c r="B146" s="49"/>
      <c r="C146" s="49"/>
      <c r="D146" s="49"/>
      <c r="E146" s="49"/>
      <c r="F146" s="49"/>
      <c r="G146" s="225">
        <f t="shared" ref="G146:K146" si="122">B146-B145</f>
        <v>0</v>
      </c>
      <c r="H146" s="225">
        <f t="shared" si="122"/>
        <v>0</v>
      </c>
      <c r="I146" s="225">
        <f t="shared" si="122"/>
        <v>0</v>
      </c>
      <c r="J146" s="225">
        <f t="shared" si="122"/>
        <v>0</v>
      </c>
      <c r="K146" s="225">
        <f t="shared" si="122"/>
        <v>0</v>
      </c>
      <c r="L146" s="224">
        <f t="shared" si="110"/>
        <v>0</v>
      </c>
      <c r="M146" s="233">
        <f t="shared" si="114"/>
        <v>0</v>
      </c>
      <c r="N146" s="77">
        <f t="shared" si="116"/>
        <v>0</v>
      </c>
      <c r="O146" s="17">
        <f t="shared" si="112"/>
        <v>0</v>
      </c>
      <c r="Q146" s="49"/>
      <c r="T146" s="241"/>
      <c r="Y146" s="188">
        <v>7000.0</v>
      </c>
    </row>
    <row r="147" ht="15.75" customHeight="1">
      <c r="A147" s="15" t="s">
        <v>61</v>
      </c>
      <c r="B147" s="49"/>
      <c r="C147" s="49"/>
      <c r="D147" s="49"/>
      <c r="E147" s="49"/>
      <c r="F147" s="49"/>
      <c r="G147" s="225">
        <f t="shared" ref="G147:K147" si="123">B147-B146</f>
        <v>0</v>
      </c>
      <c r="H147" s="225">
        <f t="shared" si="123"/>
        <v>0</v>
      </c>
      <c r="I147" s="225">
        <f t="shared" si="123"/>
        <v>0</v>
      </c>
      <c r="J147" s="225">
        <f t="shared" si="123"/>
        <v>0</v>
      </c>
      <c r="K147" s="225">
        <f t="shared" si="123"/>
        <v>0</v>
      </c>
      <c r="L147" s="224">
        <f t="shared" si="110"/>
        <v>0</v>
      </c>
      <c r="M147" s="233">
        <f t="shared" si="114"/>
        <v>0</v>
      </c>
      <c r="N147" s="77">
        <f t="shared" si="116"/>
        <v>0</v>
      </c>
      <c r="O147" s="17">
        <f t="shared" si="112"/>
        <v>0</v>
      </c>
      <c r="Q147" s="15"/>
      <c r="T147" s="241"/>
      <c r="Y147" s="188">
        <v>7000.0</v>
      </c>
    </row>
    <row r="148" ht="15.75" customHeight="1">
      <c r="A148" s="15" t="s">
        <v>51</v>
      </c>
      <c r="G148" s="225">
        <f t="shared" ref="G148:K148" si="124">B148-B147</f>
        <v>0</v>
      </c>
      <c r="H148" s="225">
        <f t="shared" si="124"/>
        <v>0</v>
      </c>
      <c r="I148" s="225">
        <f t="shared" si="124"/>
        <v>0</v>
      </c>
      <c r="J148" s="225">
        <f t="shared" si="124"/>
        <v>0</v>
      </c>
      <c r="K148" s="225">
        <f t="shared" si="124"/>
        <v>0</v>
      </c>
      <c r="L148" s="224">
        <f t="shared" si="110"/>
        <v>0</v>
      </c>
      <c r="M148" s="233">
        <f t="shared" si="114"/>
        <v>0</v>
      </c>
      <c r="N148" s="77">
        <f t="shared" si="116"/>
        <v>0</v>
      </c>
      <c r="O148" s="17">
        <f t="shared" si="112"/>
        <v>0</v>
      </c>
      <c r="Q148" s="15"/>
      <c r="T148" s="242"/>
      <c r="U148" s="235"/>
      <c r="V148" s="235"/>
      <c r="W148" s="235"/>
      <c r="X148" s="235"/>
      <c r="Y148" s="243">
        <v>7000.0</v>
      </c>
    </row>
    <row r="149" ht="15.75" customHeight="1">
      <c r="B149" s="49"/>
      <c r="C149" s="49"/>
      <c r="D149" s="49"/>
      <c r="E149" s="49"/>
      <c r="F149" s="49"/>
      <c r="G149" s="40"/>
      <c r="H149" s="40"/>
      <c r="I149" s="40"/>
      <c r="J149" s="40"/>
      <c r="L149" s="69"/>
      <c r="N149" s="49"/>
    </row>
    <row r="150" ht="15.75" customHeight="1">
      <c r="L150" s="69"/>
      <c r="N150" s="49">
        <f>SUM(N136:N148)</f>
        <v>-2149630</v>
      </c>
      <c r="U150" s="17">
        <f t="shared" ref="U150:W150" si="125">SUM(U137:U148)</f>
        <v>48</v>
      </c>
      <c r="V150" s="17">
        <f t="shared" si="125"/>
        <v>35952</v>
      </c>
      <c r="W150" s="17">
        <f t="shared" si="125"/>
        <v>40266</v>
      </c>
      <c r="Y150" s="17">
        <f>SUM(Y136:Y148)</f>
        <v>84000</v>
      </c>
    </row>
    <row r="151" ht="15.75" customHeight="1">
      <c r="L151" s="69"/>
      <c r="N151" s="49"/>
    </row>
    <row r="152" ht="15.75" customHeight="1">
      <c r="L152" s="69"/>
      <c r="N152" s="49"/>
    </row>
    <row r="153" ht="15.75" customHeight="1">
      <c r="L153" s="69"/>
      <c r="N153" s="49"/>
    </row>
    <row r="154" ht="15.75" customHeight="1">
      <c r="L154" s="69"/>
      <c r="N154" s="49"/>
    </row>
    <row r="155" ht="15.75" customHeight="1">
      <c r="L155" s="69"/>
      <c r="N155" s="49"/>
    </row>
    <row r="156" ht="15.75" customHeight="1">
      <c r="L156" s="69"/>
      <c r="N156" s="49"/>
    </row>
    <row r="157" ht="15.75" customHeight="1">
      <c r="L157" s="69"/>
      <c r="N157" s="49"/>
    </row>
    <row r="158" ht="15.75" customHeight="1">
      <c r="L158" s="69"/>
      <c r="N158" s="49"/>
    </row>
    <row r="159" ht="15.75" customHeight="1">
      <c r="L159" s="69"/>
      <c r="N159" s="49"/>
    </row>
    <row r="160" ht="15.75" customHeight="1">
      <c r="L160" s="69"/>
      <c r="N160" s="49"/>
    </row>
    <row r="161" ht="15.75" customHeight="1">
      <c r="L161" s="69"/>
      <c r="N161" s="49"/>
    </row>
    <row r="162" ht="15.75" customHeight="1">
      <c r="L162" s="69"/>
      <c r="N162" s="49"/>
    </row>
    <row r="163" ht="15.75" customHeight="1">
      <c r="L163" s="69"/>
      <c r="N163" s="49"/>
    </row>
    <row r="164" ht="15.75" customHeight="1">
      <c r="L164" s="69"/>
      <c r="N164" s="49"/>
    </row>
    <row r="165" ht="15.75" customHeight="1">
      <c r="L165" s="69"/>
      <c r="N165" s="49"/>
    </row>
    <row r="166" ht="15.75" customHeight="1">
      <c r="L166" s="69"/>
      <c r="N166" s="49"/>
    </row>
    <row r="167" ht="15.75" customHeight="1">
      <c r="L167" s="69"/>
      <c r="N167" s="49"/>
    </row>
    <row r="168" ht="15.75" customHeight="1">
      <c r="L168" s="69"/>
      <c r="N168" s="49"/>
    </row>
    <row r="169" ht="15.75" customHeight="1">
      <c r="L169" s="69"/>
      <c r="N169" s="49"/>
    </row>
    <row r="170" ht="15.75" customHeight="1">
      <c r="L170" s="69"/>
      <c r="N170" s="49"/>
    </row>
    <row r="171" ht="15.75" customHeight="1">
      <c r="L171" s="69"/>
      <c r="N171" s="49"/>
    </row>
    <row r="172" ht="15.75" customHeight="1">
      <c r="L172" s="69"/>
      <c r="N172" s="49"/>
    </row>
    <row r="173" ht="15.75" customHeight="1">
      <c r="L173" s="69"/>
      <c r="N173" s="49"/>
    </row>
    <row r="174" ht="15.75" customHeight="1">
      <c r="L174" s="69"/>
      <c r="N174" s="49"/>
    </row>
    <row r="175" ht="15.75" customHeight="1">
      <c r="L175" s="69"/>
      <c r="N175" s="49"/>
    </row>
    <row r="176" ht="15.75" customHeight="1">
      <c r="L176" s="69"/>
      <c r="N176" s="49"/>
    </row>
    <row r="177" ht="15.75" customHeight="1">
      <c r="L177" s="69"/>
      <c r="N177" s="49"/>
    </row>
    <row r="178" ht="15.75" customHeight="1">
      <c r="L178" s="69"/>
      <c r="N178" s="49"/>
    </row>
    <row r="179" ht="15.75" customHeight="1">
      <c r="L179" s="69"/>
      <c r="N179" s="49"/>
    </row>
    <row r="180" ht="15.75" customHeight="1">
      <c r="L180" s="69"/>
      <c r="N180" s="49"/>
    </row>
    <row r="181" ht="15.75" customHeight="1">
      <c r="L181" s="69"/>
      <c r="N181" s="49"/>
    </row>
    <row r="182" ht="15.75" customHeight="1">
      <c r="L182" s="69"/>
      <c r="N182" s="49"/>
    </row>
    <row r="183" ht="15.75" customHeight="1">
      <c r="L183" s="69"/>
      <c r="N183" s="49"/>
    </row>
    <row r="184" ht="15.75" customHeight="1">
      <c r="L184" s="69"/>
      <c r="N184" s="49"/>
    </row>
    <row r="185" ht="15.75" customHeight="1">
      <c r="L185" s="69"/>
      <c r="N185" s="49"/>
    </row>
    <row r="186" ht="15.75" customHeight="1">
      <c r="L186" s="69"/>
      <c r="N186" s="49"/>
    </row>
    <row r="187" ht="15.75" customHeight="1">
      <c r="L187" s="69"/>
      <c r="N187" s="49"/>
    </row>
    <row r="188" ht="15.75" customHeight="1">
      <c r="L188" s="69"/>
      <c r="N188" s="49"/>
    </row>
    <row r="189" ht="15.75" customHeight="1">
      <c r="L189" s="69"/>
      <c r="N189" s="49"/>
    </row>
    <row r="190" ht="15.75" customHeight="1">
      <c r="L190" s="69"/>
      <c r="N190" s="49"/>
    </row>
    <row r="191" ht="15.75" customHeight="1">
      <c r="L191" s="69"/>
      <c r="N191" s="49"/>
    </row>
    <row r="192" ht="15.75" customHeight="1">
      <c r="L192" s="69"/>
      <c r="N192" s="49"/>
    </row>
    <row r="193" ht="15.75" customHeight="1">
      <c r="L193" s="69"/>
      <c r="N193" s="49"/>
    </row>
    <row r="194" ht="15.75" customHeight="1">
      <c r="L194" s="69"/>
      <c r="N194" s="49"/>
    </row>
    <row r="195" ht="15.75" customHeight="1">
      <c r="L195" s="69"/>
      <c r="N195" s="49"/>
    </row>
    <row r="196" ht="15.75" customHeight="1">
      <c r="L196" s="69"/>
      <c r="N196" s="49"/>
    </row>
    <row r="197" ht="15.75" customHeight="1">
      <c r="L197" s="69"/>
      <c r="N197" s="49"/>
    </row>
    <row r="198" ht="15.75" customHeight="1">
      <c r="L198" s="69"/>
      <c r="N198" s="49"/>
    </row>
    <row r="199" ht="15.75" customHeight="1">
      <c r="L199" s="69"/>
      <c r="N199" s="49"/>
    </row>
    <row r="200" ht="15.75" customHeight="1">
      <c r="L200" s="69"/>
      <c r="N200" s="49"/>
    </row>
    <row r="201" ht="15.75" customHeight="1">
      <c r="L201" s="69"/>
      <c r="N201" s="49"/>
    </row>
    <row r="202" ht="15.75" customHeight="1">
      <c r="L202" s="69"/>
      <c r="N202" s="49"/>
    </row>
    <row r="203" ht="15.75" customHeight="1">
      <c r="L203" s="69"/>
      <c r="N203" s="49"/>
    </row>
    <row r="204" ht="15.75" customHeight="1">
      <c r="L204" s="69"/>
      <c r="N204" s="49"/>
    </row>
    <row r="205" ht="15.75" customHeight="1">
      <c r="L205" s="69"/>
      <c r="N205" s="49"/>
    </row>
    <row r="206" ht="15.75" customHeight="1">
      <c r="L206" s="69"/>
      <c r="N206" s="49"/>
    </row>
    <row r="207" ht="15.75" customHeight="1">
      <c r="L207" s="69"/>
      <c r="N207" s="49"/>
    </row>
    <row r="208" ht="15.75" customHeight="1">
      <c r="L208" s="69"/>
      <c r="N208" s="49"/>
    </row>
    <row r="209" ht="15.75" customHeight="1">
      <c r="L209" s="69"/>
      <c r="N209" s="49"/>
    </row>
    <row r="210" ht="15.75" customHeight="1">
      <c r="L210" s="69"/>
      <c r="N210" s="49"/>
    </row>
    <row r="211" ht="15.75" customHeight="1">
      <c r="L211" s="69"/>
      <c r="N211" s="49"/>
    </row>
    <row r="212" ht="15.75" customHeight="1">
      <c r="L212" s="69"/>
      <c r="N212" s="49"/>
    </row>
    <row r="213" ht="15.75" customHeight="1">
      <c r="L213" s="69"/>
      <c r="N213" s="49"/>
    </row>
    <row r="214" ht="15.75" customHeight="1">
      <c r="L214" s="69"/>
      <c r="N214" s="49"/>
    </row>
    <row r="215" ht="15.75" customHeight="1">
      <c r="L215" s="69"/>
      <c r="N215" s="49"/>
    </row>
    <row r="216" ht="15.75" customHeight="1">
      <c r="L216" s="69"/>
      <c r="N216" s="49"/>
    </row>
    <row r="217" ht="15.75" customHeight="1">
      <c r="L217" s="69"/>
      <c r="N217" s="49"/>
    </row>
    <row r="218" ht="15.75" customHeight="1">
      <c r="L218" s="69"/>
      <c r="N218" s="49"/>
    </row>
    <row r="219" ht="15.75" customHeight="1">
      <c r="L219" s="69"/>
      <c r="N219" s="49"/>
    </row>
    <row r="220" ht="15.75" customHeight="1">
      <c r="L220" s="69"/>
      <c r="N220" s="49"/>
    </row>
    <row r="221" ht="15.75" customHeight="1">
      <c r="L221" s="69"/>
      <c r="N221" s="49"/>
    </row>
    <row r="222" ht="15.75" customHeight="1">
      <c r="L222" s="69"/>
      <c r="N222" s="49"/>
    </row>
    <row r="223" ht="15.75" customHeight="1">
      <c r="L223" s="69"/>
      <c r="N223" s="49"/>
    </row>
    <row r="224" ht="15.75" customHeight="1">
      <c r="L224" s="69"/>
      <c r="N224" s="49"/>
    </row>
    <row r="225" ht="15.75" customHeight="1">
      <c r="L225" s="69"/>
      <c r="N225" s="49"/>
    </row>
    <row r="226" ht="15.75" customHeight="1">
      <c r="L226" s="69"/>
      <c r="N226" s="49"/>
    </row>
    <row r="227" ht="15.75" customHeight="1">
      <c r="L227" s="69"/>
      <c r="N227" s="49"/>
    </row>
    <row r="228" ht="15.75" customHeight="1">
      <c r="L228" s="69"/>
      <c r="N228" s="49"/>
    </row>
    <row r="229" ht="15.75" customHeight="1">
      <c r="L229" s="69"/>
      <c r="N229" s="49"/>
    </row>
    <row r="230" ht="15.75" customHeight="1">
      <c r="L230" s="69"/>
      <c r="N230" s="49"/>
    </row>
    <row r="231" ht="15.75" customHeight="1">
      <c r="L231" s="69"/>
      <c r="N231" s="49"/>
    </row>
    <row r="232" ht="15.75" customHeight="1">
      <c r="L232" s="69"/>
      <c r="N232" s="49"/>
    </row>
    <row r="233" ht="15.75" customHeight="1">
      <c r="L233" s="69"/>
      <c r="N233" s="49"/>
    </row>
    <row r="234" ht="15.75" customHeight="1">
      <c r="L234" s="69"/>
      <c r="N234" s="49"/>
    </row>
    <row r="235" ht="15.75" customHeight="1">
      <c r="L235" s="69"/>
      <c r="N235" s="49"/>
    </row>
    <row r="236" ht="15.75" customHeight="1">
      <c r="L236" s="69"/>
      <c r="N236" s="49"/>
    </row>
    <row r="237" ht="15.75" customHeight="1">
      <c r="L237" s="69"/>
      <c r="N237" s="49"/>
    </row>
    <row r="238" ht="15.75" customHeight="1">
      <c r="L238" s="69"/>
      <c r="N238" s="49"/>
    </row>
    <row r="239" ht="15.75" customHeight="1">
      <c r="L239" s="69"/>
      <c r="N239" s="49"/>
    </row>
    <row r="240" ht="15.75" customHeight="1">
      <c r="L240" s="69"/>
      <c r="N240" s="49"/>
    </row>
    <row r="241" ht="15.75" customHeight="1">
      <c r="L241" s="69"/>
      <c r="N241" s="49"/>
    </row>
    <row r="242" ht="15.75" customHeight="1">
      <c r="L242" s="69"/>
      <c r="N242" s="49"/>
    </row>
    <row r="243" ht="15.75" customHeight="1">
      <c r="L243" s="69"/>
      <c r="N243" s="49"/>
    </row>
    <row r="244" ht="15.75" customHeight="1">
      <c r="L244" s="69"/>
      <c r="N244" s="49"/>
    </row>
    <row r="245" ht="15.75" customHeight="1">
      <c r="L245" s="69"/>
      <c r="N245" s="49"/>
    </row>
    <row r="246" ht="15.75" customHeight="1">
      <c r="L246" s="69"/>
      <c r="N246" s="49"/>
    </row>
    <row r="247" ht="15.75" customHeight="1">
      <c r="L247" s="69"/>
      <c r="N247" s="49"/>
    </row>
    <row r="248" ht="15.75" customHeight="1">
      <c r="L248" s="69"/>
      <c r="N248" s="49"/>
    </row>
    <row r="249" ht="15.75" customHeight="1">
      <c r="L249" s="69"/>
      <c r="N249" s="49"/>
    </row>
    <row r="250" ht="15.75" customHeight="1">
      <c r="L250" s="69"/>
      <c r="N250" s="49"/>
    </row>
    <row r="251" ht="15.75" customHeight="1">
      <c r="L251" s="69"/>
      <c r="N251" s="49"/>
    </row>
    <row r="252" ht="15.75" customHeight="1">
      <c r="L252" s="69"/>
      <c r="N252" s="49"/>
    </row>
    <row r="253" ht="15.75" customHeight="1">
      <c r="L253" s="69"/>
      <c r="N253" s="49"/>
    </row>
    <row r="254" ht="15.75" customHeight="1">
      <c r="L254" s="69"/>
      <c r="N254" s="49"/>
    </row>
    <row r="255" ht="15.75" customHeight="1">
      <c r="L255" s="69"/>
      <c r="N255" s="49"/>
    </row>
    <row r="256" ht="15.75" customHeight="1">
      <c r="L256" s="69"/>
      <c r="N256" s="49"/>
    </row>
    <row r="257" ht="15.75" customHeight="1">
      <c r="L257" s="69"/>
      <c r="N257" s="49"/>
    </row>
    <row r="258" ht="15.75" customHeight="1">
      <c r="L258" s="69"/>
      <c r="N258" s="49"/>
    </row>
    <row r="259" ht="15.75" customHeight="1">
      <c r="L259" s="69"/>
      <c r="N259" s="49"/>
    </row>
    <row r="260" ht="15.75" customHeight="1">
      <c r="L260" s="69"/>
      <c r="N260" s="49"/>
    </row>
    <row r="261" ht="15.75" customHeight="1">
      <c r="L261" s="69"/>
      <c r="N261" s="49"/>
    </row>
    <row r="262" ht="15.75" customHeight="1">
      <c r="L262" s="69"/>
      <c r="N262" s="49"/>
    </row>
    <row r="263" ht="15.75" customHeight="1">
      <c r="L263" s="69"/>
      <c r="N263" s="49"/>
    </row>
    <row r="264" ht="15.75" customHeight="1">
      <c r="L264" s="69"/>
      <c r="N264" s="49"/>
    </row>
    <row r="265" ht="15.75" customHeight="1">
      <c r="L265" s="69"/>
      <c r="N265" s="49"/>
    </row>
    <row r="266" ht="15.75" customHeight="1">
      <c r="L266" s="69"/>
      <c r="N266" s="49"/>
    </row>
    <row r="267" ht="15.75" customHeight="1">
      <c r="L267" s="69"/>
      <c r="N267" s="49"/>
    </row>
    <row r="268" ht="15.75" customHeight="1">
      <c r="L268" s="69"/>
      <c r="N268" s="49"/>
    </row>
    <row r="269" ht="15.75" customHeight="1">
      <c r="L269" s="69"/>
      <c r="N269" s="49"/>
    </row>
    <row r="270" ht="15.75" customHeight="1">
      <c r="L270" s="69"/>
      <c r="N270" s="49"/>
    </row>
    <row r="271" ht="15.75" customHeight="1">
      <c r="L271" s="69"/>
      <c r="N271" s="49"/>
    </row>
    <row r="272" ht="15.75" customHeight="1">
      <c r="L272" s="69"/>
      <c r="N272" s="49"/>
    </row>
    <row r="273" ht="15.75" customHeight="1">
      <c r="L273" s="69"/>
      <c r="N273" s="49"/>
    </row>
    <row r="274" ht="15.75" customHeight="1">
      <c r="L274" s="69"/>
      <c r="N274" s="49"/>
    </row>
    <row r="275" ht="15.75" customHeight="1">
      <c r="L275" s="69"/>
      <c r="N275" s="49"/>
    </row>
    <row r="276" ht="15.75" customHeight="1">
      <c r="L276" s="69"/>
      <c r="N276" s="49"/>
    </row>
    <row r="277" ht="15.75" customHeight="1">
      <c r="L277" s="69"/>
      <c r="N277" s="49"/>
    </row>
    <row r="278" ht="15.75" customHeight="1">
      <c r="L278" s="69"/>
      <c r="N278" s="49"/>
    </row>
    <row r="279" ht="15.75" customHeight="1">
      <c r="L279" s="69"/>
      <c r="N279" s="49"/>
    </row>
    <row r="280" ht="15.75" customHeight="1">
      <c r="L280" s="69"/>
      <c r="N280" s="49"/>
    </row>
    <row r="281" ht="15.75" customHeight="1">
      <c r="L281" s="69"/>
      <c r="N281" s="49"/>
    </row>
    <row r="282" ht="15.75" customHeight="1">
      <c r="L282" s="69"/>
      <c r="N282" s="49"/>
    </row>
    <row r="283" ht="15.75" customHeight="1">
      <c r="L283" s="69"/>
      <c r="N283" s="49"/>
    </row>
    <row r="284" ht="15.75" customHeight="1">
      <c r="L284" s="69"/>
      <c r="N284" s="49"/>
    </row>
    <row r="285" ht="15.75" customHeight="1">
      <c r="L285" s="69"/>
      <c r="N285" s="49"/>
    </row>
    <row r="286" ht="15.75" customHeight="1">
      <c r="L286" s="69"/>
      <c r="N286" s="49"/>
    </row>
    <row r="287" ht="15.75" customHeight="1">
      <c r="L287" s="69"/>
      <c r="N287" s="49"/>
    </row>
    <row r="288" ht="15.75" customHeight="1">
      <c r="L288" s="69"/>
      <c r="N288" s="49"/>
    </row>
    <row r="289" ht="15.75" customHeight="1">
      <c r="L289" s="69"/>
      <c r="N289" s="49"/>
    </row>
    <row r="290" ht="15.75" customHeight="1">
      <c r="L290" s="69"/>
      <c r="N290" s="49"/>
    </row>
    <row r="291" ht="15.75" customHeight="1">
      <c r="L291" s="69"/>
      <c r="N291" s="49"/>
    </row>
    <row r="292" ht="15.75" customHeight="1">
      <c r="L292" s="69"/>
      <c r="N292" s="49"/>
    </row>
    <row r="293" ht="15.75" customHeight="1">
      <c r="L293" s="69"/>
      <c r="N293" s="49"/>
    </row>
    <row r="294" ht="15.75" customHeight="1">
      <c r="L294" s="69"/>
      <c r="N294" s="49"/>
    </row>
    <row r="295" ht="15.75" customHeight="1">
      <c r="L295" s="69"/>
      <c r="N295" s="49"/>
    </row>
    <row r="296" ht="15.75" customHeight="1">
      <c r="L296" s="69"/>
      <c r="N296" s="49"/>
    </row>
    <row r="297" ht="15.75" customHeight="1">
      <c r="L297" s="69"/>
      <c r="N297" s="49"/>
    </row>
    <row r="298" ht="15.75" customHeight="1">
      <c r="L298" s="69"/>
      <c r="N298" s="49"/>
    </row>
    <row r="299" ht="15.75" customHeight="1">
      <c r="L299" s="69"/>
      <c r="N299" s="49"/>
    </row>
    <row r="300" ht="15.75" customHeight="1">
      <c r="L300" s="69"/>
      <c r="N300" s="49"/>
    </row>
    <row r="301" ht="15.75" customHeight="1">
      <c r="L301" s="69"/>
      <c r="N301" s="49"/>
    </row>
    <row r="302" ht="15.75" customHeight="1">
      <c r="L302" s="69"/>
      <c r="N302" s="49"/>
    </row>
    <row r="303" ht="15.75" customHeight="1">
      <c r="L303" s="69"/>
      <c r="N303" s="49"/>
    </row>
    <row r="304" ht="15.75" customHeight="1">
      <c r="L304" s="69"/>
      <c r="N304" s="49"/>
    </row>
    <row r="305" ht="15.75" customHeight="1">
      <c r="L305" s="69"/>
      <c r="N305" s="49"/>
    </row>
    <row r="306" ht="15.75" customHeight="1">
      <c r="L306" s="69"/>
      <c r="N306" s="49"/>
    </row>
    <row r="307" ht="15.75" customHeight="1">
      <c r="L307" s="69"/>
      <c r="N307" s="49"/>
    </row>
    <row r="308" ht="15.75" customHeight="1">
      <c r="L308" s="69"/>
      <c r="N308" s="49"/>
    </row>
    <row r="309" ht="15.75" customHeight="1">
      <c r="L309" s="69"/>
      <c r="N309" s="49"/>
    </row>
    <row r="310" ht="15.75" customHeight="1">
      <c r="L310" s="69"/>
      <c r="N310" s="49"/>
    </row>
    <row r="311" ht="15.75" customHeight="1">
      <c r="L311" s="69"/>
      <c r="N311" s="49"/>
    </row>
    <row r="312" ht="15.75" customHeight="1">
      <c r="L312" s="69"/>
      <c r="N312" s="49"/>
    </row>
    <row r="313" ht="15.75" customHeight="1">
      <c r="L313" s="69"/>
      <c r="N313" s="49"/>
    </row>
    <row r="314" ht="15.75" customHeight="1">
      <c r="L314" s="69"/>
      <c r="N314" s="49"/>
    </row>
    <row r="315" ht="15.75" customHeight="1">
      <c r="L315" s="69"/>
      <c r="N315" s="49"/>
    </row>
    <row r="316" ht="15.75" customHeight="1">
      <c r="L316" s="69"/>
      <c r="N316" s="49"/>
    </row>
    <row r="317" ht="15.75" customHeight="1">
      <c r="L317" s="69"/>
      <c r="N317" s="49"/>
    </row>
    <row r="318" ht="15.75" customHeight="1">
      <c r="L318" s="69"/>
      <c r="N318" s="49"/>
    </row>
    <row r="319" ht="15.75" customHeight="1">
      <c r="L319" s="69"/>
      <c r="N319" s="49"/>
    </row>
    <row r="320" ht="15.75" customHeight="1">
      <c r="L320" s="69"/>
      <c r="N320" s="49"/>
    </row>
    <row r="321" ht="15.75" customHeight="1">
      <c r="L321" s="69"/>
      <c r="N321" s="49"/>
    </row>
    <row r="322" ht="15.75" customHeight="1">
      <c r="L322" s="69"/>
      <c r="N322" s="49"/>
    </row>
    <row r="323" ht="15.75" customHeight="1">
      <c r="L323" s="69"/>
      <c r="N323" s="49"/>
    </row>
    <row r="324" ht="15.75" customHeight="1">
      <c r="L324" s="69"/>
      <c r="N324" s="49"/>
    </row>
    <row r="325" ht="15.75" customHeight="1">
      <c r="L325" s="69"/>
      <c r="N325" s="49"/>
    </row>
    <row r="326" ht="15.75" customHeight="1">
      <c r="L326" s="69"/>
      <c r="N326" s="49"/>
    </row>
    <row r="327" ht="15.75" customHeight="1">
      <c r="L327" s="69"/>
      <c r="N327" s="49"/>
    </row>
    <row r="328" ht="15.75" customHeight="1">
      <c r="L328" s="69"/>
      <c r="N328" s="49"/>
    </row>
    <row r="329" ht="15.75" customHeight="1">
      <c r="L329" s="69"/>
      <c r="N329" s="49"/>
    </row>
    <row r="330" ht="15.75" customHeight="1">
      <c r="L330" s="69"/>
      <c r="N330" s="49"/>
    </row>
    <row r="331" ht="15.75" customHeight="1">
      <c r="L331" s="69"/>
      <c r="N331" s="49"/>
    </row>
    <row r="332" ht="15.75" customHeight="1">
      <c r="L332" s="69"/>
      <c r="N332" s="49"/>
    </row>
    <row r="333" ht="15.75" customHeight="1">
      <c r="L333" s="69"/>
      <c r="N333" s="49"/>
    </row>
    <row r="334" ht="15.75" customHeight="1">
      <c r="L334" s="69"/>
      <c r="N334" s="49"/>
    </row>
    <row r="335" ht="15.75" customHeight="1">
      <c r="L335" s="69"/>
      <c r="N335" s="49"/>
    </row>
    <row r="336" ht="15.75" customHeight="1">
      <c r="L336" s="69"/>
      <c r="N336" s="49"/>
    </row>
    <row r="337" ht="15.75" customHeight="1">
      <c r="L337" s="69"/>
      <c r="N337" s="49"/>
    </row>
    <row r="338" ht="15.75" customHeight="1">
      <c r="L338" s="69"/>
      <c r="N338" s="49"/>
    </row>
    <row r="339" ht="15.75" customHeight="1">
      <c r="L339" s="69"/>
      <c r="N339" s="49"/>
    </row>
    <row r="340" ht="15.75" customHeight="1">
      <c r="L340" s="69"/>
      <c r="N340" s="49"/>
    </row>
    <row r="341" ht="15.75" customHeight="1">
      <c r="L341" s="69"/>
      <c r="N341" s="49"/>
    </row>
    <row r="342" ht="15.75" customHeight="1">
      <c r="L342" s="69"/>
      <c r="N342" s="49"/>
    </row>
    <row r="343" ht="15.75" customHeight="1">
      <c r="L343" s="69"/>
      <c r="N343" s="49"/>
    </row>
    <row r="344" ht="15.75" customHeight="1">
      <c r="L344" s="69"/>
      <c r="N344" s="49"/>
    </row>
    <row r="345" ht="15.75" customHeight="1">
      <c r="L345" s="69"/>
      <c r="N345" s="49"/>
    </row>
    <row r="346" ht="15.75" customHeight="1">
      <c r="L346" s="69"/>
      <c r="N346" s="49"/>
    </row>
    <row r="347" ht="15.75" customHeight="1">
      <c r="L347" s="69"/>
      <c r="N347" s="49"/>
    </row>
    <row r="348" ht="15.75" customHeight="1">
      <c r="L348" s="69"/>
      <c r="N348" s="49"/>
    </row>
    <row r="349" ht="15.75" customHeight="1">
      <c r="L349" s="69"/>
      <c r="N349" s="49"/>
    </row>
    <row r="350" ht="15.75" customHeight="1">
      <c r="L350" s="69"/>
      <c r="N350" s="49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T94:Y94"/>
    <mergeCell ref="T134:Y134"/>
    <mergeCell ref="T135:Y13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 outlineLevelCol="1" outlineLevelRow="1"/>
  <cols>
    <col customWidth="1" min="1" max="1" width="24.33"/>
    <col collapsed="1" customWidth="1" min="2" max="2" width="11.22"/>
    <col customWidth="1" hidden="1" min="3" max="14" width="11.22" outlineLevel="1"/>
    <col customWidth="1" min="15" max="15" width="11.22"/>
    <col customWidth="1" hidden="1" min="16" max="27" width="11.22" outlineLevel="1"/>
    <col collapsed="1" customWidth="1" min="28" max="28" width="11.22"/>
    <col customWidth="1" hidden="1" min="29" max="40" width="11.22" outlineLevel="1"/>
    <col customWidth="1" min="42" max="53" width="11.22" outlineLevel="1"/>
    <col customWidth="1" min="54" max="54" width="11.22"/>
    <col customWidth="1" hidden="1" min="55" max="66" width="11.22" outlineLevel="1"/>
  </cols>
  <sheetData>
    <row r="1">
      <c r="A1" s="91"/>
      <c r="B1" s="93">
        <v>2022.0</v>
      </c>
      <c r="C1" s="93">
        <v>2022.0</v>
      </c>
      <c r="N1" s="94"/>
      <c r="O1" s="93">
        <v>2023.0</v>
      </c>
      <c r="P1" s="93">
        <v>2023.0</v>
      </c>
      <c r="AA1" s="94"/>
      <c r="AB1" s="93">
        <v>2024.0</v>
      </c>
      <c r="AC1" s="93">
        <v>2024.0</v>
      </c>
      <c r="AN1" s="94"/>
      <c r="AO1" s="93">
        <v>2025.0</v>
      </c>
      <c r="AP1" s="93">
        <v>2025.0</v>
      </c>
      <c r="BA1" s="94"/>
      <c r="BB1" s="93">
        <v>2026.0</v>
      </c>
      <c r="BC1" s="93">
        <v>2026.0</v>
      </c>
      <c r="BN1" s="94"/>
    </row>
    <row r="2">
      <c r="A2" s="95" t="s">
        <v>129</v>
      </c>
      <c r="B2" s="91"/>
      <c r="C2" s="96">
        <v>0.46</v>
      </c>
      <c r="D2" s="96">
        <v>0.6</v>
      </c>
      <c r="E2" s="99">
        <v>0.73</v>
      </c>
      <c r="F2" s="99">
        <v>0.9</v>
      </c>
      <c r="G2" s="99">
        <v>0.61</v>
      </c>
      <c r="H2" s="99">
        <v>0.74</v>
      </c>
      <c r="I2" s="99">
        <v>0.9</v>
      </c>
      <c r="J2" s="99">
        <v>0.9</v>
      </c>
      <c r="K2" s="99">
        <v>0.67</v>
      </c>
      <c r="L2" s="99">
        <v>0.82</v>
      </c>
      <c r="M2" s="99">
        <v>0.68</v>
      </c>
      <c r="N2" s="99">
        <v>0.6</v>
      </c>
      <c r="O2" s="91"/>
      <c r="P2" s="96">
        <v>0.71</v>
      </c>
      <c r="Q2" s="96">
        <v>0.81</v>
      </c>
      <c r="R2" s="99">
        <v>0.69</v>
      </c>
      <c r="S2" s="99">
        <v>0.78</v>
      </c>
      <c r="T2" s="99">
        <v>0.72</v>
      </c>
      <c r="U2" s="99">
        <v>0.68</v>
      </c>
      <c r="V2" s="99">
        <v>0.88</v>
      </c>
      <c r="W2" s="99">
        <v>0.9</v>
      </c>
      <c r="X2" s="99">
        <v>0.68</v>
      </c>
      <c r="Y2" s="99">
        <v>0.73</v>
      </c>
      <c r="Z2" s="99">
        <v>0.6</v>
      </c>
      <c r="AA2" s="99">
        <v>0.76</v>
      </c>
      <c r="AB2" s="91"/>
      <c r="AC2" s="96">
        <v>0.57</v>
      </c>
      <c r="AD2" s="96">
        <v>0.81</v>
      </c>
      <c r="AE2" s="99">
        <v>0.8</v>
      </c>
      <c r="AF2" s="99">
        <v>0.7</v>
      </c>
      <c r="AG2" s="99">
        <v>0.77</v>
      </c>
      <c r="AH2" s="99">
        <v>0.8</v>
      </c>
      <c r="AI2" s="99">
        <v>0.91</v>
      </c>
      <c r="AJ2" s="99">
        <v>0.92</v>
      </c>
      <c r="AK2" s="99">
        <v>0.78</v>
      </c>
      <c r="AL2" s="99">
        <v>0.82</v>
      </c>
      <c r="AM2" s="99">
        <v>0.57</v>
      </c>
      <c r="AN2" s="99">
        <v>0.72</v>
      </c>
      <c r="AO2" s="91"/>
      <c r="AP2" s="96">
        <v>0.69</v>
      </c>
      <c r="AQ2" s="96">
        <v>0.74</v>
      </c>
      <c r="AR2" s="99">
        <v>0.76</v>
      </c>
      <c r="AS2" s="99">
        <v>0.85</v>
      </c>
      <c r="AT2" s="99">
        <v>0.84</v>
      </c>
      <c r="AU2" s="99">
        <v>0.76</v>
      </c>
      <c r="AV2" s="99">
        <v>0.95</v>
      </c>
      <c r="AW2" s="99">
        <v>0.91</v>
      </c>
      <c r="AX2" s="99">
        <v>0.8</v>
      </c>
      <c r="AY2" s="99">
        <v>0.81</v>
      </c>
      <c r="AZ2" s="99">
        <v>0.7</v>
      </c>
      <c r="BA2" s="99">
        <v>0.77</v>
      </c>
      <c r="BB2" s="91"/>
      <c r="BC2" s="96"/>
      <c r="BD2" s="96"/>
      <c r="BE2" s="99"/>
      <c r="BF2" s="99"/>
      <c r="BG2" s="99"/>
      <c r="BH2" s="99"/>
      <c r="BI2" s="99"/>
      <c r="BJ2" s="99"/>
      <c r="BK2" s="99"/>
      <c r="BL2" s="99"/>
      <c r="BM2" s="99"/>
      <c r="BN2" s="99"/>
    </row>
    <row r="3">
      <c r="A3" s="95" t="s">
        <v>286</v>
      </c>
      <c r="B3" s="91"/>
      <c r="C3" s="101">
        <v>2.0</v>
      </c>
      <c r="D3" s="101">
        <v>2.26</v>
      </c>
      <c r="E3" s="103">
        <v>2.68</v>
      </c>
      <c r="F3" s="103">
        <v>2.84</v>
      </c>
      <c r="G3" s="103">
        <v>1.81</v>
      </c>
      <c r="H3" s="103">
        <v>2.31</v>
      </c>
      <c r="I3" s="103">
        <v>2.21</v>
      </c>
      <c r="J3" s="103">
        <v>2.06</v>
      </c>
      <c r="K3" s="103">
        <v>2.01</v>
      </c>
      <c r="L3" s="103">
        <v>2.4</v>
      </c>
      <c r="M3" s="103">
        <v>2.13</v>
      </c>
      <c r="N3" s="103">
        <v>2.04</v>
      </c>
      <c r="O3" s="91"/>
      <c r="P3" s="101">
        <v>2.08</v>
      </c>
      <c r="Q3" s="101">
        <v>2.23</v>
      </c>
      <c r="R3" s="103">
        <v>2.06</v>
      </c>
      <c r="S3" s="103">
        <v>2.09</v>
      </c>
      <c r="T3" s="103">
        <v>1.87</v>
      </c>
      <c r="U3" s="103">
        <v>1.78</v>
      </c>
      <c r="V3" s="103">
        <v>2.6</v>
      </c>
      <c r="W3" s="103">
        <v>2.04</v>
      </c>
      <c r="X3" s="103">
        <v>1.74</v>
      </c>
      <c r="Y3" s="103">
        <v>2.28</v>
      </c>
      <c r="Z3" s="103">
        <v>1.66</v>
      </c>
      <c r="AA3" s="103">
        <v>2.12</v>
      </c>
      <c r="AB3" s="91"/>
      <c r="AC3" s="101">
        <v>2.12</v>
      </c>
      <c r="AD3" s="101">
        <v>2.08</v>
      </c>
      <c r="AE3" s="103">
        <v>1.99</v>
      </c>
      <c r="AF3" s="103">
        <v>1.9</v>
      </c>
      <c r="AG3" s="103">
        <v>2.51</v>
      </c>
      <c r="AH3" s="103">
        <v>2.25</v>
      </c>
      <c r="AI3" s="103">
        <v>2.4</v>
      </c>
      <c r="AJ3" s="103">
        <v>2.48</v>
      </c>
      <c r="AK3" s="103">
        <v>2.43</v>
      </c>
      <c r="AL3" s="103">
        <v>2.42</v>
      </c>
      <c r="AM3" s="103">
        <v>1.94</v>
      </c>
      <c r="AN3" s="103">
        <v>1.73</v>
      </c>
      <c r="AO3" s="91"/>
      <c r="AP3" s="101">
        <v>1.85</v>
      </c>
      <c r="AQ3" s="101">
        <v>2.02</v>
      </c>
      <c r="AR3" s="103">
        <v>1.74</v>
      </c>
      <c r="AS3" s="103">
        <v>1.79</v>
      </c>
      <c r="AT3" s="103">
        <v>2.39</v>
      </c>
      <c r="AU3" s="103">
        <v>1.62</v>
      </c>
      <c r="AV3" s="103">
        <v>2.28</v>
      </c>
      <c r="AW3" s="103">
        <v>2.08</v>
      </c>
      <c r="AX3" s="103">
        <v>2.17</v>
      </c>
      <c r="AY3" s="103"/>
      <c r="AZ3" s="103"/>
      <c r="BA3" s="103"/>
      <c r="BB3" s="91"/>
      <c r="BC3" s="101"/>
      <c r="BD3" s="101"/>
      <c r="BE3" s="103"/>
      <c r="BF3" s="103"/>
      <c r="BG3" s="103"/>
      <c r="BH3" s="103"/>
      <c r="BI3" s="103"/>
      <c r="BJ3" s="103"/>
      <c r="BK3" s="103"/>
      <c r="BL3" s="103"/>
      <c r="BM3" s="103"/>
      <c r="BN3" s="103"/>
    </row>
    <row r="4">
      <c r="A4" s="95" t="s">
        <v>131</v>
      </c>
      <c r="B4" s="91"/>
      <c r="C4" s="101">
        <v>115.0</v>
      </c>
      <c r="D4" s="101">
        <v>154.0</v>
      </c>
      <c r="E4" s="103">
        <v>176.0</v>
      </c>
      <c r="F4" s="103">
        <v>205.0</v>
      </c>
      <c r="G4" s="103">
        <v>246.0</v>
      </c>
      <c r="H4" s="103">
        <v>192.0</v>
      </c>
      <c r="I4" s="103">
        <v>305.0</v>
      </c>
      <c r="J4" s="103">
        <v>331.0</v>
      </c>
      <c r="K4" s="103">
        <v>210.0</v>
      </c>
      <c r="L4" s="103">
        <v>261.0</v>
      </c>
      <c r="M4" s="103">
        <v>186.0</v>
      </c>
      <c r="N4" s="103">
        <v>200.0</v>
      </c>
      <c r="O4" s="91"/>
      <c r="P4" s="101">
        <v>243.0</v>
      </c>
      <c r="Q4" s="101">
        <v>234.0</v>
      </c>
      <c r="R4" s="103">
        <v>209.0</v>
      </c>
      <c r="S4" s="103">
        <v>291.0</v>
      </c>
      <c r="T4" s="103">
        <v>271.0</v>
      </c>
      <c r="U4" s="103">
        <v>242.0</v>
      </c>
      <c r="V4" s="103">
        <v>259.0</v>
      </c>
      <c r="W4" s="103">
        <v>330.0</v>
      </c>
      <c r="X4" s="103">
        <v>241.0</v>
      </c>
      <c r="Y4" s="103">
        <v>255.0</v>
      </c>
      <c r="Z4" s="103">
        <v>234.0</v>
      </c>
      <c r="AA4" s="103">
        <v>265.0</v>
      </c>
      <c r="AB4" s="91"/>
      <c r="AC4" s="101">
        <v>186.0</v>
      </c>
      <c r="AD4" s="101">
        <v>262.0</v>
      </c>
      <c r="AE4" s="103">
        <v>270.0</v>
      </c>
      <c r="AF4" s="103">
        <v>264.0</v>
      </c>
      <c r="AG4" s="103">
        <v>205.0</v>
      </c>
      <c r="AH4" s="103">
        <v>229.0</v>
      </c>
      <c r="AI4" s="103">
        <v>260.0</v>
      </c>
      <c r="AJ4" s="103">
        <v>272.0</v>
      </c>
      <c r="AK4" s="103">
        <v>187.0</v>
      </c>
      <c r="AL4" s="103">
        <v>213.0</v>
      </c>
      <c r="AM4" s="103">
        <v>169.0</v>
      </c>
      <c r="AN4" s="103">
        <v>291.0</v>
      </c>
      <c r="AO4" s="91"/>
      <c r="AP4" s="101">
        <v>237.0</v>
      </c>
      <c r="AQ4" s="101">
        <v>200.0</v>
      </c>
      <c r="AR4" s="103">
        <v>262.0</v>
      </c>
      <c r="AS4" s="103">
        <v>295.0</v>
      </c>
      <c r="AT4" s="103">
        <v>276.0</v>
      </c>
      <c r="AU4" s="103">
        <v>271.0</v>
      </c>
      <c r="AV4" s="103">
        <v>290.0</v>
      </c>
      <c r="AW4" s="103"/>
      <c r="AX4" s="103"/>
      <c r="AY4" s="103"/>
      <c r="AZ4" s="103"/>
      <c r="BA4" s="103"/>
      <c r="BB4" s="91"/>
      <c r="BC4" s="101"/>
      <c r="BD4" s="101"/>
      <c r="BE4" s="103"/>
      <c r="BF4" s="103"/>
      <c r="BG4" s="103"/>
      <c r="BH4" s="103"/>
      <c r="BI4" s="103"/>
      <c r="BJ4" s="103"/>
      <c r="BK4" s="103"/>
      <c r="BL4" s="103"/>
      <c r="BM4" s="103"/>
      <c r="BN4" s="103"/>
    </row>
    <row r="5">
      <c r="A5" s="104" t="s">
        <v>287</v>
      </c>
      <c r="B5" s="91"/>
      <c r="C5" s="109"/>
      <c r="D5" s="105"/>
      <c r="E5" s="105"/>
      <c r="F5" s="106"/>
      <c r="G5" s="107"/>
      <c r="H5" s="107"/>
      <c r="I5" s="108"/>
      <c r="J5" s="108"/>
      <c r="K5" s="108"/>
      <c r="L5" s="108"/>
      <c r="M5" s="107"/>
      <c r="N5" s="106"/>
      <c r="O5" s="91"/>
      <c r="P5" s="109"/>
      <c r="Q5" s="105"/>
      <c r="R5" s="105"/>
      <c r="S5" s="106"/>
      <c r="T5" s="107"/>
      <c r="U5" s="107"/>
      <c r="V5" s="108"/>
      <c r="W5" s="108"/>
      <c r="X5" s="108"/>
      <c r="Y5" s="108"/>
      <c r="Z5" s="107"/>
      <c r="AA5" s="106"/>
      <c r="AB5" s="91"/>
      <c r="AC5" s="109"/>
      <c r="AD5" s="105"/>
      <c r="AE5" s="105"/>
      <c r="AF5" s="106"/>
      <c r="AG5" s="107"/>
      <c r="AH5" s="107"/>
      <c r="AI5" s="108"/>
      <c r="AJ5" s="108"/>
      <c r="AK5" s="108"/>
      <c r="AL5" s="108"/>
      <c r="AM5" s="107"/>
      <c r="AN5" s="106"/>
      <c r="AO5" s="91"/>
      <c r="AP5" s="109"/>
      <c r="AQ5" s="105"/>
      <c r="AR5" s="105"/>
      <c r="AS5" s="106"/>
      <c r="AT5" s="107"/>
      <c r="AU5" s="107"/>
      <c r="AV5" s="108"/>
      <c r="AW5" s="108"/>
      <c r="AX5" s="108"/>
      <c r="AY5" s="108"/>
      <c r="AZ5" s="107"/>
      <c r="BA5" s="106"/>
      <c r="BB5" s="91"/>
      <c r="BC5" s="109"/>
      <c r="BD5" s="105"/>
      <c r="BE5" s="105"/>
      <c r="BF5" s="106"/>
      <c r="BG5" s="107"/>
      <c r="BH5" s="107"/>
      <c r="BI5" s="108"/>
      <c r="BJ5" s="108"/>
      <c r="BK5" s="108"/>
      <c r="BL5" s="108"/>
      <c r="BM5" s="107"/>
      <c r="BN5" s="106"/>
    </row>
    <row r="6">
      <c r="A6" s="111"/>
      <c r="B6" s="91"/>
      <c r="C6" s="112" t="s">
        <v>63</v>
      </c>
      <c r="D6" s="112" t="s">
        <v>64</v>
      </c>
      <c r="E6" s="112" t="s">
        <v>133</v>
      </c>
      <c r="F6" s="112" t="s">
        <v>56</v>
      </c>
      <c r="G6" s="112" t="s">
        <v>57</v>
      </c>
      <c r="H6" s="112" t="s">
        <v>58</v>
      </c>
      <c r="I6" s="112" t="s">
        <v>10</v>
      </c>
      <c r="J6" s="112" t="s">
        <v>21</v>
      </c>
      <c r="K6" s="112" t="s">
        <v>22</v>
      </c>
      <c r="L6" s="112" t="s">
        <v>60</v>
      </c>
      <c r="M6" s="112" t="s">
        <v>61</v>
      </c>
      <c r="N6" s="112" t="s">
        <v>51</v>
      </c>
      <c r="O6" s="91"/>
      <c r="P6" s="112" t="s">
        <v>63</v>
      </c>
      <c r="Q6" s="112" t="s">
        <v>64</v>
      </c>
      <c r="R6" s="112" t="s">
        <v>133</v>
      </c>
      <c r="S6" s="112" t="s">
        <v>56</v>
      </c>
      <c r="T6" s="112" t="s">
        <v>57</v>
      </c>
      <c r="U6" s="112" t="s">
        <v>58</v>
      </c>
      <c r="V6" s="112" t="s">
        <v>10</v>
      </c>
      <c r="W6" s="112" t="s">
        <v>21</v>
      </c>
      <c r="X6" s="112" t="s">
        <v>22</v>
      </c>
      <c r="Y6" s="112" t="s">
        <v>60</v>
      </c>
      <c r="Z6" s="112" t="s">
        <v>61</v>
      </c>
      <c r="AA6" s="112" t="s">
        <v>51</v>
      </c>
      <c r="AB6" s="91"/>
      <c r="AC6" s="112" t="s">
        <v>63</v>
      </c>
      <c r="AD6" s="112" t="s">
        <v>64</v>
      </c>
      <c r="AE6" s="112" t="s">
        <v>133</v>
      </c>
      <c r="AF6" s="112" t="s">
        <v>56</v>
      </c>
      <c r="AG6" s="112" t="s">
        <v>57</v>
      </c>
      <c r="AH6" s="112" t="s">
        <v>58</v>
      </c>
      <c r="AI6" s="112" t="s">
        <v>10</v>
      </c>
      <c r="AJ6" s="112" t="s">
        <v>21</v>
      </c>
      <c r="AK6" s="112" t="s">
        <v>22</v>
      </c>
      <c r="AL6" s="112" t="s">
        <v>60</v>
      </c>
      <c r="AM6" s="112" t="s">
        <v>61</v>
      </c>
      <c r="AN6" s="112" t="s">
        <v>51</v>
      </c>
      <c r="AO6" s="91"/>
      <c r="AP6" s="114" t="s">
        <v>134</v>
      </c>
      <c r="AQ6" s="114" t="s">
        <v>135</v>
      </c>
      <c r="AR6" s="114" t="s">
        <v>136</v>
      </c>
      <c r="AS6" s="114" t="s">
        <v>137</v>
      </c>
      <c r="AT6" s="114" t="s">
        <v>138</v>
      </c>
      <c r="AU6" s="114" t="s">
        <v>139</v>
      </c>
      <c r="AV6" s="114" t="s">
        <v>140</v>
      </c>
      <c r="AW6" s="114" t="s">
        <v>141</v>
      </c>
      <c r="AX6" s="114" t="s">
        <v>142</v>
      </c>
      <c r="AY6" s="114" t="s">
        <v>143</v>
      </c>
      <c r="AZ6" s="114" t="s">
        <v>144</v>
      </c>
      <c r="BA6" s="114" t="s">
        <v>145</v>
      </c>
      <c r="BB6" s="91"/>
      <c r="BC6" s="112" t="s">
        <v>63</v>
      </c>
      <c r="BD6" s="112" t="s">
        <v>64</v>
      </c>
      <c r="BE6" s="112" t="s">
        <v>133</v>
      </c>
      <c r="BF6" s="112" t="s">
        <v>56</v>
      </c>
      <c r="BG6" s="112" t="s">
        <v>57</v>
      </c>
      <c r="BH6" s="112" t="s">
        <v>58</v>
      </c>
      <c r="BI6" s="112" t="s">
        <v>10</v>
      </c>
      <c r="BJ6" s="112" t="s">
        <v>21</v>
      </c>
      <c r="BK6" s="112" t="s">
        <v>22</v>
      </c>
      <c r="BL6" s="112" t="s">
        <v>60</v>
      </c>
      <c r="BM6" s="112" t="s">
        <v>61</v>
      </c>
      <c r="BN6" s="112" t="s">
        <v>51</v>
      </c>
    </row>
    <row r="7">
      <c r="A7" s="246" t="s">
        <v>288</v>
      </c>
      <c r="B7" s="91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91"/>
      <c r="P7" s="119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2"/>
      <c r="AB7" s="9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2"/>
      <c r="AO7" s="9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2"/>
      <c r="BB7" s="91"/>
      <c r="BC7" s="119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2"/>
    </row>
    <row r="8" outlineLevel="1">
      <c r="A8" s="247" t="s">
        <v>289</v>
      </c>
      <c r="B8" s="91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91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91"/>
      <c r="AC8" s="128"/>
      <c r="AD8" s="128"/>
      <c r="AE8" s="128"/>
      <c r="AF8" s="128"/>
      <c r="AG8" s="128"/>
      <c r="AH8" s="128"/>
      <c r="AI8" s="128"/>
      <c r="AJ8" s="128"/>
      <c r="AK8" s="128">
        <v>7875.0</v>
      </c>
      <c r="AL8" s="128">
        <v>8206.0</v>
      </c>
      <c r="AM8" s="248">
        <v>8411.0</v>
      </c>
      <c r="AN8" s="248">
        <v>8698.0</v>
      </c>
      <c r="AO8" s="91"/>
      <c r="AP8" s="248">
        <v>9021.0</v>
      </c>
      <c r="AQ8" s="248">
        <v>9303.0</v>
      </c>
      <c r="AR8" s="133">
        <v>9620.0</v>
      </c>
      <c r="AS8" s="133">
        <v>9913.0</v>
      </c>
      <c r="AT8" s="128">
        <v>10218.0</v>
      </c>
      <c r="AU8" s="128">
        <v>10439.0</v>
      </c>
      <c r="AV8" s="128">
        <v>10829.0</v>
      </c>
      <c r="AW8" s="128">
        <v>11168.0</v>
      </c>
      <c r="AX8" s="128">
        <v>11439.0</v>
      </c>
      <c r="AY8" s="128">
        <v>11740.0</v>
      </c>
      <c r="AZ8" s="128">
        <v>12023.0</v>
      </c>
      <c r="BA8" s="128">
        <v>12343.0</v>
      </c>
      <c r="BB8" s="91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</row>
    <row r="9" outlineLevel="1">
      <c r="A9" s="249" t="s">
        <v>290</v>
      </c>
      <c r="B9" s="91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91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91"/>
      <c r="AC9" s="135"/>
      <c r="AD9" s="135"/>
      <c r="AE9" s="135"/>
      <c r="AF9" s="135"/>
      <c r="AG9" s="135"/>
      <c r="AH9" s="135"/>
      <c r="AI9" s="135"/>
      <c r="AJ9" s="138"/>
      <c r="AK9" s="138">
        <v>8479.0</v>
      </c>
      <c r="AL9" s="138">
        <v>8817.0</v>
      </c>
      <c r="AM9" s="250">
        <v>9029.0</v>
      </c>
      <c r="AN9" s="250">
        <v>9353.0</v>
      </c>
      <c r="AO9" s="91"/>
      <c r="AP9" s="250">
        <v>9647.0</v>
      </c>
      <c r="AQ9" s="250">
        <v>9968.0</v>
      </c>
      <c r="AR9" s="138">
        <v>10172.0</v>
      </c>
      <c r="AS9" s="138">
        <v>10415.0</v>
      </c>
      <c r="AT9" s="135">
        <v>10675.0</v>
      </c>
      <c r="AU9" s="135">
        <v>10922.0</v>
      </c>
      <c r="AV9" s="135">
        <v>11298.0</v>
      </c>
      <c r="AW9" s="135">
        <v>11731.0</v>
      </c>
      <c r="AX9" s="135">
        <v>12020.0</v>
      </c>
      <c r="AY9" s="135">
        <v>12261.0</v>
      </c>
      <c r="AZ9" s="135">
        <v>12485.0</v>
      </c>
      <c r="BA9" s="135">
        <v>12803.0</v>
      </c>
      <c r="BB9" s="91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</row>
    <row r="10" outlineLevel="1">
      <c r="A10" s="251" t="s">
        <v>291</v>
      </c>
      <c r="B10" s="91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91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91"/>
      <c r="AC10" s="252"/>
      <c r="AD10" s="252"/>
      <c r="AE10" s="252"/>
      <c r="AF10" s="252"/>
      <c r="AG10" s="252"/>
      <c r="AH10" s="252"/>
      <c r="AI10" s="252"/>
      <c r="AJ10" s="253"/>
      <c r="AK10" s="253">
        <v>166593.0</v>
      </c>
      <c r="AL10" s="253">
        <v>167985.0</v>
      </c>
      <c r="AM10" s="254">
        <v>169133.0</v>
      </c>
      <c r="AN10" s="254">
        <v>170694.0</v>
      </c>
      <c r="AO10" s="91"/>
      <c r="AP10" s="254">
        <v>172029.0</v>
      </c>
      <c r="AQ10" s="254">
        <v>173273.0</v>
      </c>
      <c r="AR10" s="253">
        <v>174614.0</v>
      </c>
      <c r="AS10" s="253">
        <v>175966.0</v>
      </c>
      <c r="AT10" s="252">
        <v>177365.0</v>
      </c>
      <c r="AU10" s="252">
        <v>178629.0</v>
      </c>
      <c r="AV10" s="252">
        <v>179945.0</v>
      </c>
      <c r="AW10" s="165">
        <v>647.0</v>
      </c>
      <c r="AX10" s="252">
        <v>1512.0</v>
      </c>
      <c r="AY10" s="252">
        <v>2502.0</v>
      </c>
      <c r="AZ10" s="252">
        <v>3429.0</v>
      </c>
      <c r="BA10" s="252">
        <v>4425.0</v>
      </c>
      <c r="BB10" s="91"/>
      <c r="BC10" s="252"/>
      <c r="BD10" s="252"/>
      <c r="BE10" s="252"/>
      <c r="BF10" s="252"/>
      <c r="BG10" s="252"/>
      <c r="BH10" s="252"/>
      <c r="BI10" s="252"/>
      <c r="BJ10" s="252"/>
      <c r="BK10" s="252"/>
      <c r="BL10" s="252"/>
      <c r="BM10" s="252"/>
      <c r="BN10" s="252"/>
    </row>
    <row r="11" outlineLevel="1">
      <c r="A11" s="251" t="s">
        <v>292</v>
      </c>
      <c r="B11" s="91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91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91"/>
      <c r="AC11" s="252"/>
      <c r="AD11" s="252"/>
      <c r="AE11" s="252"/>
      <c r="AF11" s="252"/>
      <c r="AG11" s="252"/>
      <c r="AH11" s="252"/>
      <c r="AI11" s="252"/>
      <c r="AJ11" s="253"/>
      <c r="AK11" s="253"/>
      <c r="AL11" s="253"/>
      <c r="AM11" s="254"/>
      <c r="AN11" s="254"/>
      <c r="AO11" s="91"/>
      <c r="AP11" s="254"/>
      <c r="AQ11" s="254"/>
      <c r="AR11" s="253"/>
      <c r="AS11" s="253"/>
      <c r="AT11" s="252"/>
      <c r="AU11" s="252"/>
      <c r="AV11" s="252"/>
      <c r="AW11" s="165">
        <v>239.0</v>
      </c>
      <c r="AX11" s="252">
        <v>554.0</v>
      </c>
      <c r="AY11" s="252">
        <v>947.0</v>
      </c>
      <c r="AZ11" s="252">
        <v>1314.0</v>
      </c>
      <c r="BA11" s="252">
        <v>1731.0</v>
      </c>
      <c r="BB11" s="91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</row>
    <row r="12" outlineLevel="1">
      <c r="A12" s="255" t="s">
        <v>293</v>
      </c>
      <c r="B12" s="91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91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91"/>
      <c r="AC12" s="256"/>
      <c r="AD12" s="256"/>
      <c r="AE12" s="256"/>
      <c r="AF12" s="256"/>
      <c r="AG12" s="256"/>
      <c r="AH12" s="256"/>
      <c r="AI12" s="256"/>
      <c r="AJ12" s="257"/>
      <c r="AK12" s="257">
        <v>6495.0</v>
      </c>
      <c r="AL12" s="257">
        <v>6712.0</v>
      </c>
      <c r="AM12" s="258">
        <v>6940.0</v>
      </c>
      <c r="AN12" s="258">
        <v>7180.0</v>
      </c>
      <c r="AO12" s="130"/>
      <c r="AP12" s="258">
        <v>7414.0</v>
      </c>
      <c r="AQ12" s="258">
        <v>7647.0</v>
      </c>
      <c r="AR12" s="257">
        <v>7879.0</v>
      </c>
      <c r="AS12" s="257">
        <v>8068.0</v>
      </c>
      <c r="AT12" s="256">
        <v>8256.0</v>
      </c>
      <c r="AU12" s="256">
        <v>8441.0</v>
      </c>
      <c r="AV12" s="256">
        <v>8667.0</v>
      </c>
      <c r="AW12" s="256">
        <v>8896.0</v>
      </c>
      <c r="AX12" s="256">
        <v>9080.0</v>
      </c>
      <c r="AY12" s="256">
        <v>9306.0</v>
      </c>
      <c r="AZ12" s="256">
        <v>260.0</v>
      </c>
      <c r="BA12" s="256">
        <v>515.0</v>
      </c>
      <c r="BB12" s="91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</row>
    <row r="13" outlineLevel="1">
      <c r="A13" s="259" t="s">
        <v>294</v>
      </c>
      <c r="B13" s="91"/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91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91"/>
      <c r="AC13" s="260"/>
      <c r="AD13" s="260"/>
      <c r="AE13" s="260"/>
      <c r="AF13" s="260"/>
      <c r="AG13" s="260"/>
      <c r="AH13" s="260"/>
      <c r="AI13" s="260"/>
      <c r="AJ13" s="261"/>
      <c r="AK13" s="261">
        <v>32883.0</v>
      </c>
      <c r="AL13" s="261">
        <v>33989.0</v>
      </c>
      <c r="AM13" s="262">
        <v>35159.0</v>
      </c>
      <c r="AN13" s="262">
        <v>36420.0</v>
      </c>
      <c r="AO13" s="91"/>
      <c r="AP13" s="262">
        <v>37650.0</v>
      </c>
      <c r="AQ13" s="262">
        <v>38874.0</v>
      </c>
      <c r="AR13" s="261">
        <v>40061.0</v>
      </c>
      <c r="AS13" s="261">
        <v>41020.0</v>
      </c>
      <c r="AT13" s="260">
        <v>41981.0</v>
      </c>
      <c r="AU13" s="260">
        <v>42887.0</v>
      </c>
      <c r="AV13" s="260">
        <v>44058.0</v>
      </c>
      <c r="AW13" s="260">
        <v>45224.0</v>
      </c>
      <c r="AX13" s="260">
        <v>46164.0</v>
      </c>
      <c r="AY13" s="260">
        <v>47314.0</v>
      </c>
      <c r="AZ13" s="263">
        <v>1360.0</v>
      </c>
      <c r="BA13" s="260">
        <v>2696.0</v>
      </c>
      <c r="BB13" s="91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</row>
    <row r="14" outlineLevel="1">
      <c r="A14" s="264" t="s">
        <v>295</v>
      </c>
      <c r="B14" s="91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91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91"/>
      <c r="AC14" s="265"/>
      <c r="AD14" s="265"/>
      <c r="AE14" s="265"/>
      <c r="AF14" s="265"/>
      <c r="AG14" s="265"/>
      <c r="AH14" s="265"/>
      <c r="AI14" s="265"/>
      <c r="AJ14" s="266"/>
      <c r="AK14" s="266">
        <v>34354.0</v>
      </c>
      <c r="AL14" s="266">
        <v>34485.0</v>
      </c>
      <c r="AM14" s="223">
        <v>34868.0</v>
      </c>
      <c r="AN14" s="223">
        <v>35317.0</v>
      </c>
      <c r="AO14" s="130"/>
      <c r="AP14" s="223">
        <v>35801.0</v>
      </c>
      <c r="AQ14" s="223">
        <v>36263.0</v>
      </c>
      <c r="AR14" s="266">
        <v>36693.0</v>
      </c>
      <c r="AS14" s="266">
        <v>36864.0</v>
      </c>
      <c r="AT14" s="265">
        <v>36953.0</v>
      </c>
      <c r="AU14" s="265">
        <v>37025.0</v>
      </c>
      <c r="AV14" s="265">
        <v>37094.0</v>
      </c>
      <c r="AW14" s="265">
        <v>37174.0</v>
      </c>
      <c r="AX14" s="265">
        <v>37271.0</v>
      </c>
      <c r="AY14" s="265">
        <v>37570.0</v>
      </c>
      <c r="AZ14" s="265">
        <v>38373.0</v>
      </c>
      <c r="BA14" s="265">
        <v>38994.0</v>
      </c>
      <c r="BB14" s="91"/>
      <c r="BC14" s="265"/>
      <c r="BD14" s="265"/>
      <c r="BE14" s="265"/>
      <c r="BF14" s="265"/>
      <c r="BG14" s="265"/>
      <c r="BH14" s="265"/>
      <c r="BI14" s="265"/>
      <c r="BJ14" s="265"/>
      <c r="BK14" s="265"/>
      <c r="BL14" s="265"/>
      <c r="BM14" s="265"/>
      <c r="BN14" s="265"/>
    </row>
    <row r="15" outlineLevel="1">
      <c r="A15" s="247" t="s">
        <v>296</v>
      </c>
      <c r="B15" s="91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91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91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>
        <f t="shared" ref="AL15:AN15" si="1">AL8-AK8</f>
        <v>331</v>
      </c>
      <c r="AM15" s="128">
        <f t="shared" si="1"/>
        <v>205</v>
      </c>
      <c r="AN15" s="128">
        <f t="shared" si="1"/>
        <v>287</v>
      </c>
      <c r="AO15" s="127"/>
      <c r="AP15" s="128">
        <f t="shared" ref="AP15:AP17" si="4">AP8-AN8</f>
        <v>323</v>
      </c>
      <c r="AQ15" s="128">
        <f t="shared" ref="AQ15:BA15" si="2">AQ8-AP8</f>
        <v>282</v>
      </c>
      <c r="AR15" s="128">
        <f t="shared" si="2"/>
        <v>317</v>
      </c>
      <c r="AS15" s="133">
        <f t="shared" si="2"/>
        <v>293</v>
      </c>
      <c r="AT15" s="128">
        <f t="shared" si="2"/>
        <v>305</v>
      </c>
      <c r="AU15" s="128">
        <f t="shared" si="2"/>
        <v>221</v>
      </c>
      <c r="AV15" s="128">
        <f t="shared" si="2"/>
        <v>390</v>
      </c>
      <c r="AW15" s="128">
        <f t="shared" si="2"/>
        <v>339</v>
      </c>
      <c r="AX15" s="128">
        <f t="shared" si="2"/>
        <v>271</v>
      </c>
      <c r="AY15" s="128">
        <f t="shared" si="2"/>
        <v>301</v>
      </c>
      <c r="AZ15" s="128">
        <f t="shared" si="2"/>
        <v>283</v>
      </c>
      <c r="BA15" s="128">
        <f t="shared" si="2"/>
        <v>320</v>
      </c>
      <c r="BB15" s="91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</row>
    <row r="16" outlineLevel="1">
      <c r="A16" s="249" t="s">
        <v>297</v>
      </c>
      <c r="B16" s="91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91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91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>
        <f t="shared" ref="AL16:AN16" si="3">AL9-AK9</f>
        <v>338</v>
      </c>
      <c r="AM16" s="135">
        <f t="shared" si="3"/>
        <v>212</v>
      </c>
      <c r="AN16" s="135">
        <f t="shared" si="3"/>
        <v>324</v>
      </c>
      <c r="AO16" s="127"/>
      <c r="AP16" s="135">
        <f t="shared" si="4"/>
        <v>294</v>
      </c>
      <c r="AQ16" s="135">
        <f t="shared" ref="AQ16:BA16" si="5">AQ9-AP9</f>
        <v>321</v>
      </c>
      <c r="AR16" s="135">
        <f t="shared" si="5"/>
        <v>204</v>
      </c>
      <c r="AS16" s="138">
        <f t="shared" si="5"/>
        <v>243</v>
      </c>
      <c r="AT16" s="135">
        <f t="shared" si="5"/>
        <v>260</v>
      </c>
      <c r="AU16" s="135">
        <f t="shared" si="5"/>
        <v>247</v>
      </c>
      <c r="AV16" s="135">
        <f t="shared" si="5"/>
        <v>376</v>
      </c>
      <c r="AW16" s="135">
        <f t="shared" si="5"/>
        <v>433</v>
      </c>
      <c r="AX16" s="135">
        <f t="shared" si="5"/>
        <v>289</v>
      </c>
      <c r="AY16" s="135">
        <f t="shared" si="5"/>
        <v>241</v>
      </c>
      <c r="AZ16" s="135">
        <f t="shared" si="5"/>
        <v>224</v>
      </c>
      <c r="BA16" s="135">
        <f t="shared" si="5"/>
        <v>318</v>
      </c>
      <c r="BB16" s="91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</row>
    <row r="17" outlineLevel="1">
      <c r="A17" s="251" t="s">
        <v>298</v>
      </c>
      <c r="B17" s="91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91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91"/>
      <c r="AC17" s="267"/>
      <c r="AD17" s="267"/>
      <c r="AE17" s="267"/>
      <c r="AF17" s="267"/>
      <c r="AG17" s="267"/>
      <c r="AH17" s="267"/>
      <c r="AI17" s="267"/>
      <c r="AJ17" s="267"/>
      <c r="AK17" s="267"/>
      <c r="AL17" s="268">
        <f t="shared" ref="AL17:AN17" si="6">AL10-AK10</f>
        <v>1392</v>
      </c>
      <c r="AM17" s="268">
        <f t="shared" si="6"/>
        <v>1148</v>
      </c>
      <c r="AN17" s="268">
        <f t="shared" si="6"/>
        <v>1561</v>
      </c>
      <c r="AO17" s="269"/>
      <c r="AP17" s="268">
        <f t="shared" si="4"/>
        <v>1335</v>
      </c>
      <c r="AQ17" s="268">
        <f t="shared" ref="AQ17:AV17" si="7">AQ10-AP10</f>
        <v>1244</v>
      </c>
      <c r="AR17" s="268">
        <f t="shared" si="7"/>
        <v>1341</v>
      </c>
      <c r="AS17" s="270">
        <f t="shared" si="7"/>
        <v>1352</v>
      </c>
      <c r="AT17" s="268">
        <f t="shared" si="7"/>
        <v>1399</v>
      </c>
      <c r="AU17" s="268">
        <f t="shared" si="7"/>
        <v>1264</v>
      </c>
      <c r="AV17" s="268">
        <f t="shared" si="7"/>
        <v>1316</v>
      </c>
      <c r="AW17" s="268">
        <f>549+647</f>
        <v>1196</v>
      </c>
      <c r="AX17" s="268">
        <f t="shared" ref="AX17:BA17" si="8">AX10-AW10</f>
        <v>865</v>
      </c>
      <c r="AY17" s="268">
        <f t="shared" si="8"/>
        <v>990</v>
      </c>
      <c r="AZ17" s="268">
        <f t="shared" si="8"/>
        <v>927</v>
      </c>
      <c r="BA17" s="268">
        <f t="shared" si="8"/>
        <v>996</v>
      </c>
      <c r="BB17" s="91"/>
      <c r="BC17" s="267"/>
      <c r="BD17" s="267"/>
      <c r="BE17" s="267"/>
      <c r="BF17" s="267"/>
      <c r="BG17" s="267"/>
      <c r="BH17" s="267"/>
      <c r="BI17" s="267"/>
      <c r="BJ17" s="267"/>
      <c r="BK17" s="267"/>
      <c r="BL17" s="267"/>
      <c r="BM17" s="267"/>
      <c r="BN17" s="267"/>
    </row>
    <row r="18" outlineLevel="1">
      <c r="A18" s="251" t="s">
        <v>299</v>
      </c>
      <c r="B18" s="91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91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91"/>
      <c r="AC18" s="267"/>
      <c r="AD18" s="267"/>
      <c r="AE18" s="267"/>
      <c r="AF18" s="267"/>
      <c r="AG18" s="267"/>
      <c r="AH18" s="267"/>
      <c r="AI18" s="267"/>
      <c r="AJ18" s="267"/>
      <c r="AK18" s="267"/>
      <c r="AL18" s="268"/>
      <c r="AM18" s="268"/>
      <c r="AN18" s="268"/>
      <c r="AO18" s="269"/>
      <c r="AP18" s="268"/>
      <c r="AQ18" s="268"/>
      <c r="AR18" s="268"/>
      <c r="AS18" s="270"/>
      <c r="AT18" s="268"/>
      <c r="AU18" s="268"/>
      <c r="AV18" s="268"/>
      <c r="AW18" s="271">
        <f t="shared" ref="AW18:BA18" si="9">AW11-AV11</f>
        <v>239</v>
      </c>
      <c r="AX18" s="271">
        <f t="shared" si="9"/>
        <v>315</v>
      </c>
      <c r="AY18" s="271">
        <f t="shared" si="9"/>
        <v>393</v>
      </c>
      <c r="AZ18" s="271">
        <f t="shared" si="9"/>
        <v>367</v>
      </c>
      <c r="BA18" s="271">
        <f t="shared" si="9"/>
        <v>417</v>
      </c>
      <c r="BB18" s="91"/>
      <c r="BC18" s="267"/>
      <c r="BD18" s="267"/>
      <c r="BE18" s="267"/>
      <c r="BF18" s="267"/>
      <c r="BG18" s="267"/>
      <c r="BH18" s="267"/>
      <c r="BI18" s="267"/>
      <c r="BJ18" s="267"/>
      <c r="BK18" s="267"/>
      <c r="BL18" s="267"/>
      <c r="BM18" s="267"/>
      <c r="BN18" s="267"/>
    </row>
    <row r="19" outlineLevel="1">
      <c r="A19" s="255" t="s">
        <v>300</v>
      </c>
      <c r="B19" s="148"/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148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  <c r="AA19" s="272"/>
      <c r="AB19" s="148"/>
      <c r="AC19" s="272"/>
      <c r="AD19" s="272"/>
      <c r="AE19" s="272"/>
      <c r="AF19" s="272"/>
      <c r="AG19" s="272"/>
      <c r="AH19" s="272"/>
      <c r="AI19" s="272"/>
      <c r="AJ19" s="272"/>
      <c r="AK19" s="272"/>
      <c r="AL19" s="273">
        <f t="shared" ref="AL19:AN19" si="10">AL12-AK12</f>
        <v>217</v>
      </c>
      <c r="AM19" s="273">
        <f t="shared" si="10"/>
        <v>228</v>
      </c>
      <c r="AN19" s="273">
        <f t="shared" si="10"/>
        <v>240</v>
      </c>
      <c r="AO19" s="269"/>
      <c r="AP19" s="273">
        <f t="shared" ref="AP19:AP21" si="13">AP12-AN12</f>
        <v>234</v>
      </c>
      <c r="AQ19" s="273">
        <f t="shared" ref="AQ19:AY19" si="11">AQ12-AP12</f>
        <v>233</v>
      </c>
      <c r="AR19" s="273">
        <f t="shared" si="11"/>
        <v>232</v>
      </c>
      <c r="AS19" s="274">
        <f t="shared" si="11"/>
        <v>189</v>
      </c>
      <c r="AT19" s="273">
        <f t="shared" si="11"/>
        <v>188</v>
      </c>
      <c r="AU19" s="273">
        <f t="shared" si="11"/>
        <v>185</v>
      </c>
      <c r="AV19" s="273">
        <f t="shared" si="11"/>
        <v>226</v>
      </c>
      <c r="AW19" s="273">
        <f t="shared" si="11"/>
        <v>229</v>
      </c>
      <c r="AX19" s="273">
        <f t="shared" si="11"/>
        <v>184</v>
      </c>
      <c r="AY19" s="273">
        <f t="shared" si="11"/>
        <v>226</v>
      </c>
      <c r="AZ19" s="273">
        <f>25+260</f>
        <v>285</v>
      </c>
      <c r="BA19" s="273">
        <f t="shared" ref="BA19:BA20" si="15">BA12-AZ12</f>
        <v>255</v>
      </c>
      <c r="BB19" s="148"/>
      <c r="BC19" s="272"/>
      <c r="BD19" s="272"/>
      <c r="BE19" s="272"/>
      <c r="BF19" s="272"/>
      <c r="BG19" s="272"/>
      <c r="BH19" s="272"/>
      <c r="BI19" s="272"/>
      <c r="BJ19" s="272"/>
      <c r="BK19" s="272"/>
      <c r="BL19" s="272"/>
      <c r="BM19" s="272"/>
      <c r="BN19" s="272"/>
    </row>
    <row r="20" outlineLevel="1">
      <c r="A20" s="259" t="s">
        <v>301</v>
      </c>
      <c r="B20" s="91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91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91"/>
      <c r="AC20" s="275"/>
      <c r="AD20" s="275"/>
      <c r="AE20" s="275"/>
      <c r="AF20" s="275"/>
      <c r="AG20" s="275"/>
      <c r="AH20" s="275"/>
      <c r="AI20" s="275"/>
      <c r="AJ20" s="275"/>
      <c r="AK20" s="276"/>
      <c r="AL20" s="275">
        <f t="shared" ref="AL20:AN20" si="12">AL13-AK13</f>
        <v>1106</v>
      </c>
      <c r="AM20" s="275">
        <f t="shared" si="12"/>
        <v>1170</v>
      </c>
      <c r="AN20" s="275">
        <f t="shared" si="12"/>
        <v>1261</v>
      </c>
      <c r="AO20" s="91"/>
      <c r="AP20" s="275">
        <f t="shared" si="13"/>
        <v>1230</v>
      </c>
      <c r="AQ20" s="275">
        <f t="shared" ref="AQ20:AY20" si="14">AQ13-AP13</f>
        <v>1224</v>
      </c>
      <c r="AR20" s="275">
        <f t="shared" si="14"/>
        <v>1187</v>
      </c>
      <c r="AS20" s="277">
        <f t="shared" si="14"/>
        <v>959</v>
      </c>
      <c r="AT20" s="275">
        <f t="shared" si="14"/>
        <v>961</v>
      </c>
      <c r="AU20" s="275">
        <f t="shared" si="14"/>
        <v>906</v>
      </c>
      <c r="AV20" s="275">
        <f t="shared" si="14"/>
        <v>1171</v>
      </c>
      <c r="AW20" s="275">
        <f t="shared" si="14"/>
        <v>1166</v>
      </c>
      <c r="AX20" s="275">
        <f t="shared" si="14"/>
        <v>940</v>
      </c>
      <c r="AY20" s="275">
        <f t="shared" si="14"/>
        <v>1150</v>
      </c>
      <c r="AZ20" s="275">
        <f>116+1360</f>
        <v>1476</v>
      </c>
      <c r="BA20" s="275">
        <f t="shared" si="15"/>
        <v>1336</v>
      </c>
      <c r="BB20" s="91"/>
      <c r="BC20" s="275"/>
      <c r="BD20" s="275"/>
      <c r="BE20" s="275"/>
      <c r="BF20" s="275"/>
      <c r="BG20" s="275"/>
      <c r="BH20" s="275"/>
      <c r="BI20" s="275"/>
      <c r="BJ20" s="275"/>
      <c r="BK20" s="275"/>
      <c r="BL20" s="275"/>
      <c r="BM20" s="275"/>
      <c r="BN20" s="275"/>
    </row>
    <row r="21" ht="15.75" customHeight="1" outlineLevel="1">
      <c r="A21" s="264" t="s">
        <v>302</v>
      </c>
      <c r="B21" s="91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91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91"/>
      <c r="AC21" s="278"/>
      <c r="AD21" s="278"/>
      <c r="AE21" s="278"/>
      <c r="AF21" s="278"/>
      <c r="AG21" s="278"/>
      <c r="AH21" s="278"/>
      <c r="AI21" s="278"/>
      <c r="AJ21" s="278"/>
      <c r="AK21" s="279"/>
      <c r="AL21" s="278">
        <f t="shared" ref="AL21:AN21" si="16">AL14-AK14</f>
        <v>131</v>
      </c>
      <c r="AM21" s="278">
        <f t="shared" si="16"/>
        <v>383</v>
      </c>
      <c r="AN21" s="278">
        <f t="shared" si="16"/>
        <v>449</v>
      </c>
      <c r="AO21" s="91"/>
      <c r="AP21" s="278">
        <f t="shared" si="13"/>
        <v>484</v>
      </c>
      <c r="AQ21" s="278">
        <f t="shared" ref="AQ21:BA21" si="17">AQ14-AP14</f>
        <v>462</v>
      </c>
      <c r="AR21" s="278">
        <f t="shared" si="17"/>
        <v>430</v>
      </c>
      <c r="AS21" s="280">
        <f t="shared" si="17"/>
        <v>171</v>
      </c>
      <c r="AT21" s="278">
        <f t="shared" si="17"/>
        <v>89</v>
      </c>
      <c r="AU21" s="278">
        <f t="shared" si="17"/>
        <v>72</v>
      </c>
      <c r="AV21" s="278">
        <f t="shared" si="17"/>
        <v>69</v>
      </c>
      <c r="AW21" s="278">
        <f t="shared" si="17"/>
        <v>80</v>
      </c>
      <c r="AX21" s="278">
        <f t="shared" si="17"/>
        <v>97</v>
      </c>
      <c r="AY21" s="278">
        <f t="shared" si="17"/>
        <v>299</v>
      </c>
      <c r="AZ21" s="278">
        <f t="shared" si="17"/>
        <v>803</v>
      </c>
      <c r="BA21" s="278">
        <f t="shared" si="17"/>
        <v>621</v>
      </c>
      <c r="BB21" s="91"/>
      <c r="BC21" s="278"/>
      <c r="BD21" s="278"/>
      <c r="BE21" s="278"/>
      <c r="BF21" s="278"/>
      <c r="BG21" s="278"/>
      <c r="BH21" s="278"/>
      <c r="BI21" s="278"/>
      <c r="BJ21" s="278"/>
      <c r="BK21" s="278"/>
      <c r="BL21" s="278"/>
      <c r="BM21" s="278"/>
      <c r="BN21" s="278"/>
    </row>
    <row r="22" ht="15.75" customHeight="1">
      <c r="A22" s="281" t="s">
        <v>303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282"/>
      <c r="Q22" s="282">
        <v>649.0</v>
      </c>
      <c r="R22" s="282">
        <v>560.0</v>
      </c>
      <c r="S22" s="282">
        <v>1402.0</v>
      </c>
      <c r="T22" s="282">
        <v>1793.0</v>
      </c>
      <c r="U22" s="282">
        <v>1579.0</v>
      </c>
      <c r="V22" s="282">
        <v>1352.0</v>
      </c>
      <c r="W22" s="282">
        <v>561.0</v>
      </c>
      <c r="X22" s="282">
        <v>606.0</v>
      </c>
      <c r="Y22" s="282">
        <v>890.0</v>
      </c>
      <c r="Z22" s="282">
        <v>726.0</v>
      </c>
      <c r="AA22" s="282">
        <v>785.0</v>
      </c>
      <c r="AB22" s="91"/>
      <c r="AC22" s="91">
        <v>703.0</v>
      </c>
      <c r="AD22" s="91">
        <v>771.0</v>
      </c>
      <c r="AE22" s="91">
        <v>806.0</v>
      </c>
      <c r="AF22" s="91">
        <v>803.0</v>
      </c>
      <c r="AG22" s="91">
        <v>852.0</v>
      </c>
      <c r="AH22" s="91">
        <v>899.0</v>
      </c>
      <c r="AI22" s="91">
        <v>1067.0</v>
      </c>
      <c r="AJ22" s="91">
        <v>967.0</v>
      </c>
      <c r="AK22" s="283">
        <v>879.0</v>
      </c>
      <c r="AL22" s="91">
        <f t="shared" ref="AL22:AN22" si="18">AL20-AL21</f>
        <v>975</v>
      </c>
      <c r="AM22" s="91">
        <f t="shared" si="18"/>
        <v>787</v>
      </c>
      <c r="AN22" s="91">
        <f t="shared" si="18"/>
        <v>812</v>
      </c>
      <c r="AO22" s="91"/>
      <c r="AP22" s="91">
        <f t="shared" ref="AP22:BA22" si="19">AP20-AP21</f>
        <v>746</v>
      </c>
      <c r="AQ22" s="91">
        <f t="shared" si="19"/>
        <v>762</v>
      </c>
      <c r="AR22" s="91">
        <f t="shared" si="19"/>
        <v>757</v>
      </c>
      <c r="AS22" s="91">
        <f t="shared" si="19"/>
        <v>788</v>
      </c>
      <c r="AT22" s="91">
        <f t="shared" si="19"/>
        <v>872</v>
      </c>
      <c r="AU22" s="91">
        <f t="shared" si="19"/>
        <v>834</v>
      </c>
      <c r="AV22" s="91">
        <f t="shared" si="19"/>
        <v>1102</v>
      </c>
      <c r="AW22" s="91">
        <f t="shared" si="19"/>
        <v>1086</v>
      </c>
      <c r="AX22" s="91">
        <f t="shared" si="19"/>
        <v>843</v>
      </c>
      <c r="AY22" s="91">
        <f t="shared" si="19"/>
        <v>851</v>
      </c>
      <c r="AZ22" s="91">
        <f t="shared" si="19"/>
        <v>673</v>
      </c>
      <c r="BA22" s="91">
        <f t="shared" si="19"/>
        <v>715</v>
      </c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</row>
    <row r="23" ht="15.75" customHeight="1">
      <c r="A23" s="281" t="s">
        <v>304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282">
        <v>3161.0</v>
      </c>
      <c r="Q23" s="282">
        <v>2892.0</v>
      </c>
      <c r="R23" s="282">
        <v>2652.0</v>
      </c>
      <c r="S23" s="282">
        <v>2596.0</v>
      </c>
      <c r="T23" s="282">
        <v>2516.0</v>
      </c>
      <c r="U23" s="282">
        <v>2079.0</v>
      </c>
      <c r="V23" s="282">
        <v>2487.0</v>
      </c>
      <c r="W23" s="282">
        <v>2961.0</v>
      </c>
      <c r="X23" s="282">
        <v>2002.0</v>
      </c>
      <c r="Y23" s="282">
        <v>2616.0</v>
      </c>
      <c r="Z23" s="282">
        <v>2653.0</v>
      </c>
      <c r="AA23" s="282">
        <v>3208.0</v>
      </c>
      <c r="AB23" s="91"/>
      <c r="AC23" s="91">
        <v>2762.0</v>
      </c>
      <c r="AD23" s="91">
        <v>2598.0</v>
      </c>
      <c r="AE23" s="91">
        <v>2732.0</v>
      </c>
      <c r="AF23" s="91">
        <v>2572.0</v>
      </c>
      <c r="AG23" s="91">
        <v>2138.0</v>
      </c>
      <c r="AH23" s="91">
        <v>2275.0</v>
      </c>
      <c r="AI23" s="91">
        <v>3092.0</v>
      </c>
      <c r="AJ23" s="91">
        <v>2991.0</v>
      </c>
      <c r="AK23" s="283">
        <v>2059.0</v>
      </c>
      <c r="AL23" s="91">
        <f t="shared" ref="AL23:AN23" si="20">SUM(AL15:AL21)-AL22</f>
        <v>2540</v>
      </c>
      <c r="AM23" s="91">
        <f t="shared" si="20"/>
        <v>2559</v>
      </c>
      <c r="AN23" s="91">
        <f t="shared" si="20"/>
        <v>3310</v>
      </c>
      <c r="AO23" s="91"/>
      <c r="AP23" s="91">
        <f t="shared" ref="AP23:AS23" si="21">SUM(AP15:AP21)-AP22</f>
        <v>3154</v>
      </c>
      <c r="AQ23" s="91">
        <f t="shared" si="21"/>
        <v>3004</v>
      </c>
      <c r="AR23" s="91">
        <f t="shared" si="21"/>
        <v>2954</v>
      </c>
      <c r="AS23" s="91">
        <f t="shared" si="21"/>
        <v>2419</v>
      </c>
      <c r="AT23" s="91">
        <f t="shared" ref="AT23:AU23" si="22">SUM(AT15,AT16,AT17,AT20)-AT22</f>
        <v>2053</v>
      </c>
      <c r="AU23" s="91">
        <f t="shared" si="22"/>
        <v>1804</v>
      </c>
      <c r="AV23" s="91">
        <v>2900.0</v>
      </c>
      <c r="AW23" s="148">
        <f>SUM(AW15,AW16,AW17,AW20)-AW22</f>
        <v>2048</v>
      </c>
      <c r="AX23" s="148">
        <f t="shared" ref="AX23:BA23" si="23">SUM(AX15,AX16,AX17,AX18,AX19,AX20)-AX22</f>
        <v>2021</v>
      </c>
      <c r="AY23" s="148">
        <f t="shared" si="23"/>
        <v>2450</v>
      </c>
      <c r="AZ23" s="148">
        <f t="shared" si="23"/>
        <v>2889</v>
      </c>
      <c r="BA23" s="148">
        <f t="shared" si="23"/>
        <v>2927</v>
      </c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</row>
    <row r="24" ht="15.75" customHeight="1">
      <c r="A24" s="126" t="s">
        <v>305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284">
        <v>9.88</v>
      </c>
      <c r="Q24" s="284">
        <v>9.88</v>
      </c>
      <c r="R24" s="284">
        <v>9.88</v>
      </c>
      <c r="S24" s="284">
        <v>9.88</v>
      </c>
      <c r="T24" s="284">
        <v>9.88</v>
      </c>
      <c r="U24" s="284">
        <v>9.88</v>
      </c>
      <c r="V24" s="284">
        <v>9.88</v>
      </c>
      <c r="W24" s="284">
        <v>9.88</v>
      </c>
      <c r="X24" s="284">
        <v>9.88</v>
      </c>
      <c r="Y24" s="284">
        <v>9.88</v>
      </c>
      <c r="Z24" s="284">
        <v>9.88</v>
      </c>
      <c r="AA24" s="284">
        <v>9.88</v>
      </c>
      <c r="AB24" s="91"/>
      <c r="AC24" s="284">
        <v>9.88</v>
      </c>
      <c r="AD24" s="284">
        <v>9.88</v>
      </c>
      <c r="AE24" s="284">
        <v>9.88</v>
      </c>
      <c r="AF24" s="284">
        <v>9.88</v>
      </c>
      <c r="AG24" s="284">
        <v>9.88</v>
      </c>
      <c r="AH24" s="284">
        <v>9.88</v>
      </c>
      <c r="AI24" s="285">
        <v>7.0</v>
      </c>
      <c r="AJ24" s="285">
        <v>7.0</v>
      </c>
      <c r="AK24" s="285">
        <v>7.0</v>
      </c>
      <c r="AL24" s="285">
        <v>6.0</v>
      </c>
      <c r="AM24" s="285">
        <v>6.0</v>
      </c>
      <c r="AN24" s="285">
        <v>6.0</v>
      </c>
      <c r="AO24" s="91"/>
      <c r="AP24" s="156">
        <v>6.5</v>
      </c>
      <c r="AQ24" s="156">
        <v>6.5</v>
      </c>
      <c r="AR24" s="156">
        <v>6.6</v>
      </c>
      <c r="AS24" s="156">
        <v>6.6</v>
      </c>
      <c r="AT24" s="156">
        <v>6.8</v>
      </c>
      <c r="AU24" s="156">
        <v>6.8</v>
      </c>
      <c r="AV24" s="156">
        <v>6.6</v>
      </c>
      <c r="AW24" s="156">
        <v>6.6</v>
      </c>
      <c r="AX24" s="156">
        <v>6.6</v>
      </c>
      <c r="AY24" s="156">
        <v>6.6</v>
      </c>
      <c r="AZ24" s="156">
        <v>6.6</v>
      </c>
      <c r="BA24" s="156">
        <v>6.6</v>
      </c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</row>
    <row r="25" ht="15.75" customHeight="1">
      <c r="A25" s="126" t="s">
        <v>306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91"/>
      <c r="AC25" s="284"/>
      <c r="AD25" s="284"/>
      <c r="AE25" s="284"/>
      <c r="AF25" s="284"/>
      <c r="AG25" s="284"/>
      <c r="AH25" s="284"/>
      <c r="AI25" s="285"/>
      <c r="AJ25" s="285"/>
      <c r="AK25" s="285"/>
      <c r="AL25" s="285"/>
      <c r="AM25" s="285"/>
      <c r="AN25" s="285"/>
      <c r="AO25" s="91"/>
      <c r="AP25" s="156"/>
      <c r="AQ25" s="156"/>
      <c r="AR25" s="156"/>
      <c r="AS25" s="156"/>
      <c r="AT25" s="156"/>
      <c r="AU25" s="156"/>
      <c r="AV25" s="156"/>
      <c r="AW25" s="156">
        <v>0.8</v>
      </c>
      <c r="AX25" s="156">
        <v>0.8</v>
      </c>
      <c r="AY25" s="156">
        <v>0.8</v>
      </c>
      <c r="AZ25" s="156">
        <v>0.8</v>
      </c>
      <c r="BA25" s="156">
        <v>0.8</v>
      </c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</row>
    <row r="26" ht="15.75" customHeight="1">
      <c r="A26" s="126" t="s">
        <v>307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286">
        <f t="shared" ref="P26:AA26" si="24">P22*P24</f>
        <v>0</v>
      </c>
      <c r="Q26" s="286">
        <f t="shared" si="24"/>
        <v>6412.12</v>
      </c>
      <c r="R26" s="286">
        <f t="shared" si="24"/>
        <v>5532.8</v>
      </c>
      <c r="S26" s="286">
        <f t="shared" si="24"/>
        <v>13851.76</v>
      </c>
      <c r="T26" s="286">
        <f t="shared" si="24"/>
        <v>17714.84</v>
      </c>
      <c r="U26" s="286">
        <f t="shared" si="24"/>
        <v>15600.52</v>
      </c>
      <c r="V26" s="286">
        <f t="shared" si="24"/>
        <v>13357.76</v>
      </c>
      <c r="W26" s="286">
        <f t="shared" si="24"/>
        <v>5542.68</v>
      </c>
      <c r="X26" s="286">
        <f t="shared" si="24"/>
        <v>5987.28</v>
      </c>
      <c r="Y26" s="286">
        <f t="shared" si="24"/>
        <v>8793.2</v>
      </c>
      <c r="Z26" s="286">
        <f t="shared" si="24"/>
        <v>7172.88</v>
      </c>
      <c r="AA26" s="286">
        <f t="shared" si="24"/>
        <v>7755.8</v>
      </c>
      <c r="AB26" s="91"/>
      <c r="AC26" s="155">
        <f t="shared" ref="AC26:AN26" si="25">AC22*AC24</f>
        <v>6945.64</v>
      </c>
      <c r="AD26" s="155">
        <f t="shared" si="25"/>
        <v>7617.48</v>
      </c>
      <c r="AE26" s="155">
        <f t="shared" si="25"/>
        <v>7963.28</v>
      </c>
      <c r="AF26" s="155">
        <f t="shared" si="25"/>
        <v>7933.64</v>
      </c>
      <c r="AG26" s="155">
        <f t="shared" si="25"/>
        <v>8417.76</v>
      </c>
      <c r="AH26" s="155">
        <f t="shared" si="25"/>
        <v>8882.12</v>
      </c>
      <c r="AI26" s="155">
        <f t="shared" si="25"/>
        <v>7469</v>
      </c>
      <c r="AJ26" s="155">
        <f t="shared" si="25"/>
        <v>6769</v>
      </c>
      <c r="AK26" s="155">
        <f t="shared" si="25"/>
        <v>6153</v>
      </c>
      <c r="AL26" s="155">
        <f t="shared" si="25"/>
        <v>5850</v>
      </c>
      <c r="AM26" s="155">
        <f t="shared" si="25"/>
        <v>4722</v>
      </c>
      <c r="AN26" s="155">
        <f t="shared" si="25"/>
        <v>4872</v>
      </c>
      <c r="AO26" s="91"/>
      <c r="AP26" s="156">
        <f t="shared" ref="AP26:BA26" si="26">AP22*AP24</f>
        <v>4849</v>
      </c>
      <c r="AQ26" s="156">
        <f t="shared" si="26"/>
        <v>4953</v>
      </c>
      <c r="AR26" s="156">
        <f t="shared" si="26"/>
        <v>4996.2</v>
      </c>
      <c r="AS26" s="156">
        <f t="shared" si="26"/>
        <v>5200.8</v>
      </c>
      <c r="AT26" s="156">
        <f t="shared" si="26"/>
        <v>5929.6</v>
      </c>
      <c r="AU26" s="156">
        <f t="shared" si="26"/>
        <v>5671.2</v>
      </c>
      <c r="AV26" s="156">
        <f t="shared" si="26"/>
        <v>7273.2</v>
      </c>
      <c r="AW26" s="156">
        <f t="shared" si="26"/>
        <v>7167.6</v>
      </c>
      <c r="AX26" s="156">
        <f t="shared" si="26"/>
        <v>5563.8</v>
      </c>
      <c r="AY26" s="156">
        <f t="shared" si="26"/>
        <v>5616.6</v>
      </c>
      <c r="AZ26" s="156">
        <f t="shared" si="26"/>
        <v>4441.8</v>
      </c>
      <c r="BA26" s="156">
        <f t="shared" si="26"/>
        <v>4719</v>
      </c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</row>
    <row r="27" ht="15.75" customHeight="1">
      <c r="A27" s="114" t="s">
        <v>158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285">
        <f t="shared" ref="P27:AA27" si="27">P23*P24</f>
        <v>31230.68</v>
      </c>
      <c r="Q27" s="285">
        <f t="shared" si="27"/>
        <v>28572.96</v>
      </c>
      <c r="R27" s="285">
        <f t="shared" si="27"/>
        <v>26201.76</v>
      </c>
      <c r="S27" s="285">
        <f t="shared" si="27"/>
        <v>25648.48</v>
      </c>
      <c r="T27" s="285">
        <f t="shared" si="27"/>
        <v>24858.08</v>
      </c>
      <c r="U27" s="285">
        <f t="shared" si="27"/>
        <v>20540.52</v>
      </c>
      <c r="V27" s="285">
        <f t="shared" si="27"/>
        <v>24571.56</v>
      </c>
      <c r="W27" s="285">
        <f t="shared" si="27"/>
        <v>29254.68</v>
      </c>
      <c r="X27" s="285">
        <f t="shared" si="27"/>
        <v>19779.76</v>
      </c>
      <c r="Y27" s="285">
        <f t="shared" si="27"/>
        <v>25846.08</v>
      </c>
      <c r="Z27" s="285">
        <f t="shared" si="27"/>
        <v>26211.64</v>
      </c>
      <c r="AA27" s="285">
        <f t="shared" si="27"/>
        <v>31695.04</v>
      </c>
      <c r="AB27" s="91"/>
      <c r="AC27" s="155">
        <f t="shared" ref="AC27:AN27" si="28">AC23*AC24</f>
        <v>27288.56</v>
      </c>
      <c r="AD27" s="155">
        <f t="shared" si="28"/>
        <v>25668.24</v>
      </c>
      <c r="AE27" s="155">
        <f t="shared" si="28"/>
        <v>26992.16</v>
      </c>
      <c r="AF27" s="155">
        <f t="shared" si="28"/>
        <v>25411.36</v>
      </c>
      <c r="AG27" s="155">
        <f t="shared" si="28"/>
        <v>21123.44</v>
      </c>
      <c r="AH27" s="155">
        <f t="shared" si="28"/>
        <v>22477</v>
      </c>
      <c r="AI27" s="155">
        <f t="shared" si="28"/>
        <v>21644</v>
      </c>
      <c r="AJ27" s="155">
        <f t="shared" si="28"/>
        <v>20937</v>
      </c>
      <c r="AK27" s="155">
        <f t="shared" si="28"/>
        <v>14413</v>
      </c>
      <c r="AL27" s="155">
        <f t="shared" si="28"/>
        <v>15240</v>
      </c>
      <c r="AM27" s="155">
        <f t="shared" si="28"/>
        <v>15354</v>
      </c>
      <c r="AN27" s="155">
        <f t="shared" si="28"/>
        <v>19860</v>
      </c>
      <c r="AO27" s="91"/>
      <c r="AP27" s="156">
        <f t="shared" ref="AP27:AV27" si="29">AP23*AP24</f>
        <v>20501</v>
      </c>
      <c r="AQ27" s="156">
        <f t="shared" si="29"/>
        <v>19526</v>
      </c>
      <c r="AR27" s="156">
        <f t="shared" si="29"/>
        <v>19496.4</v>
      </c>
      <c r="AS27" s="156">
        <f t="shared" si="29"/>
        <v>15965.4</v>
      </c>
      <c r="AT27" s="156">
        <f t="shared" si="29"/>
        <v>13960.4</v>
      </c>
      <c r="AU27" s="156">
        <f t="shared" si="29"/>
        <v>12267.2</v>
      </c>
      <c r="AV27" s="156">
        <f t="shared" si="29"/>
        <v>19140</v>
      </c>
      <c r="AW27" s="156">
        <f>(AW23*AW24)+(AW18*AW25)</f>
        <v>13708</v>
      </c>
      <c r="AX27" s="156">
        <f t="shared" ref="AX27:BA27" si="30">AX23*AX24</f>
        <v>13338.6</v>
      </c>
      <c r="AY27" s="156">
        <f t="shared" si="30"/>
        <v>16170</v>
      </c>
      <c r="AZ27" s="156">
        <f t="shared" si="30"/>
        <v>19067.4</v>
      </c>
      <c r="BA27" s="156">
        <f t="shared" si="30"/>
        <v>19318.2</v>
      </c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</row>
    <row r="28" ht="15.75" customHeight="1">
      <c r="A28" s="126" t="s">
        <v>159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287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</row>
    <row r="29" ht="15.75" customHeight="1">
      <c r="A29" s="11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</row>
    <row r="30" ht="15.75" customHeight="1">
      <c r="A30" s="115" t="s">
        <v>161</v>
      </c>
      <c r="B30" s="9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9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9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2"/>
      <c r="AO30" s="91"/>
      <c r="AP30" s="121"/>
      <c r="AQ30" s="121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48"/>
      <c r="BC30" s="117"/>
      <c r="BD30" s="117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</row>
    <row r="31" ht="15.75" customHeight="1">
      <c r="A31" s="126" t="s">
        <v>162</v>
      </c>
      <c r="B31" s="282">
        <v>7325.0</v>
      </c>
      <c r="C31" s="130">
        <v>7403.0</v>
      </c>
      <c r="D31" s="130">
        <v>7489.0</v>
      </c>
      <c r="E31" s="130">
        <v>7594.0</v>
      </c>
      <c r="F31" s="130">
        <v>7729.0</v>
      </c>
      <c r="G31" s="130">
        <v>7855.0</v>
      </c>
      <c r="H31" s="130">
        <v>7971.0</v>
      </c>
      <c r="I31" s="130">
        <v>8159.0</v>
      </c>
      <c r="J31" s="130">
        <v>8328.0</v>
      </c>
      <c r="K31" s="130">
        <v>8432.0</v>
      </c>
      <c r="L31" s="130">
        <v>8574.0</v>
      </c>
      <c r="M31" s="130">
        <v>8688.0</v>
      </c>
      <c r="N31" s="130">
        <v>8798.0</v>
      </c>
      <c r="O31" s="91"/>
      <c r="P31" s="130">
        <v>8908.0</v>
      </c>
      <c r="Q31" s="130">
        <v>9020.0</v>
      </c>
      <c r="R31" s="130">
        <v>9133.0</v>
      </c>
      <c r="S31" s="130">
        <v>9243.0</v>
      </c>
      <c r="T31" s="130">
        <v>9320.0</v>
      </c>
      <c r="U31" s="130">
        <v>144.0</v>
      </c>
      <c r="V31" s="130">
        <v>305.0</v>
      </c>
      <c r="W31" s="130">
        <v>439.0</v>
      </c>
      <c r="X31" s="130">
        <v>541.0</v>
      </c>
      <c r="Y31" s="130">
        <v>662.0</v>
      </c>
      <c r="Z31" s="130">
        <v>743.0</v>
      </c>
      <c r="AA31" s="130">
        <v>855.0</v>
      </c>
      <c r="AB31" s="91"/>
      <c r="AC31" s="130">
        <v>936.0</v>
      </c>
      <c r="AD31" s="130">
        <v>1039.0</v>
      </c>
      <c r="AE31" s="130">
        <v>1153.0</v>
      </c>
      <c r="AF31" s="130">
        <v>1249.0</v>
      </c>
      <c r="AG31" s="130">
        <v>1360.0</v>
      </c>
      <c r="AH31" s="130">
        <v>1478.0</v>
      </c>
      <c r="AI31" s="130">
        <v>1627.0</v>
      </c>
      <c r="AJ31" s="130">
        <v>1771.0</v>
      </c>
      <c r="AK31" s="130">
        <v>1871.0</v>
      </c>
      <c r="AL31" s="130">
        <v>1993.0</v>
      </c>
      <c r="AM31" s="130">
        <v>2074.0</v>
      </c>
      <c r="AN31" s="131">
        <v>2183.0</v>
      </c>
      <c r="AO31" s="91"/>
      <c r="AP31" s="130">
        <v>2297.0</v>
      </c>
      <c r="AQ31" s="130">
        <v>2407.0</v>
      </c>
      <c r="AR31" s="288">
        <v>2520.0</v>
      </c>
      <c r="AS31" s="124">
        <v>2650.0</v>
      </c>
      <c r="AT31" s="124">
        <v>2780.0</v>
      </c>
      <c r="AU31" s="124">
        <v>2874.0</v>
      </c>
      <c r="AV31" s="124">
        <v>3007.0</v>
      </c>
      <c r="AW31" s="124">
        <v>3127.0</v>
      </c>
      <c r="AX31" s="124">
        <v>3218.0</v>
      </c>
      <c r="AY31" s="124">
        <v>3321.0</v>
      </c>
      <c r="AZ31" s="124">
        <v>3407.0</v>
      </c>
      <c r="BA31" s="124">
        <v>3505.0</v>
      </c>
      <c r="BB31" s="91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  <c r="BM31" s="124"/>
      <c r="BN31" s="124"/>
    </row>
    <row r="32" ht="16.5" customHeight="1" outlineLevel="1">
      <c r="A32" s="126" t="s">
        <v>156</v>
      </c>
      <c r="B32" s="91"/>
      <c r="C32" s="289">
        <f t="shared" ref="C32:N32" si="31">C31-B31</f>
        <v>78</v>
      </c>
      <c r="D32" s="289">
        <f t="shared" si="31"/>
        <v>86</v>
      </c>
      <c r="E32" s="289">
        <f t="shared" si="31"/>
        <v>105</v>
      </c>
      <c r="F32" s="289">
        <f t="shared" si="31"/>
        <v>135</v>
      </c>
      <c r="G32" s="289">
        <f t="shared" si="31"/>
        <v>126</v>
      </c>
      <c r="H32" s="289">
        <f t="shared" si="31"/>
        <v>116</v>
      </c>
      <c r="I32" s="289">
        <f t="shared" si="31"/>
        <v>188</v>
      </c>
      <c r="J32" s="289">
        <f t="shared" si="31"/>
        <v>169</v>
      </c>
      <c r="K32" s="289">
        <f t="shared" si="31"/>
        <v>104</v>
      </c>
      <c r="L32" s="289">
        <f t="shared" si="31"/>
        <v>142</v>
      </c>
      <c r="M32" s="289">
        <f t="shared" si="31"/>
        <v>114</v>
      </c>
      <c r="N32" s="289">
        <f t="shared" si="31"/>
        <v>110</v>
      </c>
      <c r="O32" s="91"/>
      <c r="P32" s="289">
        <f>P31-N31</f>
        <v>110</v>
      </c>
      <c r="Q32" s="289">
        <f t="shared" ref="Q32:AA32" si="32">Q31-P31</f>
        <v>112</v>
      </c>
      <c r="R32" s="289">
        <f t="shared" si="32"/>
        <v>113</v>
      </c>
      <c r="S32" s="289">
        <f t="shared" si="32"/>
        <v>110</v>
      </c>
      <c r="T32" s="289">
        <f t="shared" si="32"/>
        <v>77</v>
      </c>
      <c r="U32" s="289">
        <f t="shared" si="32"/>
        <v>-9176</v>
      </c>
      <c r="V32" s="289">
        <f t="shared" si="32"/>
        <v>161</v>
      </c>
      <c r="W32" s="289">
        <f t="shared" si="32"/>
        <v>134</v>
      </c>
      <c r="X32" s="289">
        <f t="shared" si="32"/>
        <v>102</v>
      </c>
      <c r="Y32" s="289">
        <f t="shared" si="32"/>
        <v>121</v>
      </c>
      <c r="Z32" s="289">
        <f t="shared" si="32"/>
        <v>81</v>
      </c>
      <c r="AA32" s="289">
        <f t="shared" si="32"/>
        <v>112</v>
      </c>
      <c r="AB32" s="91"/>
      <c r="AC32" s="290">
        <f>AC31-AA31</f>
        <v>81</v>
      </c>
      <c r="AD32" s="289">
        <f t="shared" ref="AD32:AN32" si="33">AD31-AC31</f>
        <v>103</v>
      </c>
      <c r="AE32" s="289">
        <f t="shared" si="33"/>
        <v>114</v>
      </c>
      <c r="AF32" s="289">
        <f t="shared" si="33"/>
        <v>96</v>
      </c>
      <c r="AG32" s="289">
        <f t="shared" si="33"/>
        <v>111</v>
      </c>
      <c r="AH32" s="289">
        <f t="shared" si="33"/>
        <v>118</v>
      </c>
      <c r="AI32" s="289">
        <f t="shared" si="33"/>
        <v>149</v>
      </c>
      <c r="AJ32" s="289">
        <f t="shared" si="33"/>
        <v>144</v>
      </c>
      <c r="AK32" s="289">
        <f t="shared" si="33"/>
        <v>100</v>
      </c>
      <c r="AL32" s="289">
        <f t="shared" si="33"/>
        <v>122</v>
      </c>
      <c r="AM32" s="289">
        <f t="shared" si="33"/>
        <v>81</v>
      </c>
      <c r="AN32" s="289">
        <f t="shared" si="33"/>
        <v>109</v>
      </c>
      <c r="AO32" s="91"/>
      <c r="AP32" s="289">
        <f>AP31-AN31</f>
        <v>114</v>
      </c>
      <c r="AQ32" s="289">
        <f t="shared" ref="AQ32:BA32" si="34">AQ31-AP31</f>
        <v>110</v>
      </c>
      <c r="AR32" s="289">
        <f t="shared" si="34"/>
        <v>113</v>
      </c>
      <c r="AS32" s="289">
        <f t="shared" si="34"/>
        <v>130</v>
      </c>
      <c r="AT32" s="289">
        <f t="shared" si="34"/>
        <v>130</v>
      </c>
      <c r="AU32" s="289">
        <f t="shared" si="34"/>
        <v>94</v>
      </c>
      <c r="AV32" s="289">
        <f t="shared" si="34"/>
        <v>133</v>
      </c>
      <c r="AW32" s="289">
        <f t="shared" si="34"/>
        <v>120</v>
      </c>
      <c r="AX32" s="289">
        <f t="shared" si="34"/>
        <v>91</v>
      </c>
      <c r="AY32" s="289">
        <f t="shared" si="34"/>
        <v>103</v>
      </c>
      <c r="AZ32" s="289">
        <f t="shared" si="34"/>
        <v>86</v>
      </c>
      <c r="BA32" s="289">
        <f t="shared" si="34"/>
        <v>98</v>
      </c>
      <c r="BB32" s="91"/>
      <c r="BC32" s="158"/>
      <c r="BD32" s="158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</row>
    <row r="33" ht="15.75" customHeight="1" outlineLevel="1">
      <c r="A33" s="126" t="s">
        <v>303</v>
      </c>
      <c r="B33" s="91"/>
      <c r="C33" s="291">
        <f t="shared" ref="C33:N33" si="35">C38/C35</f>
        <v>25.94520548</v>
      </c>
      <c r="D33" s="291">
        <f t="shared" si="35"/>
        <v>43.77777778</v>
      </c>
      <c r="E33" s="291">
        <f t="shared" si="35"/>
        <v>50.22222222</v>
      </c>
      <c r="F33" s="291">
        <f t="shared" si="35"/>
        <v>61.11111111</v>
      </c>
      <c r="G33" s="291">
        <f t="shared" si="35"/>
        <v>51.55555556</v>
      </c>
      <c r="H33" s="291">
        <f t="shared" si="35"/>
        <v>46</v>
      </c>
      <c r="I33" s="291">
        <f t="shared" si="35"/>
        <v>95.77777778</v>
      </c>
      <c r="J33" s="291">
        <f t="shared" si="35"/>
        <v>80.11111111</v>
      </c>
      <c r="K33" s="291">
        <f t="shared" si="35"/>
        <v>44</v>
      </c>
      <c r="L33" s="291">
        <f t="shared" si="35"/>
        <v>49.77777778</v>
      </c>
      <c r="M33" s="291">
        <f t="shared" si="35"/>
        <v>38.70833333</v>
      </c>
      <c r="N33" s="291">
        <f t="shared" si="35"/>
        <v>37.56666667</v>
      </c>
      <c r="O33" s="291"/>
      <c r="P33" s="291">
        <f t="shared" ref="P33:AA33" si="36">P38/P35</f>
        <v>38.91666667</v>
      </c>
      <c r="Q33" s="291">
        <f t="shared" si="36"/>
        <v>35</v>
      </c>
      <c r="R33" s="291">
        <f t="shared" si="36"/>
        <v>40.66666667</v>
      </c>
      <c r="S33" s="291">
        <f t="shared" si="36"/>
        <v>38.75</v>
      </c>
      <c r="T33" s="291">
        <f t="shared" si="36"/>
        <v>39.75</v>
      </c>
      <c r="U33" s="291">
        <f t="shared" si="36"/>
        <v>74.75</v>
      </c>
      <c r="V33" s="291">
        <f t="shared" si="36"/>
        <v>84.08333333</v>
      </c>
      <c r="W33" s="291">
        <f t="shared" si="36"/>
        <v>65.41666667</v>
      </c>
      <c r="X33" s="291">
        <f t="shared" si="36"/>
        <v>47.66666667</v>
      </c>
      <c r="Y33" s="291">
        <f t="shared" si="36"/>
        <v>60.33333333</v>
      </c>
      <c r="Z33" s="291">
        <f t="shared" si="36"/>
        <v>40.5</v>
      </c>
      <c r="AA33" s="291">
        <f t="shared" si="36"/>
        <v>49.91666667</v>
      </c>
      <c r="AB33" s="291"/>
      <c r="AC33" s="291">
        <f t="shared" ref="AC33:AN33" si="37">AC38/AC35</f>
        <v>38.5</v>
      </c>
      <c r="AD33" s="291">
        <f t="shared" si="37"/>
        <v>49.66666667</v>
      </c>
      <c r="AE33" s="291">
        <f t="shared" si="37"/>
        <v>53.16666667</v>
      </c>
      <c r="AF33" s="291">
        <f t="shared" si="37"/>
        <v>49.66666667</v>
      </c>
      <c r="AG33" s="291">
        <f t="shared" si="37"/>
        <v>57.16666667</v>
      </c>
      <c r="AH33" s="291">
        <f t="shared" si="37"/>
        <v>60.66666667</v>
      </c>
      <c r="AI33" s="291">
        <f t="shared" si="37"/>
        <v>91.66666667</v>
      </c>
      <c r="AJ33" s="291">
        <f t="shared" si="37"/>
        <v>76.22222222</v>
      </c>
      <c r="AK33" s="291">
        <f t="shared" si="37"/>
        <v>52.22222222</v>
      </c>
      <c r="AL33" s="291">
        <f t="shared" si="37"/>
        <v>63.22222222</v>
      </c>
      <c r="AM33" s="291">
        <f t="shared" si="37"/>
        <v>42.72222222</v>
      </c>
      <c r="AN33" s="291">
        <f t="shared" si="37"/>
        <v>56.72222222</v>
      </c>
      <c r="AO33" s="291"/>
      <c r="AP33" s="291">
        <f t="shared" ref="AP33:AQ33" si="38">AP38/AP35</f>
        <v>50.34831461</v>
      </c>
      <c r="AQ33" s="291">
        <f t="shared" si="38"/>
        <v>47.47191011</v>
      </c>
      <c r="AR33" s="289" t="s">
        <v>308</v>
      </c>
      <c r="AS33" s="289" t="s">
        <v>309</v>
      </c>
      <c r="AT33" s="289" t="s">
        <v>310</v>
      </c>
      <c r="AU33" s="289" t="s">
        <v>311</v>
      </c>
      <c r="AV33" s="289" t="s">
        <v>310</v>
      </c>
      <c r="AW33" s="289" t="s">
        <v>309</v>
      </c>
      <c r="AX33" s="289" t="s">
        <v>312</v>
      </c>
      <c r="AY33" s="292" t="s">
        <v>313</v>
      </c>
      <c r="AZ33" s="292" t="s">
        <v>314</v>
      </c>
      <c r="BA33" s="289" t="s">
        <v>312</v>
      </c>
      <c r="BB33" s="91"/>
      <c r="BC33" s="158"/>
      <c r="BD33" s="158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</row>
    <row r="34" ht="15.75" customHeight="1" outlineLevel="1">
      <c r="A34" s="126" t="s">
        <v>304</v>
      </c>
      <c r="B34" s="91"/>
      <c r="C34" s="291">
        <f t="shared" ref="C34:N34" si="39">C39/C35</f>
        <v>52.05479452</v>
      </c>
      <c r="D34" s="291">
        <f t="shared" si="39"/>
        <v>42.22222222</v>
      </c>
      <c r="E34" s="291">
        <f t="shared" si="39"/>
        <v>54.77777778</v>
      </c>
      <c r="F34" s="291">
        <f t="shared" si="39"/>
        <v>73.88888889</v>
      </c>
      <c r="G34" s="291">
        <f t="shared" si="39"/>
        <v>74.44444444</v>
      </c>
      <c r="H34" s="291">
        <f t="shared" si="39"/>
        <v>70</v>
      </c>
      <c r="I34" s="291">
        <f t="shared" si="39"/>
        <v>92.22222222</v>
      </c>
      <c r="J34" s="291">
        <f t="shared" si="39"/>
        <v>88.88888889</v>
      </c>
      <c r="K34" s="291">
        <f t="shared" si="39"/>
        <v>60</v>
      </c>
      <c r="L34" s="291">
        <f t="shared" si="39"/>
        <v>92.22222222</v>
      </c>
      <c r="M34" s="291">
        <f t="shared" si="39"/>
        <v>75.29166667</v>
      </c>
      <c r="N34" s="291">
        <f t="shared" si="39"/>
        <v>72.43333333</v>
      </c>
      <c r="O34" s="291"/>
      <c r="P34" s="291">
        <f t="shared" ref="P34:AA34" si="40">P39/P35</f>
        <v>71.08333333</v>
      </c>
      <c r="Q34" s="291">
        <f t="shared" si="40"/>
        <v>77</v>
      </c>
      <c r="R34" s="291">
        <f t="shared" si="40"/>
        <v>72.33333333</v>
      </c>
      <c r="S34" s="291">
        <f t="shared" si="40"/>
        <v>71.25</v>
      </c>
      <c r="T34" s="291">
        <f t="shared" si="40"/>
        <v>37.25</v>
      </c>
      <c r="U34" s="291">
        <f t="shared" si="40"/>
        <v>69.25</v>
      </c>
      <c r="V34" s="291">
        <f t="shared" si="40"/>
        <v>76.91666667</v>
      </c>
      <c r="W34" s="291">
        <f t="shared" si="40"/>
        <v>68.58333333</v>
      </c>
      <c r="X34" s="291">
        <f t="shared" si="40"/>
        <v>54.33333333</v>
      </c>
      <c r="Y34" s="291">
        <f t="shared" si="40"/>
        <v>60.66666667</v>
      </c>
      <c r="Z34" s="291">
        <f t="shared" si="40"/>
        <v>40.5</v>
      </c>
      <c r="AA34" s="291">
        <f t="shared" si="40"/>
        <v>62.08333333</v>
      </c>
      <c r="AB34" s="291"/>
      <c r="AC34" s="291">
        <f t="shared" ref="AC34:AN34" si="41">AC39/AC35</f>
        <v>45.83333333</v>
      </c>
      <c r="AD34" s="291">
        <f t="shared" si="41"/>
        <v>56.66666667</v>
      </c>
      <c r="AE34" s="291">
        <f t="shared" si="41"/>
        <v>64.16666667</v>
      </c>
      <c r="AF34" s="291">
        <f t="shared" si="41"/>
        <v>49.66666667</v>
      </c>
      <c r="AG34" s="291">
        <f t="shared" si="41"/>
        <v>57.16666667</v>
      </c>
      <c r="AH34" s="291">
        <f t="shared" si="41"/>
        <v>60.66666667</v>
      </c>
      <c r="AI34" s="291">
        <f t="shared" si="41"/>
        <v>60.66666667</v>
      </c>
      <c r="AJ34" s="291">
        <f t="shared" si="41"/>
        <v>72.22222222</v>
      </c>
      <c r="AK34" s="291">
        <f t="shared" si="41"/>
        <v>52.22222222</v>
      </c>
      <c r="AL34" s="291">
        <f t="shared" si="41"/>
        <v>63.22222222</v>
      </c>
      <c r="AM34" s="291">
        <f t="shared" si="41"/>
        <v>42.72222222</v>
      </c>
      <c r="AN34" s="291">
        <f t="shared" si="41"/>
        <v>56.72222222</v>
      </c>
      <c r="AO34" s="291"/>
      <c r="AP34" s="291">
        <f t="shared" ref="AP34:AQ34" si="42">AP39/AP35</f>
        <v>67.41573034</v>
      </c>
      <c r="AQ34" s="291">
        <f t="shared" si="42"/>
        <v>66.29213483</v>
      </c>
      <c r="AR34" s="289" t="s">
        <v>315</v>
      </c>
      <c r="AS34" s="293" t="s">
        <v>316</v>
      </c>
      <c r="AT34" s="289" t="s">
        <v>317</v>
      </c>
      <c r="AU34" s="289" t="s">
        <v>318</v>
      </c>
      <c r="AV34" s="293" t="s">
        <v>316</v>
      </c>
      <c r="AW34" s="293" t="s">
        <v>319</v>
      </c>
      <c r="AX34" s="289" t="s">
        <v>320</v>
      </c>
      <c r="AY34" s="292" t="s">
        <v>309</v>
      </c>
      <c r="AZ34" s="292" t="s">
        <v>321</v>
      </c>
      <c r="BA34" s="293" t="s">
        <v>310</v>
      </c>
      <c r="BB34" s="91"/>
      <c r="BC34" s="158"/>
      <c r="BD34" s="158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</row>
    <row r="35" ht="15.75" customHeight="1" outlineLevel="1">
      <c r="A35" s="126" t="s">
        <v>157</v>
      </c>
      <c r="B35" s="91"/>
      <c r="C35" s="294">
        <v>73.0</v>
      </c>
      <c r="D35" s="294">
        <v>90.0</v>
      </c>
      <c r="E35" s="294">
        <v>90.0</v>
      </c>
      <c r="F35" s="294">
        <v>90.0</v>
      </c>
      <c r="G35" s="294">
        <v>90.0</v>
      </c>
      <c r="H35" s="294">
        <v>90.0</v>
      </c>
      <c r="I35" s="294">
        <v>90.0</v>
      </c>
      <c r="J35" s="294">
        <v>90.0</v>
      </c>
      <c r="K35" s="294">
        <v>90.0</v>
      </c>
      <c r="L35" s="294">
        <v>90.0</v>
      </c>
      <c r="M35" s="294">
        <v>120.0</v>
      </c>
      <c r="N35" s="294">
        <v>120.0</v>
      </c>
      <c r="O35" s="91"/>
      <c r="P35" s="294">
        <v>120.0</v>
      </c>
      <c r="Q35" s="294">
        <v>120.0</v>
      </c>
      <c r="R35" s="294">
        <v>120.0</v>
      </c>
      <c r="S35" s="294">
        <v>120.0</v>
      </c>
      <c r="T35" s="294">
        <v>120.0</v>
      </c>
      <c r="U35" s="294">
        <v>120.0</v>
      </c>
      <c r="V35" s="294">
        <v>120.0</v>
      </c>
      <c r="W35" s="294">
        <v>120.0</v>
      </c>
      <c r="X35" s="294">
        <v>120.0</v>
      </c>
      <c r="Y35" s="294">
        <v>120.0</v>
      </c>
      <c r="Z35" s="294">
        <v>120.0</v>
      </c>
      <c r="AA35" s="294">
        <v>120.0</v>
      </c>
      <c r="AB35" s="91"/>
      <c r="AC35" s="295">
        <v>120.0</v>
      </c>
      <c r="AD35" s="295">
        <v>120.0</v>
      </c>
      <c r="AE35" s="295">
        <v>120.0</v>
      </c>
      <c r="AF35" s="295">
        <v>120.0</v>
      </c>
      <c r="AG35" s="295">
        <v>120.0</v>
      </c>
      <c r="AH35" s="295">
        <v>120.0</v>
      </c>
      <c r="AI35" s="295">
        <v>120.0</v>
      </c>
      <c r="AJ35" s="295">
        <v>90.0</v>
      </c>
      <c r="AK35" s="295">
        <v>90.0</v>
      </c>
      <c r="AL35" s="295">
        <v>90.0</v>
      </c>
      <c r="AM35" s="295">
        <v>90.0</v>
      </c>
      <c r="AN35" s="295">
        <v>90.0</v>
      </c>
      <c r="AO35" s="91"/>
      <c r="AP35" s="295">
        <v>89.0</v>
      </c>
      <c r="AQ35" s="295">
        <v>89.0</v>
      </c>
      <c r="AR35" s="295">
        <v>89.0</v>
      </c>
      <c r="AS35" s="295">
        <v>89.0</v>
      </c>
      <c r="AT35" s="295">
        <v>89.0</v>
      </c>
      <c r="AU35" s="295">
        <v>89.0</v>
      </c>
      <c r="AV35" s="295">
        <v>89.0</v>
      </c>
      <c r="AW35" s="295">
        <v>89.0</v>
      </c>
      <c r="AX35" s="295">
        <v>89.0</v>
      </c>
      <c r="AY35" s="295">
        <v>89.0</v>
      </c>
      <c r="AZ35" s="295">
        <v>89.0</v>
      </c>
      <c r="BA35" s="295">
        <v>89.0</v>
      </c>
      <c r="BB35" s="91"/>
      <c r="BC35" s="158"/>
      <c r="BD35" s="158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</row>
    <row r="36" ht="15.75" customHeight="1" outlineLevel="1">
      <c r="A36" s="126" t="s">
        <v>163</v>
      </c>
      <c r="B36" s="91"/>
      <c r="C36" s="163" t="s">
        <v>322</v>
      </c>
      <c r="D36" s="163" t="s">
        <v>322</v>
      </c>
      <c r="E36" s="163" t="s">
        <v>322</v>
      </c>
      <c r="F36" s="163" t="s">
        <v>322</v>
      </c>
      <c r="G36" s="163" t="s">
        <v>322</v>
      </c>
      <c r="H36" s="163" t="s">
        <v>322</v>
      </c>
      <c r="I36" s="163" t="s">
        <v>322</v>
      </c>
      <c r="J36" s="163" t="s">
        <v>322</v>
      </c>
      <c r="K36" s="163" t="s">
        <v>322</v>
      </c>
      <c r="L36" s="163" t="s">
        <v>322</v>
      </c>
      <c r="M36" s="163" t="s">
        <v>322</v>
      </c>
      <c r="N36" s="163" t="s">
        <v>322</v>
      </c>
      <c r="O36" s="91"/>
      <c r="P36" s="163" t="s">
        <v>322</v>
      </c>
      <c r="Q36" s="163" t="s">
        <v>322</v>
      </c>
      <c r="R36" s="163" t="s">
        <v>322</v>
      </c>
      <c r="S36" s="163" t="s">
        <v>322</v>
      </c>
      <c r="T36" s="163" t="s">
        <v>322</v>
      </c>
      <c r="U36" s="163" t="s">
        <v>322</v>
      </c>
      <c r="V36" s="163" t="s">
        <v>322</v>
      </c>
      <c r="W36" s="163" t="s">
        <v>322</v>
      </c>
      <c r="X36" s="163" t="s">
        <v>322</v>
      </c>
      <c r="Y36" s="163" t="s">
        <v>322</v>
      </c>
      <c r="Z36" s="163" t="s">
        <v>322</v>
      </c>
      <c r="AA36" s="163" t="s">
        <v>322</v>
      </c>
      <c r="AB36" s="91"/>
      <c r="AC36" s="296">
        <v>400.0</v>
      </c>
      <c r="AD36" s="296">
        <v>400.0</v>
      </c>
      <c r="AE36" s="296">
        <v>400.0</v>
      </c>
      <c r="AF36" s="296">
        <v>400.0</v>
      </c>
      <c r="AG36" s="296">
        <v>400.0</v>
      </c>
      <c r="AH36" s="296">
        <v>400.0</v>
      </c>
      <c r="AI36" s="296">
        <v>400.0</v>
      </c>
      <c r="AJ36" s="296">
        <v>400.0</v>
      </c>
      <c r="AK36" s="296">
        <v>400.0</v>
      </c>
      <c r="AL36" s="296">
        <v>400.0</v>
      </c>
      <c r="AM36" s="296">
        <v>400.0</v>
      </c>
      <c r="AN36" s="296">
        <v>400.0</v>
      </c>
      <c r="AO36" s="91"/>
      <c r="AP36" s="297">
        <v>335.0</v>
      </c>
      <c r="AQ36" s="297">
        <v>335.0</v>
      </c>
      <c r="AR36" s="297">
        <v>335.0</v>
      </c>
      <c r="AS36" s="297">
        <v>335.0</v>
      </c>
      <c r="AT36" s="297">
        <v>335.0</v>
      </c>
      <c r="AU36" s="297">
        <v>335.0</v>
      </c>
      <c r="AV36" s="297">
        <v>335.0</v>
      </c>
      <c r="AW36" s="297">
        <v>335.0</v>
      </c>
      <c r="AX36" s="297">
        <v>335.0</v>
      </c>
      <c r="AY36" s="297">
        <v>335.0</v>
      </c>
      <c r="AZ36" s="297">
        <v>335.0</v>
      </c>
      <c r="BA36" s="297">
        <v>335.0</v>
      </c>
      <c r="BB36" s="91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</row>
    <row r="37" ht="15.75" customHeight="1" outlineLevel="1">
      <c r="A37" s="126" t="s">
        <v>323</v>
      </c>
      <c r="B37" s="91"/>
      <c r="C37" s="298">
        <f t="shared" ref="C37:N37" si="43">C32*C35</f>
        <v>5694</v>
      </c>
      <c r="D37" s="298">
        <f t="shared" si="43"/>
        <v>7740</v>
      </c>
      <c r="E37" s="298">
        <f t="shared" si="43"/>
        <v>9450</v>
      </c>
      <c r="F37" s="298">
        <f t="shared" si="43"/>
        <v>12150</v>
      </c>
      <c r="G37" s="298">
        <f t="shared" si="43"/>
        <v>11340</v>
      </c>
      <c r="H37" s="298">
        <f t="shared" si="43"/>
        <v>10440</v>
      </c>
      <c r="I37" s="298">
        <f t="shared" si="43"/>
        <v>16920</v>
      </c>
      <c r="J37" s="298">
        <f t="shared" si="43"/>
        <v>15210</v>
      </c>
      <c r="K37" s="298">
        <f t="shared" si="43"/>
        <v>9360</v>
      </c>
      <c r="L37" s="298">
        <f t="shared" si="43"/>
        <v>12780</v>
      </c>
      <c r="M37" s="298">
        <f t="shared" si="43"/>
        <v>13680</v>
      </c>
      <c r="N37" s="298">
        <f t="shared" si="43"/>
        <v>13200</v>
      </c>
      <c r="O37" s="91"/>
      <c r="P37" s="219">
        <v>13200.0</v>
      </c>
      <c r="Q37" s="219">
        <v>13440.0</v>
      </c>
      <c r="R37" s="219">
        <v>13560.0</v>
      </c>
      <c r="S37" s="219">
        <v>13200.0</v>
      </c>
      <c r="T37" s="219">
        <v>9240.0</v>
      </c>
      <c r="U37" s="219">
        <v>17280.0</v>
      </c>
      <c r="V37" s="219">
        <v>19320.0</v>
      </c>
      <c r="W37" s="219">
        <v>16080.0</v>
      </c>
      <c r="X37" s="219">
        <v>12240.0</v>
      </c>
      <c r="Y37" s="219">
        <v>14520.0</v>
      </c>
      <c r="Z37" s="219">
        <v>9720.0</v>
      </c>
      <c r="AA37" s="219">
        <v>13440.0</v>
      </c>
      <c r="AB37" s="91"/>
      <c r="AC37" s="219">
        <v>10120.0</v>
      </c>
      <c r="AD37" s="219">
        <v>12760.0</v>
      </c>
      <c r="AE37" s="219">
        <v>14080.0</v>
      </c>
      <c r="AF37" s="219">
        <v>11920.0</v>
      </c>
      <c r="AG37" s="219">
        <v>13720.0</v>
      </c>
      <c r="AH37" s="219">
        <v>14560.0</v>
      </c>
      <c r="AI37" s="219">
        <v>18280.0</v>
      </c>
      <c r="AJ37" s="219">
        <v>13360.0</v>
      </c>
      <c r="AK37" s="219">
        <v>9400.0</v>
      </c>
      <c r="AL37" s="219">
        <v>11380.0</v>
      </c>
      <c r="AM37" s="219">
        <v>7690.0</v>
      </c>
      <c r="AN37" s="219">
        <v>10210.0</v>
      </c>
      <c r="AO37" s="91"/>
      <c r="AP37" s="219">
        <f t="shared" ref="AP37:BA37" si="44">AP32*AP35+AP36</f>
        <v>10481</v>
      </c>
      <c r="AQ37" s="219">
        <f t="shared" si="44"/>
        <v>10125</v>
      </c>
      <c r="AR37" s="219">
        <f t="shared" si="44"/>
        <v>10392</v>
      </c>
      <c r="AS37" s="219">
        <f t="shared" si="44"/>
        <v>11905</v>
      </c>
      <c r="AT37" s="219">
        <f t="shared" si="44"/>
        <v>11905</v>
      </c>
      <c r="AU37" s="219">
        <f t="shared" si="44"/>
        <v>8701</v>
      </c>
      <c r="AV37" s="219">
        <f t="shared" si="44"/>
        <v>12172</v>
      </c>
      <c r="AW37" s="219">
        <f t="shared" si="44"/>
        <v>11015</v>
      </c>
      <c r="AX37" s="219">
        <f t="shared" si="44"/>
        <v>8434</v>
      </c>
      <c r="AY37" s="219">
        <f t="shared" si="44"/>
        <v>9502</v>
      </c>
      <c r="AZ37" s="219">
        <f t="shared" si="44"/>
        <v>7989</v>
      </c>
      <c r="BA37" s="219">
        <f t="shared" si="44"/>
        <v>9057</v>
      </c>
      <c r="BB37" s="9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</row>
    <row r="38" ht="15.75" customHeight="1" outlineLevel="1">
      <c r="A38" s="126" t="s">
        <v>324</v>
      </c>
      <c r="B38" s="91"/>
      <c r="C38" s="219">
        <v>1894.0</v>
      </c>
      <c r="D38" s="285">
        <v>3940.0</v>
      </c>
      <c r="E38" s="285">
        <v>4520.0</v>
      </c>
      <c r="F38" s="285">
        <v>5500.0</v>
      </c>
      <c r="G38" s="285">
        <v>4640.0</v>
      </c>
      <c r="H38" s="219">
        <v>4140.0</v>
      </c>
      <c r="I38" s="219">
        <v>8620.0</v>
      </c>
      <c r="J38" s="219">
        <v>7210.0</v>
      </c>
      <c r="K38" s="219">
        <v>3960.0</v>
      </c>
      <c r="L38" s="219">
        <v>4480.0</v>
      </c>
      <c r="M38" s="219">
        <v>4645.0</v>
      </c>
      <c r="N38" s="219">
        <v>4508.0</v>
      </c>
      <c r="O38" s="91"/>
      <c r="P38" s="219">
        <v>4670.0</v>
      </c>
      <c r="Q38" s="219">
        <v>4200.0</v>
      </c>
      <c r="R38" s="219">
        <v>4880.0</v>
      </c>
      <c r="S38" s="219">
        <v>4650.0</v>
      </c>
      <c r="T38" s="219">
        <v>4770.0</v>
      </c>
      <c r="U38" s="219">
        <v>8970.0</v>
      </c>
      <c r="V38" s="219">
        <v>10090.0</v>
      </c>
      <c r="W38" s="219">
        <v>7850.0</v>
      </c>
      <c r="X38" s="219">
        <v>5720.0</v>
      </c>
      <c r="Y38" s="219">
        <v>7240.0</v>
      </c>
      <c r="Z38" s="219">
        <v>4860.0</v>
      </c>
      <c r="AA38" s="219">
        <v>5990.0</v>
      </c>
      <c r="AB38" s="91"/>
      <c r="AC38" s="219">
        <v>4620.0</v>
      </c>
      <c r="AD38" s="219">
        <v>5960.0</v>
      </c>
      <c r="AE38" s="219">
        <v>6380.0</v>
      </c>
      <c r="AF38" s="219">
        <v>5960.0</v>
      </c>
      <c r="AG38" s="219">
        <v>6860.0</v>
      </c>
      <c r="AH38" s="219">
        <v>7280.0</v>
      </c>
      <c r="AI38" s="219">
        <v>11000.0</v>
      </c>
      <c r="AJ38" s="219">
        <v>6860.0</v>
      </c>
      <c r="AK38" s="219">
        <v>4700.0</v>
      </c>
      <c r="AL38" s="219">
        <v>5690.0</v>
      </c>
      <c r="AM38" s="219">
        <v>3845.0</v>
      </c>
      <c r="AN38" s="219">
        <v>5105.0</v>
      </c>
      <c r="AO38" s="91"/>
      <c r="AP38" s="219">
        <v>4481.0</v>
      </c>
      <c r="AQ38" s="219">
        <v>4225.0</v>
      </c>
      <c r="AR38" s="219">
        <v>4225.0</v>
      </c>
      <c r="AS38" s="219">
        <f t="shared" ref="AS38:BA38" si="45">AS33*AS35+AS36/2</f>
        <v>5062.5</v>
      </c>
      <c r="AT38" s="219">
        <f t="shared" si="45"/>
        <v>5329.5</v>
      </c>
      <c r="AU38" s="219">
        <f t="shared" si="45"/>
        <v>4172.5</v>
      </c>
      <c r="AV38" s="219">
        <f t="shared" si="45"/>
        <v>5329.5</v>
      </c>
      <c r="AW38" s="219">
        <f t="shared" si="45"/>
        <v>5062.5</v>
      </c>
      <c r="AX38" s="219">
        <f t="shared" si="45"/>
        <v>3727.5</v>
      </c>
      <c r="AY38" s="219">
        <f t="shared" si="45"/>
        <v>4439.5</v>
      </c>
      <c r="AZ38" s="219">
        <f t="shared" si="45"/>
        <v>3371.5</v>
      </c>
      <c r="BA38" s="219">
        <f t="shared" si="45"/>
        <v>3727.5</v>
      </c>
      <c r="BB38" s="9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</row>
    <row r="39" ht="15.75" customHeight="1">
      <c r="A39" s="126" t="s">
        <v>158</v>
      </c>
      <c r="B39" s="91"/>
      <c r="C39" s="219">
        <v>3800.0</v>
      </c>
      <c r="D39" s="285">
        <v>3800.0</v>
      </c>
      <c r="E39" s="285">
        <v>4930.0</v>
      </c>
      <c r="F39" s="285">
        <v>6650.0</v>
      </c>
      <c r="G39" s="285">
        <v>6700.0</v>
      </c>
      <c r="H39" s="219">
        <v>6300.0</v>
      </c>
      <c r="I39" s="219">
        <v>8300.0</v>
      </c>
      <c r="J39" s="219">
        <v>8000.0</v>
      </c>
      <c r="K39" s="219">
        <v>5400.0</v>
      </c>
      <c r="L39" s="219">
        <v>8300.0</v>
      </c>
      <c r="M39" s="219">
        <v>9035.0</v>
      </c>
      <c r="N39" s="219">
        <v>8692.0</v>
      </c>
      <c r="O39" s="91"/>
      <c r="P39" s="219">
        <v>8530.0</v>
      </c>
      <c r="Q39" s="219">
        <v>9240.0</v>
      </c>
      <c r="R39" s="219">
        <v>8680.0</v>
      </c>
      <c r="S39" s="219">
        <v>8550.0</v>
      </c>
      <c r="T39" s="219">
        <v>4470.0</v>
      </c>
      <c r="U39" s="219">
        <v>8310.0</v>
      </c>
      <c r="V39" s="219">
        <v>9230.0</v>
      </c>
      <c r="W39" s="219">
        <v>8230.0</v>
      </c>
      <c r="X39" s="219">
        <v>6520.0</v>
      </c>
      <c r="Y39" s="219">
        <v>7280.0</v>
      </c>
      <c r="Z39" s="219">
        <v>4860.0</v>
      </c>
      <c r="AA39" s="219">
        <v>7450.0</v>
      </c>
      <c r="AB39" s="91"/>
      <c r="AC39" s="219">
        <v>5500.0</v>
      </c>
      <c r="AD39" s="219">
        <v>6800.0</v>
      </c>
      <c r="AE39" s="219">
        <v>7700.0</v>
      </c>
      <c r="AF39" s="219">
        <v>5960.0</v>
      </c>
      <c r="AG39" s="219">
        <v>6860.0</v>
      </c>
      <c r="AH39" s="219">
        <v>7280.0</v>
      </c>
      <c r="AI39" s="219">
        <v>7280.0</v>
      </c>
      <c r="AJ39" s="219">
        <v>6500.0</v>
      </c>
      <c r="AK39" s="219">
        <v>4700.0</v>
      </c>
      <c r="AL39" s="219">
        <v>5690.0</v>
      </c>
      <c r="AM39" s="219">
        <v>3845.0</v>
      </c>
      <c r="AN39" s="219">
        <v>5105.0</v>
      </c>
      <c r="AO39" s="91"/>
      <c r="AP39" s="219">
        <v>6000.0</v>
      </c>
      <c r="AQ39" s="219">
        <v>5900.0</v>
      </c>
      <c r="AR39" s="219">
        <v>5900.0</v>
      </c>
      <c r="AS39" s="219">
        <f t="shared" ref="AS39:BA39" si="46">AS34*AS35+AS36/2</f>
        <v>6842.5</v>
      </c>
      <c r="AT39" s="219">
        <f t="shared" si="46"/>
        <v>6575.5</v>
      </c>
      <c r="AU39" s="219">
        <f t="shared" si="46"/>
        <v>4528.5</v>
      </c>
      <c r="AV39" s="219">
        <f t="shared" si="46"/>
        <v>6842.5</v>
      </c>
      <c r="AW39" s="219">
        <f t="shared" si="46"/>
        <v>5952.5</v>
      </c>
      <c r="AX39" s="219">
        <f t="shared" si="46"/>
        <v>4706.5</v>
      </c>
      <c r="AY39" s="219">
        <f t="shared" si="46"/>
        <v>5062.5</v>
      </c>
      <c r="AZ39" s="219">
        <f t="shared" si="46"/>
        <v>4617.5</v>
      </c>
      <c r="BA39" s="219">
        <f t="shared" si="46"/>
        <v>5329.5</v>
      </c>
      <c r="BB39" s="9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</row>
    <row r="40" ht="15.75" customHeight="1">
      <c r="A40" s="126" t="s">
        <v>159</v>
      </c>
      <c r="B40" s="91"/>
      <c r="C40" s="299" t="s">
        <v>325</v>
      </c>
      <c r="D40" s="49"/>
      <c r="E40" s="49"/>
      <c r="F40" s="49"/>
      <c r="G40" s="49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 t="s">
        <v>164</v>
      </c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</row>
    <row r="41" ht="15.75" customHeight="1">
      <c r="A41" s="11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>
        <v>1186.0</v>
      </c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</row>
    <row r="42" ht="15.75" customHeight="1">
      <c r="A42" s="115" t="s">
        <v>326</v>
      </c>
      <c r="B42" s="282">
        <v>732.0</v>
      </c>
      <c r="C42" s="119">
        <v>807.0</v>
      </c>
      <c r="D42" s="119">
        <v>836.0</v>
      </c>
      <c r="E42" s="119">
        <v>873.0</v>
      </c>
      <c r="F42" s="119">
        <v>903.0</v>
      </c>
      <c r="G42" s="119">
        <v>917.0</v>
      </c>
      <c r="H42" s="119">
        <v>2.0</v>
      </c>
      <c r="I42" s="119">
        <v>15.0</v>
      </c>
      <c r="J42" s="119">
        <v>28.0</v>
      </c>
      <c r="K42" s="119">
        <v>43.0</v>
      </c>
      <c r="L42" s="119">
        <v>67.0</v>
      </c>
      <c r="M42" s="119">
        <v>102.0</v>
      </c>
      <c r="N42" s="122">
        <v>156.0</v>
      </c>
      <c r="O42" s="282"/>
      <c r="P42" s="119">
        <v>197.0</v>
      </c>
      <c r="Q42" s="121">
        <v>240.0</v>
      </c>
      <c r="R42" s="121">
        <v>274.0</v>
      </c>
      <c r="S42" s="121">
        <v>302.0</v>
      </c>
      <c r="T42" s="121">
        <v>319.0</v>
      </c>
      <c r="U42" s="121">
        <v>330.0</v>
      </c>
      <c r="V42" s="121">
        <v>343.0</v>
      </c>
      <c r="W42" s="121">
        <v>355.0</v>
      </c>
      <c r="X42" s="121">
        <v>367.0</v>
      </c>
      <c r="Y42" s="121">
        <v>388.0</v>
      </c>
      <c r="Z42" s="121">
        <v>414.0</v>
      </c>
      <c r="AA42" s="122">
        <v>455.0</v>
      </c>
      <c r="AB42" s="49"/>
      <c r="AC42" s="121">
        <v>496.0</v>
      </c>
      <c r="AD42" s="121">
        <v>526.0</v>
      </c>
      <c r="AE42" s="121">
        <v>556.0</v>
      </c>
      <c r="AF42" s="121">
        <v>573.0</v>
      </c>
      <c r="AG42" s="121">
        <v>588.0</v>
      </c>
      <c r="AH42" s="121">
        <v>599.0</v>
      </c>
      <c r="AI42" s="121">
        <v>611.0</v>
      </c>
      <c r="AJ42" s="121">
        <v>622.0</v>
      </c>
      <c r="AK42" s="121">
        <v>633.0</v>
      </c>
      <c r="AL42" s="121">
        <v>656.0</v>
      </c>
      <c r="AM42" s="121">
        <v>689.0</v>
      </c>
      <c r="AN42" s="122">
        <v>731.0</v>
      </c>
      <c r="AO42" s="49"/>
      <c r="AP42" s="121">
        <v>777.0</v>
      </c>
      <c r="AQ42" s="121">
        <v>825.0</v>
      </c>
      <c r="AR42" s="300">
        <v>859.0</v>
      </c>
      <c r="AS42" s="300">
        <v>880.0</v>
      </c>
      <c r="AT42" s="300">
        <v>899.0</v>
      </c>
      <c r="AU42" s="300">
        <v>908.0</v>
      </c>
      <c r="AV42" s="300">
        <v>920.0</v>
      </c>
      <c r="AW42" s="300">
        <v>930.0</v>
      </c>
      <c r="AX42" s="300">
        <v>944.0</v>
      </c>
      <c r="AY42" s="300">
        <v>975.0</v>
      </c>
      <c r="AZ42" s="300">
        <v>1019.0</v>
      </c>
      <c r="BA42" s="300">
        <v>1070.0</v>
      </c>
      <c r="BB42" s="282"/>
      <c r="BC42" s="301"/>
      <c r="BD42" s="301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</row>
    <row r="43" ht="15.75" customHeight="1">
      <c r="A43" s="303" t="s">
        <v>327</v>
      </c>
      <c r="B43" s="304">
        <v>1376.0</v>
      </c>
      <c r="C43" s="305">
        <v>1405.0</v>
      </c>
      <c r="D43" s="133">
        <v>1430.0</v>
      </c>
      <c r="E43" s="133">
        <v>1462.0</v>
      </c>
      <c r="F43" s="133">
        <v>1488.0</v>
      </c>
      <c r="G43" s="133">
        <v>1503.0</v>
      </c>
      <c r="H43" s="133">
        <v>1515.0</v>
      </c>
      <c r="I43" s="133">
        <v>1530.0</v>
      </c>
      <c r="J43" s="133">
        <v>1546.0</v>
      </c>
      <c r="K43" s="133">
        <v>1562.0</v>
      </c>
      <c r="L43" s="133">
        <v>1587.0</v>
      </c>
      <c r="M43" s="133">
        <v>1614.0</v>
      </c>
      <c r="N43" s="133">
        <v>1645.0</v>
      </c>
      <c r="O43" s="282"/>
      <c r="P43" s="133">
        <v>1674.0</v>
      </c>
      <c r="Q43" s="133">
        <v>1701.0</v>
      </c>
      <c r="R43" s="133">
        <v>1729.0</v>
      </c>
      <c r="S43" s="133">
        <v>1752.0</v>
      </c>
      <c r="T43" s="133">
        <v>1768.0</v>
      </c>
      <c r="U43" s="133">
        <v>1768.0</v>
      </c>
      <c r="V43" s="133">
        <v>1768.0</v>
      </c>
      <c r="W43" s="133">
        <v>1768.0</v>
      </c>
      <c r="X43" s="133">
        <v>1770.0</v>
      </c>
      <c r="Y43" s="133">
        <v>1795.0</v>
      </c>
      <c r="Z43" s="133">
        <v>1820.0</v>
      </c>
      <c r="AA43" s="133">
        <v>1850.0</v>
      </c>
      <c r="AB43" s="49"/>
      <c r="AC43" s="133">
        <v>1879.0</v>
      </c>
      <c r="AD43" s="133">
        <v>1906.0</v>
      </c>
      <c r="AE43" s="133">
        <v>1933.0</v>
      </c>
      <c r="AF43" s="133">
        <v>1961.0</v>
      </c>
      <c r="AG43" s="133">
        <v>1976.0</v>
      </c>
      <c r="AH43" s="133">
        <v>1976.0</v>
      </c>
      <c r="AI43" s="133">
        <v>1976.0</v>
      </c>
      <c r="AJ43" s="133">
        <v>1976.0</v>
      </c>
      <c r="AK43" s="133">
        <v>1978.0</v>
      </c>
      <c r="AL43" s="133">
        <v>2000.0</v>
      </c>
      <c r="AM43" s="133">
        <v>2022.0</v>
      </c>
      <c r="AN43" s="133">
        <v>2049.0</v>
      </c>
      <c r="AO43" s="49"/>
      <c r="AP43" s="133">
        <v>2076.0</v>
      </c>
      <c r="AQ43" s="133">
        <v>2103.0</v>
      </c>
      <c r="AR43" s="133">
        <v>2131.0</v>
      </c>
      <c r="AS43" s="133">
        <v>2145.0</v>
      </c>
      <c r="AT43" s="133">
        <v>2164.0</v>
      </c>
      <c r="AU43" s="133">
        <v>2165.0</v>
      </c>
      <c r="AV43" s="133">
        <v>2165.0</v>
      </c>
      <c r="AW43" s="133">
        <v>2165.0</v>
      </c>
      <c r="AX43" s="133">
        <v>2175.0</v>
      </c>
      <c r="AY43" s="133">
        <v>2204.0</v>
      </c>
      <c r="AZ43" s="133">
        <v>2232.0</v>
      </c>
      <c r="BA43" s="133">
        <v>2263.0</v>
      </c>
      <c r="BB43" s="282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</row>
    <row r="44" ht="15.75" customHeight="1" outlineLevel="1">
      <c r="A44" s="306" t="s">
        <v>328</v>
      </c>
      <c r="B44" s="304">
        <v>315.0</v>
      </c>
      <c r="C44" s="307">
        <v>324.0</v>
      </c>
      <c r="D44" s="138">
        <v>332.0</v>
      </c>
      <c r="E44" s="138">
        <v>343.0</v>
      </c>
      <c r="F44" s="138">
        <v>353.0</v>
      </c>
      <c r="G44" s="138">
        <v>360.0</v>
      </c>
      <c r="H44" s="138">
        <v>369.0</v>
      </c>
      <c r="I44" s="138">
        <v>378.0</v>
      </c>
      <c r="J44" s="138">
        <v>387.0</v>
      </c>
      <c r="K44" s="138">
        <v>395.0</v>
      </c>
      <c r="L44" s="138">
        <v>405.0</v>
      </c>
      <c r="M44" s="138">
        <v>415.0</v>
      </c>
      <c r="N44" s="138">
        <v>436.0</v>
      </c>
      <c r="O44" s="282"/>
      <c r="P44" s="138">
        <v>444.0</v>
      </c>
      <c r="Q44" s="138">
        <v>452.0</v>
      </c>
      <c r="R44" s="138">
        <v>461.0</v>
      </c>
      <c r="S44" s="138">
        <v>469.0</v>
      </c>
      <c r="T44" s="138">
        <v>478.0</v>
      </c>
      <c r="U44" s="138">
        <v>478.0</v>
      </c>
      <c r="V44" s="138">
        <v>478.0</v>
      </c>
      <c r="W44" s="138">
        <v>478.0</v>
      </c>
      <c r="X44" s="138">
        <v>479.0</v>
      </c>
      <c r="Y44" s="138">
        <v>488.0</v>
      </c>
      <c r="Z44" s="138">
        <v>496.0</v>
      </c>
      <c r="AA44" s="138">
        <v>504.0</v>
      </c>
      <c r="AB44" s="49"/>
      <c r="AC44" s="138">
        <v>512.0</v>
      </c>
      <c r="AD44" s="138">
        <v>520.0</v>
      </c>
      <c r="AE44" s="138">
        <v>528.0</v>
      </c>
      <c r="AF44" s="138">
        <v>537.0</v>
      </c>
      <c r="AG44" s="138">
        <v>545.0</v>
      </c>
      <c r="AH44" s="138">
        <v>545.0</v>
      </c>
      <c r="AI44" s="138">
        <v>545.0</v>
      </c>
      <c r="AJ44" s="138">
        <v>545.0</v>
      </c>
      <c r="AK44" s="138">
        <v>546.0</v>
      </c>
      <c r="AL44" s="138">
        <v>555.0</v>
      </c>
      <c r="AM44" s="138">
        <v>563.0</v>
      </c>
      <c r="AN44" s="138">
        <v>573.0</v>
      </c>
      <c r="AO44" s="49"/>
      <c r="AP44" s="138">
        <v>588.0</v>
      </c>
      <c r="AQ44" s="138">
        <v>602.0</v>
      </c>
      <c r="AR44" s="138">
        <v>623.0</v>
      </c>
      <c r="AS44" s="138">
        <v>636.0</v>
      </c>
      <c r="AT44" s="138">
        <v>652.0</v>
      </c>
      <c r="AU44" s="138">
        <v>654.0</v>
      </c>
      <c r="AV44" s="138">
        <v>654.0</v>
      </c>
      <c r="AW44" s="138">
        <v>654.0</v>
      </c>
      <c r="AX44" s="138">
        <v>660.0</v>
      </c>
      <c r="AY44" s="138">
        <v>680.0</v>
      </c>
      <c r="AZ44" s="138">
        <v>700.0</v>
      </c>
      <c r="BA44" s="138">
        <v>719.0</v>
      </c>
      <c r="BB44" s="282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</row>
    <row r="45" ht="15.75" customHeight="1" outlineLevel="1">
      <c r="A45" s="308" t="s">
        <v>329</v>
      </c>
      <c r="B45" s="282">
        <v>528.0</v>
      </c>
      <c r="C45" s="309">
        <v>538.0</v>
      </c>
      <c r="D45" s="253">
        <v>546.0</v>
      </c>
      <c r="E45" s="253">
        <v>556.0</v>
      </c>
      <c r="F45" s="253">
        <v>566.0</v>
      </c>
      <c r="G45" s="253">
        <v>574.0</v>
      </c>
      <c r="H45" s="253">
        <v>582.0</v>
      </c>
      <c r="I45" s="253">
        <v>590.0</v>
      </c>
      <c r="J45" s="253">
        <v>598.0</v>
      </c>
      <c r="K45" s="253">
        <v>605.0</v>
      </c>
      <c r="L45" s="253">
        <v>614.0</v>
      </c>
      <c r="M45" s="253">
        <v>624.0</v>
      </c>
      <c r="N45" s="253">
        <v>637.0</v>
      </c>
      <c r="O45" s="282"/>
      <c r="P45" s="253">
        <v>649.0</v>
      </c>
      <c r="Q45" s="253">
        <v>661.0</v>
      </c>
      <c r="R45" s="253">
        <v>671.0</v>
      </c>
      <c r="S45" s="253">
        <v>682.0</v>
      </c>
      <c r="T45" s="253">
        <v>692.0</v>
      </c>
      <c r="U45" s="253">
        <v>692.0</v>
      </c>
      <c r="V45" s="253">
        <v>692.0</v>
      </c>
      <c r="W45" s="253">
        <v>692.0</v>
      </c>
      <c r="X45" s="253">
        <v>692.0</v>
      </c>
      <c r="Y45" s="253">
        <v>692.0</v>
      </c>
      <c r="Z45" s="253">
        <v>696.0</v>
      </c>
      <c r="AA45" s="253">
        <v>706.0</v>
      </c>
      <c r="AB45" s="49"/>
      <c r="AC45" s="253">
        <v>716.0</v>
      </c>
      <c r="AD45" s="253">
        <v>724.0</v>
      </c>
      <c r="AE45" s="253">
        <v>733.0</v>
      </c>
      <c r="AF45" s="253">
        <v>741.0</v>
      </c>
      <c r="AG45" s="253">
        <v>749.0</v>
      </c>
      <c r="AH45" s="253">
        <v>749.0</v>
      </c>
      <c r="AI45" s="253">
        <v>749.0</v>
      </c>
      <c r="AJ45" s="253">
        <v>749.0</v>
      </c>
      <c r="AK45" s="253">
        <v>749.0</v>
      </c>
      <c r="AL45" s="253">
        <v>757.0</v>
      </c>
      <c r="AM45" s="253">
        <v>766.0</v>
      </c>
      <c r="AN45" s="253">
        <v>776.0</v>
      </c>
      <c r="AO45" s="49"/>
      <c r="AP45" s="253">
        <v>786.0</v>
      </c>
      <c r="AQ45" s="253">
        <v>797.0</v>
      </c>
      <c r="AR45" s="253">
        <v>808.0</v>
      </c>
      <c r="AS45" s="253">
        <v>814.0</v>
      </c>
      <c r="AT45" s="253">
        <v>821.0</v>
      </c>
      <c r="AU45" s="253">
        <v>822.0</v>
      </c>
      <c r="AV45" s="253">
        <v>822.0</v>
      </c>
      <c r="AW45" s="253">
        <v>822.0</v>
      </c>
      <c r="AX45" s="253">
        <v>825.0</v>
      </c>
      <c r="AY45" s="253">
        <v>837.0</v>
      </c>
      <c r="AZ45" s="253">
        <v>852.0</v>
      </c>
      <c r="BA45" s="253">
        <v>867.0</v>
      </c>
      <c r="BB45" s="282"/>
      <c r="BC45" s="253"/>
      <c r="BD45" s="253"/>
      <c r="BE45" s="253"/>
      <c r="BF45" s="253"/>
      <c r="BG45" s="253"/>
      <c r="BH45" s="253"/>
      <c r="BI45" s="253"/>
      <c r="BJ45" s="253"/>
      <c r="BK45" s="253"/>
      <c r="BL45" s="253"/>
      <c r="BM45" s="253"/>
      <c r="BN45" s="253"/>
    </row>
    <row r="46" ht="15.75" customHeight="1" outlineLevel="1">
      <c r="A46" s="310" t="s">
        <v>330</v>
      </c>
      <c r="B46" s="282">
        <v>715.0</v>
      </c>
      <c r="C46" s="311">
        <v>724.0</v>
      </c>
      <c r="D46" s="257">
        <v>734.0</v>
      </c>
      <c r="E46" s="257">
        <v>745.0</v>
      </c>
      <c r="F46" s="257">
        <v>757.0</v>
      </c>
      <c r="G46" s="257">
        <v>766.0</v>
      </c>
      <c r="H46" s="257">
        <v>776.0</v>
      </c>
      <c r="I46" s="257">
        <v>787.0</v>
      </c>
      <c r="J46" s="257">
        <v>798.0</v>
      </c>
      <c r="K46" s="257">
        <v>808.0</v>
      </c>
      <c r="L46" s="257">
        <v>819.0</v>
      </c>
      <c r="M46" s="257">
        <v>830.0</v>
      </c>
      <c r="N46" s="257">
        <v>841.0</v>
      </c>
      <c r="O46" s="282"/>
      <c r="P46" s="257">
        <v>853.0</v>
      </c>
      <c r="Q46" s="257">
        <v>864.0</v>
      </c>
      <c r="R46" s="257">
        <v>876.0</v>
      </c>
      <c r="S46" s="257">
        <v>887.0</v>
      </c>
      <c r="T46" s="257">
        <v>898.0</v>
      </c>
      <c r="U46" s="257">
        <v>907.0</v>
      </c>
      <c r="V46" s="257">
        <v>919.0</v>
      </c>
      <c r="W46" s="257">
        <v>930.0</v>
      </c>
      <c r="X46" s="257">
        <v>939.0</v>
      </c>
      <c r="Y46" s="257">
        <v>951.0</v>
      </c>
      <c r="Z46" s="257">
        <v>959.0</v>
      </c>
      <c r="AA46" s="257">
        <v>970.0</v>
      </c>
      <c r="AB46" s="49"/>
      <c r="AC46" s="257">
        <v>980.0</v>
      </c>
      <c r="AD46" s="257">
        <v>990.0</v>
      </c>
      <c r="AE46" s="257">
        <v>1001.0</v>
      </c>
      <c r="AF46" s="257">
        <v>1011.0</v>
      </c>
      <c r="AG46" s="257">
        <v>1021.0</v>
      </c>
      <c r="AH46" s="257">
        <v>1030.0</v>
      </c>
      <c r="AI46" s="257">
        <v>1041.0</v>
      </c>
      <c r="AJ46" s="257">
        <v>1050.0</v>
      </c>
      <c r="AK46" s="257">
        <v>1059.0</v>
      </c>
      <c r="AL46" s="257">
        <v>1069.0</v>
      </c>
      <c r="AM46" s="257">
        <v>1077.0</v>
      </c>
      <c r="AN46" s="257">
        <v>1086.0</v>
      </c>
      <c r="AO46" s="49"/>
      <c r="AP46" s="257">
        <v>1094.0</v>
      </c>
      <c r="AQ46" s="257">
        <v>1101.0</v>
      </c>
      <c r="AR46" s="257">
        <v>1110.0</v>
      </c>
      <c r="AS46" s="257">
        <v>1120.0</v>
      </c>
      <c r="AT46" s="257">
        <v>1131.0</v>
      </c>
      <c r="AU46" s="257">
        <v>1139.0</v>
      </c>
      <c r="AV46" s="257">
        <v>1149.0</v>
      </c>
      <c r="AW46" s="257">
        <v>1159.0</v>
      </c>
      <c r="AX46" s="257">
        <v>1168.0</v>
      </c>
      <c r="AY46" s="257">
        <v>1177.0</v>
      </c>
      <c r="AZ46" s="257">
        <v>1186.0</v>
      </c>
      <c r="BA46" s="257">
        <v>1196.0</v>
      </c>
      <c r="BB46" s="282"/>
      <c r="BC46" s="257"/>
      <c r="BD46" s="257"/>
      <c r="BE46" s="257"/>
      <c r="BF46" s="257"/>
      <c r="BG46" s="257"/>
      <c r="BH46" s="257"/>
      <c r="BI46" s="257"/>
      <c r="BJ46" s="257"/>
      <c r="BK46" s="257"/>
      <c r="BL46" s="257"/>
      <c r="BM46" s="257"/>
      <c r="BN46" s="257"/>
    </row>
    <row r="47" ht="15.75" customHeight="1">
      <c r="A47" s="312" t="s">
        <v>156</v>
      </c>
      <c r="B47" s="282"/>
      <c r="C47" s="288">
        <f t="shared" ref="C47:G47" si="47">C42-B42</f>
        <v>75</v>
      </c>
      <c r="D47" s="288">
        <f t="shared" si="47"/>
        <v>29</v>
      </c>
      <c r="E47" s="288">
        <f t="shared" si="47"/>
        <v>37</v>
      </c>
      <c r="F47" s="288">
        <f t="shared" si="47"/>
        <v>30</v>
      </c>
      <c r="G47" s="288">
        <f t="shared" si="47"/>
        <v>14</v>
      </c>
      <c r="H47" s="288">
        <v>2.0</v>
      </c>
      <c r="I47" s="288">
        <f t="shared" ref="I47:N47" si="48">I42-H42</f>
        <v>13</v>
      </c>
      <c r="J47" s="288">
        <f t="shared" si="48"/>
        <v>13</v>
      </c>
      <c r="K47" s="288">
        <f t="shared" si="48"/>
        <v>15</v>
      </c>
      <c r="L47" s="288">
        <f t="shared" si="48"/>
        <v>24</v>
      </c>
      <c r="M47" s="288">
        <f t="shared" si="48"/>
        <v>35</v>
      </c>
      <c r="N47" s="288">
        <f t="shared" si="48"/>
        <v>54</v>
      </c>
      <c r="O47" s="282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49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49"/>
      <c r="AP47" s="288"/>
      <c r="AQ47" s="288"/>
      <c r="AR47" s="288"/>
      <c r="AS47" s="288"/>
      <c r="AT47" s="288"/>
      <c r="AU47" s="288"/>
      <c r="AV47" s="288"/>
      <c r="AW47" s="288"/>
      <c r="AX47" s="288"/>
      <c r="AY47" s="288"/>
      <c r="AZ47" s="288"/>
      <c r="BA47" s="288"/>
      <c r="BB47" s="282"/>
      <c r="BC47" s="288"/>
      <c r="BD47" s="288"/>
      <c r="BE47" s="288"/>
      <c r="BF47" s="288"/>
      <c r="BG47" s="288"/>
      <c r="BH47" s="288"/>
      <c r="BI47" s="288"/>
      <c r="BJ47" s="288"/>
      <c r="BK47" s="288"/>
      <c r="BL47" s="288"/>
      <c r="BM47" s="288"/>
      <c r="BN47" s="288"/>
    </row>
    <row r="48" ht="15.75" customHeight="1" outlineLevel="1">
      <c r="A48" s="313" t="s">
        <v>331</v>
      </c>
      <c r="B48" s="282"/>
      <c r="C48" s="133">
        <f t="shared" ref="C48:N48" si="49">C43-B43</f>
        <v>29</v>
      </c>
      <c r="D48" s="133">
        <f t="shared" si="49"/>
        <v>25</v>
      </c>
      <c r="E48" s="133">
        <f t="shared" si="49"/>
        <v>32</v>
      </c>
      <c r="F48" s="133">
        <f t="shared" si="49"/>
        <v>26</v>
      </c>
      <c r="G48" s="133">
        <f t="shared" si="49"/>
        <v>15</v>
      </c>
      <c r="H48" s="133">
        <f t="shared" si="49"/>
        <v>12</v>
      </c>
      <c r="I48" s="133">
        <f t="shared" si="49"/>
        <v>15</v>
      </c>
      <c r="J48" s="133">
        <f t="shared" si="49"/>
        <v>16</v>
      </c>
      <c r="K48" s="133">
        <f t="shared" si="49"/>
        <v>16</v>
      </c>
      <c r="L48" s="133">
        <f t="shared" si="49"/>
        <v>25</v>
      </c>
      <c r="M48" s="133">
        <f t="shared" si="49"/>
        <v>27</v>
      </c>
      <c r="N48" s="133">
        <f t="shared" si="49"/>
        <v>31</v>
      </c>
      <c r="O48" s="130"/>
      <c r="P48" s="133">
        <f t="shared" ref="P48:P51" si="54">P43-N43</f>
        <v>29</v>
      </c>
      <c r="Q48" s="133">
        <f t="shared" ref="Q48:AA48" si="50">Q43-P43</f>
        <v>27</v>
      </c>
      <c r="R48" s="133">
        <f t="shared" si="50"/>
        <v>28</v>
      </c>
      <c r="S48" s="133">
        <f t="shared" si="50"/>
        <v>23</v>
      </c>
      <c r="T48" s="133">
        <f t="shared" si="50"/>
        <v>16</v>
      </c>
      <c r="U48" s="133">
        <f t="shared" si="50"/>
        <v>0</v>
      </c>
      <c r="V48" s="133">
        <f t="shared" si="50"/>
        <v>0</v>
      </c>
      <c r="W48" s="133">
        <f t="shared" si="50"/>
        <v>0</v>
      </c>
      <c r="X48" s="133">
        <f t="shared" si="50"/>
        <v>2</v>
      </c>
      <c r="Y48" s="133">
        <f t="shared" si="50"/>
        <v>25</v>
      </c>
      <c r="Z48" s="133">
        <f t="shared" si="50"/>
        <v>25</v>
      </c>
      <c r="AA48" s="133">
        <f t="shared" si="50"/>
        <v>30</v>
      </c>
      <c r="AB48" s="130"/>
      <c r="AC48" s="133">
        <f t="shared" ref="AC48:AC51" si="56">AC43-AA43</f>
        <v>29</v>
      </c>
      <c r="AD48" s="133">
        <f t="shared" ref="AD48:AN48" si="51">AD43-AC43</f>
        <v>27</v>
      </c>
      <c r="AE48" s="133">
        <f t="shared" si="51"/>
        <v>27</v>
      </c>
      <c r="AF48" s="133">
        <f t="shared" si="51"/>
        <v>28</v>
      </c>
      <c r="AG48" s="133">
        <f t="shared" si="51"/>
        <v>15</v>
      </c>
      <c r="AH48" s="133">
        <f t="shared" si="51"/>
        <v>0</v>
      </c>
      <c r="AI48" s="133">
        <f t="shared" si="51"/>
        <v>0</v>
      </c>
      <c r="AJ48" s="133">
        <f t="shared" si="51"/>
        <v>0</v>
      </c>
      <c r="AK48" s="133">
        <f t="shared" si="51"/>
        <v>2</v>
      </c>
      <c r="AL48" s="133">
        <f t="shared" si="51"/>
        <v>22</v>
      </c>
      <c r="AM48" s="133">
        <f t="shared" si="51"/>
        <v>22</v>
      </c>
      <c r="AN48" s="133">
        <f t="shared" si="51"/>
        <v>27</v>
      </c>
      <c r="AO48" s="130"/>
      <c r="AP48" s="133">
        <f t="shared" ref="AP48:AP51" si="58">AP43-AN43</f>
        <v>27</v>
      </c>
      <c r="AQ48" s="133">
        <f t="shared" ref="AQ48:BA48" si="52">AQ43-AP43</f>
        <v>27</v>
      </c>
      <c r="AR48" s="133">
        <f t="shared" si="52"/>
        <v>28</v>
      </c>
      <c r="AS48" s="133">
        <f t="shared" si="52"/>
        <v>14</v>
      </c>
      <c r="AT48" s="133">
        <f t="shared" si="52"/>
        <v>19</v>
      </c>
      <c r="AU48" s="133">
        <f t="shared" si="52"/>
        <v>1</v>
      </c>
      <c r="AV48" s="133">
        <f t="shared" si="52"/>
        <v>0</v>
      </c>
      <c r="AW48" s="133">
        <f t="shared" si="52"/>
        <v>0</v>
      </c>
      <c r="AX48" s="133">
        <f t="shared" si="52"/>
        <v>10</v>
      </c>
      <c r="AY48" s="133">
        <f t="shared" si="52"/>
        <v>29</v>
      </c>
      <c r="AZ48" s="133">
        <f t="shared" si="52"/>
        <v>28</v>
      </c>
      <c r="BA48" s="133">
        <f t="shared" si="52"/>
        <v>31</v>
      </c>
      <c r="BB48" s="282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</row>
    <row r="49" ht="15.75" customHeight="1" outlineLevel="1">
      <c r="A49" s="306" t="s">
        <v>332</v>
      </c>
      <c r="B49" s="282"/>
      <c r="C49" s="138">
        <f t="shared" ref="C49:N49" si="53">C44-B44</f>
        <v>9</v>
      </c>
      <c r="D49" s="138">
        <f t="shared" si="53"/>
        <v>8</v>
      </c>
      <c r="E49" s="138">
        <f t="shared" si="53"/>
        <v>11</v>
      </c>
      <c r="F49" s="138">
        <f t="shared" si="53"/>
        <v>10</v>
      </c>
      <c r="G49" s="138">
        <f t="shared" si="53"/>
        <v>7</v>
      </c>
      <c r="H49" s="138">
        <f t="shared" si="53"/>
        <v>9</v>
      </c>
      <c r="I49" s="138">
        <f t="shared" si="53"/>
        <v>9</v>
      </c>
      <c r="J49" s="138">
        <f t="shared" si="53"/>
        <v>9</v>
      </c>
      <c r="K49" s="138">
        <f t="shared" si="53"/>
        <v>8</v>
      </c>
      <c r="L49" s="138">
        <f t="shared" si="53"/>
        <v>10</v>
      </c>
      <c r="M49" s="138">
        <f t="shared" si="53"/>
        <v>10</v>
      </c>
      <c r="N49" s="138">
        <f t="shared" si="53"/>
        <v>21</v>
      </c>
      <c r="O49" s="130"/>
      <c r="P49" s="138">
        <f t="shared" si="54"/>
        <v>8</v>
      </c>
      <c r="Q49" s="138">
        <f t="shared" ref="Q49:AA49" si="55">Q44-P44</f>
        <v>8</v>
      </c>
      <c r="R49" s="138">
        <f t="shared" si="55"/>
        <v>9</v>
      </c>
      <c r="S49" s="138">
        <f t="shared" si="55"/>
        <v>8</v>
      </c>
      <c r="T49" s="138">
        <f t="shared" si="55"/>
        <v>9</v>
      </c>
      <c r="U49" s="138">
        <f t="shared" si="55"/>
        <v>0</v>
      </c>
      <c r="V49" s="138">
        <f t="shared" si="55"/>
        <v>0</v>
      </c>
      <c r="W49" s="138">
        <f t="shared" si="55"/>
        <v>0</v>
      </c>
      <c r="X49" s="138">
        <f t="shared" si="55"/>
        <v>1</v>
      </c>
      <c r="Y49" s="138">
        <f t="shared" si="55"/>
        <v>9</v>
      </c>
      <c r="Z49" s="138">
        <f t="shared" si="55"/>
        <v>8</v>
      </c>
      <c r="AA49" s="138">
        <f t="shared" si="55"/>
        <v>8</v>
      </c>
      <c r="AB49" s="130"/>
      <c r="AC49" s="138">
        <f t="shared" si="56"/>
        <v>8</v>
      </c>
      <c r="AD49" s="138">
        <f t="shared" ref="AD49:AN49" si="57">AD44-AC44</f>
        <v>8</v>
      </c>
      <c r="AE49" s="138">
        <f t="shared" si="57"/>
        <v>8</v>
      </c>
      <c r="AF49" s="138">
        <f t="shared" si="57"/>
        <v>9</v>
      </c>
      <c r="AG49" s="138">
        <f t="shared" si="57"/>
        <v>8</v>
      </c>
      <c r="AH49" s="138">
        <f t="shared" si="57"/>
        <v>0</v>
      </c>
      <c r="AI49" s="138">
        <f t="shared" si="57"/>
        <v>0</v>
      </c>
      <c r="AJ49" s="138">
        <f t="shared" si="57"/>
        <v>0</v>
      </c>
      <c r="AK49" s="138">
        <f t="shared" si="57"/>
        <v>1</v>
      </c>
      <c r="AL49" s="138">
        <f t="shared" si="57"/>
        <v>9</v>
      </c>
      <c r="AM49" s="138">
        <f t="shared" si="57"/>
        <v>8</v>
      </c>
      <c r="AN49" s="138">
        <f t="shared" si="57"/>
        <v>10</v>
      </c>
      <c r="AO49" s="130"/>
      <c r="AP49" s="138">
        <f t="shared" si="58"/>
        <v>15</v>
      </c>
      <c r="AQ49" s="138">
        <f t="shared" ref="AQ49:BA49" si="59">AQ44-AP44</f>
        <v>14</v>
      </c>
      <c r="AR49" s="138">
        <f t="shared" si="59"/>
        <v>21</v>
      </c>
      <c r="AS49" s="138">
        <f t="shared" si="59"/>
        <v>13</v>
      </c>
      <c r="AT49" s="138">
        <f t="shared" si="59"/>
        <v>16</v>
      </c>
      <c r="AU49" s="138">
        <f t="shared" si="59"/>
        <v>2</v>
      </c>
      <c r="AV49" s="138">
        <f t="shared" si="59"/>
        <v>0</v>
      </c>
      <c r="AW49" s="138">
        <f t="shared" si="59"/>
        <v>0</v>
      </c>
      <c r="AX49" s="138">
        <f t="shared" si="59"/>
        <v>6</v>
      </c>
      <c r="AY49" s="138">
        <f t="shared" si="59"/>
        <v>20</v>
      </c>
      <c r="AZ49" s="138">
        <f t="shared" si="59"/>
        <v>20</v>
      </c>
      <c r="BA49" s="138">
        <f t="shared" si="59"/>
        <v>19</v>
      </c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</row>
    <row r="50" ht="15.75" customHeight="1" outlineLevel="1">
      <c r="A50" s="308" t="s">
        <v>333</v>
      </c>
      <c r="B50" s="282"/>
      <c r="C50" s="253">
        <f t="shared" ref="C50:N50" si="60">C45-B45</f>
        <v>10</v>
      </c>
      <c r="D50" s="253">
        <f t="shared" si="60"/>
        <v>8</v>
      </c>
      <c r="E50" s="253">
        <f t="shared" si="60"/>
        <v>10</v>
      </c>
      <c r="F50" s="253">
        <f t="shared" si="60"/>
        <v>10</v>
      </c>
      <c r="G50" s="253">
        <f t="shared" si="60"/>
        <v>8</v>
      </c>
      <c r="H50" s="253">
        <f t="shared" si="60"/>
        <v>8</v>
      </c>
      <c r="I50" s="253">
        <f t="shared" si="60"/>
        <v>8</v>
      </c>
      <c r="J50" s="253">
        <f t="shared" si="60"/>
        <v>8</v>
      </c>
      <c r="K50" s="253">
        <f t="shared" si="60"/>
        <v>7</v>
      </c>
      <c r="L50" s="253">
        <f t="shared" si="60"/>
        <v>9</v>
      </c>
      <c r="M50" s="253">
        <f t="shared" si="60"/>
        <v>10</v>
      </c>
      <c r="N50" s="253">
        <f t="shared" si="60"/>
        <v>13</v>
      </c>
      <c r="O50" s="130"/>
      <c r="P50" s="253">
        <f t="shared" si="54"/>
        <v>12</v>
      </c>
      <c r="Q50" s="253">
        <f t="shared" ref="Q50:AA50" si="61">Q45-P45</f>
        <v>12</v>
      </c>
      <c r="R50" s="253">
        <f t="shared" si="61"/>
        <v>10</v>
      </c>
      <c r="S50" s="253">
        <f t="shared" si="61"/>
        <v>11</v>
      </c>
      <c r="T50" s="253">
        <f t="shared" si="61"/>
        <v>10</v>
      </c>
      <c r="U50" s="253">
        <f t="shared" si="61"/>
        <v>0</v>
      </c>
      <c r="V50" s="253">
        <f t="shared" si="61"/>
        <v>0</v>
      </c>
      <c r="W50" s="253">
        <f t="shared" si="61"/>
        <v>0</v>
      </c>
      <c r="X50" s="253">
        <f t="shared" si="61"/>
        <v>0</v>
      </c>
      <c r="Y50" s="253">
        <f t="shared" si="61"/>
        <v>0</v>
      </c>
      <c r="Z50" s="253">
        <f t="shared" si="61"/>
        <v>4</v>
      </c>
      <c r="AA50" s="253">
        <f t="shared" si="61"/>
        <v>10</v>
      </c>
      <c r="AB50" s="130"/>
      <c r="AC50" s="253">
        <f t="shared" si="56"/>
        <v>10</v>
      </c>
      <c r="AD50" s="253">
        <f t="shared" ref="AD50:AN50" si="62">AD45-AC45</f>
        <v>8</v>
      </c>
      <c r="AE50" s="253">
        <f t="shared" si="62"/>
        <v>9</v>
      </c>
      <c r="AF50" s="253">
        <f t="shared" si="62"/>
        <v>8</v>
      </c>
      <c r="AG50" s="253">
        <f t="shared" si="62"/>
        <v>8</v>
      </c>
      <c r="AH50" s="253">
        <f t="shared" si="62"/>
        <v>0</v>
      </c>
      <c r="AI50" s="253">
        <f t="shared" si="62"/>
        <v>0</v>
      </c>
      <c r="AJ50" s="253">
        <f t="shared" si="62"/>
        <v>0</v>
      </c>
      <c r="AK50" s="253">
        <f t="shared" si="62"/>
        <v>0</v>
      </c>
      <c r="AL50" s="253">
        <f t="shared" si="62"/>
        <v>8</v>
      </c>
      <c r="AM50" s="253">
        <f t="shared" si="62"/>
        <v>9</v>
      </c>
      <c r="AN50" s="253">
        <f t="shared" si="62"/>
        <v>10</v>
      </c>
      <c r="AO50" s="130"/>
      <c r="AP50" s="253">
        <f t="shared" si="58"/>
        <v>10</v>
      </c>
      <c r="AQ50" s="253">
        <f t="shared" ref="AQ50:BA50" si="63">AQ45-AP45</f>
        <v>11</v>
      </c>
      <c r="AR50" s="253">
        <f t="shared" si="63"/>
        <v>11</v>
      </c>
      <c r="AS50" s="253">
        <f t="shared" si="63"/>
        <v>6</v>
      </c>
      <c r="AT50" s="253">
        <f t="shared" si="63"/>
        <v>7</v>
      </c>
      <c r="AU50" s="253">
        <f t="shared" si="63"/>
        <v>1</v>
      </c>
      <c r="AV50" s="253">
        <f t="shared" si="63"/>
        <v>0</v>
      </c>
      <c r="AW50" s="253">
        <f t="shared" si="63"/>
        <v>0</v>
      </c>
      <c r="AX50" s="253">
        <f t="shared" si="63"/>
        <v>3</v>
      </c>
      <c r="AY50" s="253">
        <f t="shared" si="63"/>
        <v>12</v>
      </c>
      <c r="AZ50" s="253">
        <f t="shared" si="63"/>
        <v>15</v>
      </c>
      <c r="BA50" s="253">
        <f t="shared" si="63"/>
        <v>15</v>
      </c>
      <c r="BB50" s="253"/>
      <c r="BC50" s="253"/>
      <c r="BD50" s="253"/>
      <c r="BE50" s="253"/>
      <c r="BF50" s="253"/>
      <c r="BG50" s="253"/>
      <c r="BH50" s="253"/>
      <c r="BI50" s="253"/>
      <c r="BJ50" s="253"/>
      <c r="BK50" s="253"/>
      <c r="BL50" s="253"/>
      <c r="BM50" s="253"/>
      <c r="BN50" s="253"/>
    </row>
    <row r="51" ht="15.75" customHeight="1" outlineLevel="1">
      <c r="A51" s="310" t="s">
        <v>334</v>
      </c>
      <c r="B51" s="282"/>
      <c r="C51" s="257">
        <f t="shared" ref="C51:N51" si="64">C46-B46</f>
        <v>9</v>
      </c>
      <c r="D51" s="257">
        <f t="shared" si="64"/>
        <v>10</v>
      </c>
      <c r="E51" s="257">
        <f t="shared" si="64"/>
        <v>11</v>
      </c>
      <c r="F51" s="257">
        <f t="shared" si="64"/>
        <v>12</v>
      </c>
      <c r="G51" s="257">
        <f t="shared" si="64"/>
        <v>9</v>
      </c>
      <c r="H51" s="257">
        <f t="shared" si="64"/>
        <v>10</v>
      </c>
      <c r="I51" s="257">
        <f t="shared" si="64"/>
        <v>11</v>
      </c>
      <c r="J51" s="257">
        <f t="shared" si="64"/>
        <v>11</v>
      </c>
      <c r="K51" s="257">
        <f t="shared" si="64"/>
        <v>10</v>
      </c>
      <c r="L51" s="257">
        <f t="shared" si="64"/>
        <v>11</v>
      </c>
      <c r="M51" s="257">
        <f t="shared" si="64"/>
        <v>11</v>
      </c>
      <c r="N51" s="257">
        <f t="shared" si="64"/>
        <v>11</v>
      </c>
      <c r="O51" s="130"/>
      <c r="P51" s="257">
        <f t="shared" si="54"/>
        <v>12</v>
      </c>
      <c r="Q51" s="257">
        <f t="shared" ref="Q51:AA51" si="65">Q46-P46</f>
        <v>11</v>
      </c>
      <c r="R51" s="257">
        <f t="shared" si="65"/>
        <v>12</v>
      </c>
      <c r="S51" s="257">
        <f t="shared" si="65"/>
        <v>11</v>
      </c>
      <c r="T51" s="257">
        <f t="shared" si="65"/>
        <v>11</v>
      </c>
      <c r="U51" s="257">
        <f t="shared" si="65"/>
        <v>9</v>
      </c>
      <c r="V51" s="257">
        <f t="shared" si="65"/>
        <v>12</v>
      </c>
      <c r="W51" s="257">
        <f t="shared" si="65"/>
        <v>11</v>
      </c>
      <c r="X51" s="257">
        <f t="shared" si="65"/>
        <v>9</v>
      </c>
      <c r="Y51" s="257">
        <f t="shared" si="65"/>
        <v>12</v>
      </c>
      <c r="Z51" s="257">
        <f t="shared" si="65"/>
        <v>8</v>
      </c>
      <c r="AA51" s="257">
        <f t="shared" si="65"/>
        <v>11</v>
      </c>
      <c r="AB51" s="130"/>
      <c r="AC51" s="257">
        <f t="shared" si="56"/>
        <v>10</v>
      </c>
      <c r="AD51" s="257">
        <f t="shared" ref="AD51:AN51" si="66">AD46-AC46</f>
        <v>10</v>
      </c>
      <c r="AE51" s="257">
        <f t="shared" si="66"/>
        <v>11</v>
      </c>
      <c r="AF51" s="257">
        <f t="shared" si="66"/>
        <v>10</v>
      </c>
      <c r="AG51" s="257">
        <f t="shared" si="66"/>
        <v>10</v>
      </c>
      <c r="AH51" s="257">
        <f t="shared" si="66"/>
        <v>9</v>
      </c>
      <c r="AI51" s="257">
        <f t="shared" si="66"/>
        <v>11</v>
      </c>
      <c r="AJ51" s="257">
        <f t="shared" si="66"/>
        <v>9</v>
      </c>
      <c r="AK51" s="257">
        <f t="shared" si="66"/>
        <v>9</v>
      </c>
      <c r="AL51" s="257">
        <f t="shared" si="66"/>
        <v>10</v>
      </c>
      <c r="AM51" s="257">
        <f t="shared" si="66"/>
        <v>8</v>
      </c>
      <c r="AN51" s="257">
        <f t="shared" si="66"/>
        <v>9</v>
      </c>
      <c r="AO51" s="130"/>
      <c r="AP51" s="257">
        <f t="shared" si="58"/>
        <v>8</v>
      </c>
      <c r="AQ51" s="257">
        <f t="shared" ref="AQ51:BA51" si="67">AQ46-AP46</f>
        <v>7</v>
      </c>
      <c r="AR51" s="257">
        <f t="shared" si="67"/>
        <v>9</v>
      </c>
      <c r="AS51" s="257">
        <f t="shared" si="67"/>
        <v>10</v>
      </c>
      <c r="AT51" s="257">
        <f t="shared" si="67"/>
        <v>11</v>
      </c>
      <c r="AU51" s="257">
        <f t="shared" si="67"/>
        <v>8</v>
      </c>
      <c r="AV51" s="257">
        <f t="shared" si="67"/>
        <v>10</v>
      </c>
      <c r="AW51" s="257">
        <f t="shared" si="67"/>
        <v>10</v>
      </c>
      <c r="AX51" s="257">
        <f t="shared" si="67"/>
        <v>9</v>
      </c>
      <c r="AY51" s="257">
        <f t="shared" si="67"/>
        <v>9</v>
      </c>
      <c r="AZ51" s="257">
        <f t="shared" si="67"/>
        <v>9</v>
      </c>
      <c r="BA51" s="257">
        <f t="shared" si="67"/>
        <v>10</v>
      </c>
      <c r="BB51" s="282"/>
      <c r="BC51" s="257"/>
      <c r="BD51" s="257"/>
      <c r="BE51" s="257"/>
      <c r="BF51" s="257"/>
      <c r="BG51" s="257"/>
      <c r="BH51" s="257"/>
      <c r="BI51" s="257"/>
      <c r="BJ51" s="257"/>
      <c r="BK51" s="257"/>
      <c r="BL51" s="257"/>
      <c r="BM51" s="257"/>
      <c r="BN51" s="257"/>
    </row>
    <row r="52" ht="15.75" customHeight="1">
      <c r="A52" s="126" t="s">
        <v>157</v>
      </c>
      <c r="B52" s="314"/>
      <c r="C52" s="295">
        <v>499.0</v>
      </c>
      <c r="D52" s="295">
        <v>499.0</v>
      </c>
      <c r="E52" s="295">
        <v>499.0</v>
      </c>
      <c r="F52" s="295">
        <v>499.0</v>
      </c>
      <c r="G52" s="295">
        <v>499.0</v>
      </c>
      <c r="H52" s="295">
        <v>499.0</v>
      </c>
      <c r="I52" s="295">
        <v>499.0</v>
      </c>
      <c r="J52" s="295">
        <v>499.0</v>
      </c>
      <c r="K52" s="295">
        <v>499.0</v>
      </c>
      <c r="L52" s="295">
        <v>499.0</v>
      </c>
      <c r="M52" s="295">
        <v>499.0</v>
      </c>
      <c r="N52" s="295">
        <v>499.0</v>
      </c>
      <c r="O52" s="314"/>
      <c r="P52" s="295">
        <v>547.0</v>
      </c>
      <c r="Q52" s="295">
        <v>547.0</v>
      </c>
      <c r="R52" s="295">
        <v>547.0</v>
      </c>
      <c r="S52" s="295">
        <v>547.0</v>
      </c>
      <c r="T52" s="295">
        <v>547.0</v>
      </c>
      <c r="U52" s="295">
        <v>547.0</v>
      </c>
      <c r="V52" s="295">
        <v>547.0</v>
      </c>
      <c r="W52" s="295">
        <v>547.0</v>
      </c>
      <c r="X52" s="295">
        <v>547.0</v>
      </c>
      <c r="Y52" s="295">
        <v>547.0</v>
      </c>
      <c r="Z52" s="295">
        <v>547.0</v>
      </c>
      <c r="AA52" s="295">
        <v>547.0</v>
      </c>
      <c r="AB52" s="49"/>
      <c r="AC52" s="295">
        <v>634.0</v>
      </c>
      <c r="AD52" s="295">
        <v>634.0</v>
      </c>
      <c r="AE52" s="295">
        <v>634.0</v>
      </c>
      <c r="AF52" s="295">
        <v>634.0</v>
      </c>
      <c r="AG52" s="295">
        <v>634.0</v>
      </c>
      <c r="AH52" s="295">
        <v>634.0</v>
      </c>
      <c r="AI52" s="295">
        <v>634.0</v>
      </c>
      <c r="AJ52" s="295">
        <v>634.0</v>
      </c>
      <c r="AK52" s="295">
        <v>634.0</v>
      </c>
      <c r="AL52" s="295">
        <v>634.0</v>
      </c>
      <c r="AM52" s="295">
        <v>749.0</v>
      </c>
      <c r="AN52" s="295">
        <v>749.0</v>
      </c>
      <c r="AO52" s="49"/>
      <c r="AP52" s="295">
        <v>749.0</v>
      </c>
      <c r="AQ52" s="295">
        <v>749.0</v>
      </c>
      <c r="AR52" s="295">
        <v>749.0</v>
      </c>
      <c r="AS52" s="219">
        <v>887.0</v>
      </c>
      <c r="AT52" s="219">
        <v>887.0</v>
      </c>
      <c r="AU52" s="219">
        <v>887.0</v>
      </c>
      <c r="AV52" s="219">
        <v>887.0</v>
      </c>
      <c r="AW52" s="219">
        <v>887.0</v>
      </c>
      <c r="AX52" s="219">
        <v>887.0</v>
      </c>
      <c r="AY52" s="219">
        <v>887.0</v>
      </c>
      <c r="AZ52" s="219">
        <v>887.0</v>
      </c>
      <c r="BA52" s="219">
        <v>887.0</v>
      </c>
      <c r="BB52" s="314"/>
      <c r="BC52" s="295"/>
      <c r="BD52" s="295"/>
      <c r="BE52" s="314"/>
      <c r="BF52" s="314"/>
      <c r="BG52" s="314"/>
      <c r="BH52" s="314"/>
      <c r="BI52" s="314"/>
      <c r="BJ52" s="314"/>
      <c r="BK52" s="314"/>
      <c r="BL52" s="314"/>
      <c r="BM52" s="314"/>
      <c r="BN52" s="314"/>
    </row>
    <row r="53" ht="15.75" customHeight="1">
      <c r="A53" s="126" t="s">
        <v>303</v>
      </c>
      <c r="B53" s="314"/>
      <c r="C53" s="289"/>
      <c r="D53" s="289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314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P53" s="289">
        <f t="shared" ref="AP53:AS53" si="68">AP58-AP54</f>
        <v>17</v>
      </c>
      <c r="AQ53" s="289">
        <f t="shared" si="68"/>
        <v>16.5</v>
      </c>
      <c r="AR53" s="289">
        <f t="shared" si="68"/>
        <v>2.5</v>
      </c>
      <c r="AS53" s="289">
        <f t="shared" si="68"/>
        <v>2</v>
      </c>
      <c r="AT53" s="289" t="s">
        <v>335</v>
      </c>
      <c r="AU53" s="289" t="s">
        <v>336</v>
      </c>
      <c r="AV53" s="289" t="s">
        <v>335</v>
      </c>
      <c r="AW53" s="316">
        <v>3.0</v>
      </c>
      <c r="AX53" s="316">
        <v>4.0</v>
      </c>
      <c r="AY53" s="316">
        <v>7.0</v>
      </c>
      <c r="AZ53" s="316">
        <v>7.0</v>
      </c>
      <c r="BA53" s="219"/>
      <c r="BB53" s="314"/>
      <c r="BC53" s="295"/>
      <c r="BD53" s="295"/>
      <c r="BE53" s="314"/>
      <c r="BF53" s="314"/>
      <c r="BG53" s="314"/>
      <c r="BH53" s="314"/>
      <c r="BI53" s="314"/>
      <c r="BJ53" s="314"/>
      <c r="BK53" s="314"/>
      <c r="BL53" s="314"/>
      <c r="BM53" s="314"/>
      <c r="BN53" s="314"/>
    </row>
    <row r="54" ht="15.75" customHeight="1">
      <c r="A54" s="126" t="s">
        <v>304</v>
      </c>
      <c r="B54" s="314"/>
      <c r="C54" s="289">
        <f t="shared" ref="C54:N54" si="69">C48</f>
        <v>29</v>
      </c>
      <c r="D54" s="289">
        <f t="shared" si="69"/>
        <v>25</v>
      </c>
      <c r="E54" s="289">
        <f t="shared" si="69"/>
        <v>32</v>
      </c>
      <c r="F54" s="289">
        <f t="shared" si="69"/>
        <v>26</v>
      </c>
      <c r="G54" s="289">
        <f t="shared" si="69"/>
        <v>15</v>
      </c>
      <c r="H54" s="289">
        <f t="shared" si="69"/>
        <v>12</v>
      </c>
      <c r="I54" s="289">
        <f t="shared" si="69"/>
        <v>15</v>
      </c>
      <c r="J54" s="289">
        <f t="shared" si="69"/>
        <v>16</v>
      </c>
      <c r="K54" s="289">
        <f t="shared" si="69"/>
        <v>16</v>
      </c>
      <c r="L54" s="289">
        <f t="shared" si="69"/>
        <v>25</v>
      </c>
      <c r="M54" s="289">
        <f t="shared" si="69"/>
        <v>27</v>
      </c>
      <c r="N54" s="289">
        <f t="shared" si="69"/>
        <v>31</v>
      </c>
      <c r="O54" s="314"/>
      <c r="P54" s="289">
        <f t="shared" ref="P54:AA54" si="70">P48+P51</f>
        <v>41</v>
      </c>
      <c r="Q54" s="289">
        <f t="shared" si="70"/>
        <v>38</v>
      </c>
      <c r="R54" s="289">
        <f t="shared" si="70"/>
        <v>40</v>
      </c>
      <c r="S54" s="289">
        <f t="shared" si="70"/>
        <v>34</v>
      </c>
      <c r="T54" s="289">
        <f t="shared" si="70"/>
        <v>27</v>
      </c>
      <c r="U54" s="289">
        <f t="shared" si="70"/>
        <v>9</v>
      </c>
      <c r="V54" s="289">
        <f t="shared" si="70"/>
        <v>12</v>
      </c>
      <c r="W54" s="289">
        <f t="shared" si="70"/>
        <v>11</v>
      </c>
      <c r="X54" s="289">
        <f t="shared" si="70"/>
        <v>11</v>
      </c>
      <c r="Y54" s="289">
        <f t="shared" si="70"/>
        <v>37</v>
      </c>
      <c r="Z54" s="289">
        <f t="shared" si="70"/>
        <v>33</v>
      </c>
      <c r="AA54" s="289">
        <f t="shared" si="70"/>
        <v>41</v>
      </c>
      <c r="AB54" s="289"/>
      <c r="AC54" s="289">
        <f t="shared" ref="AC54:AE54" si="71">AC48+AC51</f>
        <v>39</v>
      </c>
      <c r="AD54" s="289">
        <f t="shared" si="71"/>
        <v>37</v>
      </c>
      <c r="AE54" s="289">
        <f t="shared" si="71"/>
        <v>38</v>
      </c>
      <c r="AF54" s="289" t="s">
        <v>337</v>
      </c>
      <c r="AG54" s="289">
        <f t="shared" ref="AG54:AN54" si="72">AG48+AG51</f>
        <v>25</v>
      </c>
      <c r="AH54" s="289">
        <f t="shared" si="72"/>
        <v>9</v>
      </c>
      <c r="AI54" s="289">
        <f t="shared" si="72"/>
        <v>11</v>
      </c>
      <c r="AJ54" s="289">
        <f t="shared" si="72"/>
        <v>9</v>
      </c>
      <c r="AK54" s="289">
        <f t="shared" si="72"/>
        <v>11</v>
      </c>
      <c r="AL54" s="289">
        <f t="shared" si="72"/>
        <v>32</v>
      </c>
      <c r="AM54" s="289">
        <f t="shared" si="72"/>
        <v>30</v>
      </c>
      <c r="AN54" s="289">
        <f t="shared" si="72"/>
        <v>36</v>
      </c>
      <c r="AO54" s="289"/>
      <c r="AP54" s="289">
        <f t="shared" ref="AP54:AR54" si="73">AP48+(AP51/2)</f>
        <v>31</v>
      </c>
      <c r="AQ54" s="289">
        <f t="shared" si="73"/>
        <v>30.5</v>
      </c>
      <c r="AR54" s="289">
        <f t="shared" si="73"/>
        <v>32.5</v>
      </c>
      <c r="AS54" s="289" t="s">
        <v>338</v>
      </c>
      <c r="AT54" s="289" t="s">
        <v>339</v>
      </c>
      <c r="AU54" s="289" t="s">
        <v>340</v>
      </c>
      <c r="AV54" s="289" t="s">
        <v>340</v>
      </c>
      <c r="AW54" s="289" t="s">
        <v>340</v>
      </c>
      <c r="AX54" s="289" t="s">
        <v>341</v>
      </c>
      <c r="AY54" s="289" t="s">
        <v>342</v>
      </c>
      <c r="AZ54" s="292" t="s">
        <v>343</v>
      </c>
      <c r="BA54" s="289">
        <f>BA48+(BA51/2)</f>
        <v>36</v>
      </c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</row>
    <row r="55" ht="15.75" customHeight="1">
      <c r="A55" s="126" t="s">
        <v>307</v>
      </c>
      <c r="B55" s="314"/>
      <c r="C55" s="65" t="s">
        <v>344</v>
      </c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314"/>
      <c r="P55" s="65" t="s">
        <v>345</v>
      </c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C55" s="295"/>
      <c r="AD55" s="295"/>
      <c r="AE55" s="295"/>
      <c r="AF55" s="295"/>
      <c r="AG55" s="295"/>
      <c r="AH55" s="295"/>
      <c r="AI55" s="295"/>
      <c r="AJ55" s="295"/>
      <c r="AK55" s="295"/>
      <c r="AL55" s="295"/>
      <c r="AM55" s="295"/>
      <c r="AN55" s="295"/>
      <c r="AO55" s="314"/>
      <c r="AP55" s="295"/>
      <c r="AQ55" s="295"/>
      <c r="AR55" s="295"/>
      <c r="AS55" s="219"/>
      <c r="AT55" s="219"/>
      <c r="AU55" s="219"/>
      <c r="AV55" s="219"/>
      <c r="AW55" s="219"/>
      <c r="AX55" s="219"/>
      <c r="AY55" s="219"/>
      <c r="AZ55" s="219"/>
      <c r="BA55" s="219"/>
      <c r="BB55" s="314"/>
      <c r="BC55" s="295"/>
      <c r="BD55" s="295"/>
      <c r="BE55" s="314"/>
      <c r="BF55" s="314"/>
      <c r="BG55" s="314"/>
      <c r="BH55" s="314"/>
      <c r="BI55" s="314"/>
      <c r="BJ55" s="314"/>
      <c r="BK55" s="314"/>
      <c r="BL55" s="314"/>
      <c r="BM55" s="314"/>
      <c r="BN55" s="314"/>
    </row>
    <row r="56" ht="15.75" customHeight="1">
      <c r="A56" s="114" t="s">
        <v>158</v>
      </c>
      <c r="B56" s="317"/>
      <c r="C56" s="318">
        <f t="shared" ref="C56:N56" si="74">C54*C52</f>
        <v>14471</v>
      </c>
      <c r="D56" s="318">
        <f t="shared" si="74"/>
        <v>12475</v>
      </c>
      <c r="E56" s="318">
        <f t="shared" si="74"/>
        <v>15968</v>
      </c>
      <c r="F56" s="318">
        <f t="shared" si="74"/>
        <v>12974</v>
      </c>
      <c r="G56" s="318">
        <f t="shared" si="74"/>
        <v>7485</v>
      </c>
      <c r="H56" s="318">
        <f t="shared" si="74"/>
        <v>5988</v>
      </c>
      <c r="I56" s="318">
        <f t="shared" si="74"/>
        <v>7485</v>
      </c>
      <c r="J56" s="318">
        <f t="shared" si="74"/>
        <v>7984</v>
      </c>
      <c r="K56" s="318">
        <f t="shared" si="74"/>
        <v>7984</v>
      </c>
      <c r="L56" s="318">
        <f t="shared" si="74"/>
        <v>12475</v>
      </c>
      <c r="M56" s="318">
        <f t="shared" si="74"/>
        <v>13473</v>
      </c>
      <c r="N56" s="318">
        <f t="shared" si="74"/>
        <v>15469</v>
      </c>
      <c r="O56" s="317"/>
      <c r="P56" s="318">
        <f t="shared" ref="P56:AA56" si="75">P52*P54</f>
        <v>22427</v>
      </c>
      <c r="Q56" s="318">
        <f t="shared" si="75"/>
        <v>20786</v>
      </c>
      <c r="R56" s="318">
        <f t="shared" si="75"/>
        <v>21880</v>
      </c>
      <c r="S56" s="318">
        <f t="shared" si="75"/>
        <v>18598</v>
      </c>
      <c r="T56" s="318">
        <f t="shared" si="75"/>
        <v>14769</v>
      </c>
      <c r="U56" s="318">
        <f t="shared" si="75"/>
        <v>4923</v>
      </c>
      <c r="V56" s="318">
        <f t="shared" si="75"/>
        <v>6564</v>
      </c>
      <c r="W56" s="318">
        <f t="shared" si="75"/>
        <v>6017</v>
      </c>
      <c r="X56" s="318">
        <f t="shared" si="75"/>
        <v>6017</v>
      </c>
      <c r="Y56" s="318">
        <f t="shared" si="75"/>
        <v>20239</v>
      </c>
      <c r="Z56" s="318">
        <f t="shared" si="75"/>
        <v>18051</v>
      </c>
      <c r="AA56" s="318">
        <f t="shared" si="75"/>
        <v>22427</v>
      </c>
      <c r="AB56" s="318"/>
      <c r="AC56" s="318">
        <f t="shared" ref="AC56:AE56" si="76">AC52*AC54</f>
        <v>24726</v>
      </c>
      <c r="AD56" s="318">
        <f t="shared" si="76"/>
        <v>23458</v>
      </c>
      <c r="AE56" s="318">
        <f t="shared" si="76"/>
        <v>24092</v>
      </c>
      <c r="AF56" s="318">
        <v>16000.0</v>
      </c>
      <c r="AG56" s="318">
        <f t="shared" ref="AG56:AN56" si="77">AG52*AG54</f>
        <v>15850</v>
      </c>
      <c r="AH56" s="318">
        <f t="shared" si="77"/>
        <v>5706</v>
      </c>
      <c r="AI56" s="318">
        <f t="shared" si="77"/>
        <v>6974</v>
      </c>
      <c r="AJ56" s="318">
        <f t="shared" si="77"/>
        <v>5706</v>
      </c>
      <c r="AK56" s="318">
        <f t="shared" si="77"/>
        <v>6974</v>
      </c>
      <c r="AL56" s="318">
        <f t="shared" si="77"/>
        <v>20288</v>
      </c>
      <c r="AM56" s="318">
        <f t="shared" si="77"/>
        <v>22470</v>
      </c>
      <c r="AN56" s="318">
        <f t="shared" si="77"/>
        <v>26964</v>
      </c>
      <c r="AO56" s="318"/>
      <c r="AP56" s="318">
        <f t="shared" ref="AP56:BA56" si="78">AP52*AP54</f>
        <v>23219</v>
      </c>
      <c r="AQ56" s="318">
        <f t="shared" si="78"/>
        <v>22844.5</v>
      </c>
      <c r="AR56" s="318">
        <f t="shared" si="78"/>
        <v>24342.5</v>
      </c>
      <c r="AS56" s="318">
        <f t="shared" si="78"/>
        <v>15079</v>
      </c>
      <c r="AT56" s="318" t="str">
        <f t="shared" si="78"/>
        <v>#VALUE!</v>
      </c>
      <c r="AU56" s="318">
        <f t="shared" si="78"/>
        <v>6209</v>
      </c>
      <c r="AV56" s="318">
        <f t="shared" si="78"/>
        <v>6209</v>
      </c>
      <c r="AW56" s="318">
        <f t="shared" si="78"/>
        <v>6209</v>
      </c>
      <c r="AX56" s="318">
        <f t="shared" si="78"/>
        <v>8870</v>
      </c>
      <c r="AY56" s="318">
        <f t="shared" si="78"/>
        <v>21288</v>
      </c>
      <c r="AZ56" s="318">
        <f t="shared" si="78"/>
        <v>23949</v>
      </c>
      <c r="BA56" s="318">
        <f t="shared" si="78"/>
        <v>31932</v>
      </c>
      <c r="BB56" s="317"/>
      <c r="BC56" s="318"/>
      <c r="BD56" s="319"/>
      <c r="BE56" s="319"/>
      <c r="BF56" s="319"/>
      <c r="BG56" s="319"/>
      <c r="BH56" s="319"/>
      <c r="BI56" s="319"/>
      <c r="BJ56" s="319"/>
      <c r="BK56" s="319"/>
      <c r="BL56" s="319"/>
      <c r="BM56" s="319"/>
      <c r="BN56" s="319"/>
    </row>
    <row r="57" ht="15.75" customHeight="1">
      <c r="A57" s="126" t="s">
        <v>159</v>
      </c>
      <c r="B57" s="314"/>
      <c r="C57" s="314" t="s">
        <v>346</v>
      </c>
      <c r="D57" s="320"/>
      <c r="E57" s="320"/>
      <c r="F57" s="320"/>
      <c r="G57" s="320"/>
      <c r="H57" s="314" t="s">
        <v>347</v>
      </c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  <c r="AA57" s="314"/>
      <c r="AB57" s="314"/>
      <c r="AC57" s="314" t="s">
        <v>348</v>
      </c>
      <c r="AD57" s="314"/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4"/>
      <c r="BE57" s="314"/>
      <c r="BF57" s="314"/>
      <c r="BG57" s="314"/>
      <c r="BH57" s="314"/>
      <c r="BI57" s="314"/>
      <c r="BJ57" s="314"/>
      <c r="BK57" s="314"/>
      <c r="BL57" s="314"/>
      <c r="BM57" s="314"/>
      <c r="BN57" s="314"/>
    </row>
    <row r="58" ht="15.75" customHeight="1">
      <c r="A58" s="126" t="s">
        <v>349</v>
      </c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>
        <v>43.0</v>
      </c>
      <c r="AD58" s="314">
        <v>30.0</v>
      </c>
      <c r="AE58" s="314">
        <v>29.0</v>
      </c>
      <c r="AF58" s="314">
        <v>17.0</v>
      </c>
      <c r="AG58" s="314">
        <v>15.0</v>
      </c>
      <c r="AH58" s="314">
        <v>11.0</v>
      </c>
      <c r="AI58" s="314">
        <v>12.0</v>
      </c>
      <c r="AJ58" s="314">
        <v>11.0</v>
      </c>
      <c r="AK58" s="314">
        <v>12.0</v>
      </c>
      <c r="AL58" s="314">
        <v>22.0</v>
      </c>
      <c r="AM58" s="314">
        <v>33.0</v>
      </c>
      <c r="AN58" s="314">
        <v>42.0</v>
      </c>
      <c r="AO58" s="317"/>
      <c r="AP58" s="314">
        <v>48.0</v>
      </c>
      <c r="AQ58" s="314">
        <v>47.0</v>
      </c>
      <c r="AR58" s="314">
        <v>35.0</v>
      </c>
      <c r="AS58" s="314">
        <v>19.0</v>
      </c>
      <c r="AT58" s="314">
        <v>19.0</v>
      </c>
      <c r="AU58" s="314">
        <v>9.0</v>
      </c>
      <c r="AV58" s="314">
        <v>12.0</v>
      </c>
      <c r="AW58" s="314">
        <v>10.0</v>
      </c>
      <c r="AX58" s="314">
        <v>14.0</v>
      </c>
      <c r="AY58" s="314">
        <v>31.0</v>
      </c>
      <c r="AZ58" s="314">
        <v>45.0</v>
      </c>
      <c r="BA58" s="314"/>
      <c r="BB58" s="314"/>
      <c r="BC58" s="314"/>
      <c r="BD58" s="314"/>
      <c r="BE58" s="314"/>
      <c r="BF58" s="314"/>
      <c r="BG58" s="314"/>
      <c r="BH58" s="314"/>
      <c r="BI58" s="314"/>
      <c r="BJ58" s="314"/>
      <c r="BK58" s="314"/>
      <c r="BL58" s="314"/>
      <c r="BM58" s="314"/>
      <c r="BN58" s="314"/>
    </row>
    <row r="59" ht="15.75" customHeight="1">
      <c r="A59" s="170" t="s">
        <v>167</v>
      </c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</row>
    <row r="60" ht="15.75" customHeight="1">
      <c r="A60" s="173" t="s">
        <v>146</v>
      </c>
      <c r="B60" s="175"/>
      <c r="C60" s="174">
        <f t="shared" ref="C60:N60" si="79">C8/C2/100</f>
        <v>0</v>
      </c>
      <c r="D60" s="174">
        <f t="shared" si="79"/>
        <v>0</v>
      </c>
      <c r="E60" s="174">
        <f t="shared" si="79"/>
        <v>0</v>
      </c>
      <c r="F60" s="174">
        <f t="shared" si="79"/>
        <v>0</v>
      </c>
      <c r="G60" s="174">
        <f t="shared" si="79"/>
        <v>0</v>
      </c>
      <c r="H60" s="174">
        <f t="shared" si="79"/>
        <v>0</v>
      </c>
      <c r="I60" s="174">
        <f t="shared" si="79"/>
        <v>0</v>
      </c>
      <c r="J60" s="174">
        <f t="shared" si="79"/>
        <v>0</v>
      </c>
      <c r="K60" s="174">
        <f t="shared" si="79"/>
        <v>0</v>
      </c>
      <c r="L60" s="174">
        <f t="shared" si="79"/>
        <v>0</v>
      </c>
      <c r="M60" s="174">
        <f t="shared" si="79"/>
        <v>0</v>
      </c>
      <c r="N60" s="174">
        <f t="shared" si="79"/>
        <v>0</v>
      </c>
      <c r="O60" s="175"/>
      <c r="P60" s="174">
        <f t="shared" ref="P60:AA60" si="80">P23/P2/100</f>
        <v>44.52112676</v>
      </c>
      <c r="Q60" s="174">
        <f t="shared" si="80"/>
        <v>35.7037037</v>
      </c>
      <c r="R60" s="174">
        <f t="shared" si="80"/>
        <v>38.43478261</v>
      </c>
      <c r="S60" s="174">
        <f t="shared" si="80"/>
        <v>33.28205128</v>
      </c>
      <c r="T60" s="174">
        <f t="shared" si="80"/>
        <v>34.94444444</v>
      </c>
      <c r="U60" s="174">
        <f t="shared" si="80"/>
        <v>30.57352941</v>
      </c>
      <c r="V60" s="174">
        <f t="shared" si="80"/>
        <v>28.26136364</v>
      </c>
      <c r="W60" s="174">
        <f t="shared" si="80"/>
        <v>32.9</v>
      </c>
      <c r="X60" s="174">
        <f t="shared" si="80"/>
        <v>29.44117647</v>
      </c>
      <c r="Y60" s="174">
        <f t="shared" si="80"/>
        <v>35.83561644</v>
      </c>
      <c r="Z60" s="174">
        <f t="shared" si="80"/>
        <v>44.21666667</v>
      </c>
      <c r="AA60" s="174">
        <f t="shared" si="80"/>
        <v>42.21052632</v>
      </c>
      <c r="AB60" s="174"/>
      <c r="AC60" s="174">
        <f t="shared" ref="AC60:AN60" si="81">AC23/AC2/100</f>
        <v>48.45614035</v>
      </c>
      <c r="AD60" s="174">
        <f t="shared" si="81"/>
        <v>32.07407407</v>
      </c>
      <c r="AE60" s="174">
        <f t="shared" si="81"/>
        <v>34.15</v>
      </c>
      <c r="AF60" s="174">
        <f t="shared" si="81"/>
        <v>36.74285714</v>
      </c>
      <c r="AG60" s="174">
        <f t="shared" si="81"/>
        <v>27.76623377</v>
      </c>
      <c r="AH60" s="174">
        <f t="shared" si="81"/>
        <v>28.4375</v>
      </c>
      <c r="AI60" s="174">
        <f t="shared" si="81"/>
        <v>33.97802198</v>
      </c>
      <c r="AJ60" s="174">
        <f t="shared" si="81"/>
        <v>32.51086957</v>
      </c>
      <c r="AK60" s="174">
        <f t="shared" si="81"/>
        <v>26.3974359</v>
      </c>
      <c r="AL60" s="174">
        <f t="shared" si="81"/>
        <v>30.97560976</v>
      </c>
      <c r="AM60" s="174">
        <f t="shared" si="81"/>
        <v>44.89473684</v>
      </c>
      <c r="AN60" s="174">
        <f t="shared" si="81"/>
        <v>45.97222222</v>
      </c>
      <c r="AO60" s="174"/>
      <c r="AP60" s="174">
        <f t="shared" ref="AP60:BA60" si="82">AP23/AP2/100</f>
        <v>45.71014493</v>
      </c>
      <c r="AQ60" s="174">
        <f t="shared" si="82"/>
        <v>40.59459459</v>
      </c>
      <c r="AR60" s="174">
        <f t="shared" si="82"/>
        <v>38.86842105</v>
      </c>
      <c r="AS60" s="174">
        <f t="shared" si="82"/>
        <v>28.45882353</v>
      </c>
      <c r="AT60" s="174">
        <f t="shared" si="82"/>
        <v>24.44047619</v>
      </c>
      <c r="AU60" s="174">
        <f t="shared" si="82"/>
        <v>23.73684211</v>
      </c>
      <c r="AV60" s="174">
        <f t="shared" si="82"/>
        <v>30.52631579</v>
      </c>
      <c r="AW60" s="174">
        <f t="shared" si="82"/>
        <v>22.50549451</v>
      </c>
      <c r="AX60" s="174">
        <f t="shared" si="82"/>
        <v>25.2625</v>
      </c>
      <c r="AY60" s="174">
        <f t="shared" si="82"/>
        <v>30.24691358</v>
      </c>
      <c r="AZ60" s="174">
        <f t="shared" si="82"/>
        <v>41.27142857</v>
      </c>
      <c r="BA60" s="174">
        <f t="shared" si="82"/>
        <v>38.01298701</v>
      </c>
      <c r="BB60" s="175"/>
      <c r="BC60" s="174" t="str">
        <f t="shared" ref="BC60:BN60" si="83">BC8/BC2/100</f>
        <v>#DIV/0!</v>
      </c>
      <c r="BD60" s="174" t="str">
        <f t="shared" si="83"/>
        <v>#DIV/0!</v>
      </c>
      <c r="BE60" s="174" t="str">
        <f t="shared" si="83"/>
        <v>#DIV/0!</v>
      </c>
      <c r="BF60" s="174" t="str">
        <f t="shared" si="83"/>
        <v>#DIV/0!</v>
      </c>
      <c r="BG60" s="174" t="str">
        <f t="shared" si="83"/>
        <v>#DIV/0!</v>
      </c>
      <c r="BH60" s="174" t="str">
        <f t="shared" si="83"/>
        <v>#DIV/0!</v>
      </c>
      <c r="BI60" s="174" t="str">
        <f t="shared" si="83"/>
        <v>#DIV/0!</v>
      </c>
      <c r="BJ60" s="174" t="str">
        <f t="shared" si="83"/>
        <v>#DIV/0!</v>
      </c>
      <c r="BK60" s="174" t="str">
        <f t="shared" si="83"/>
        <v>#DIV/0!</v>
      </c>
      <c r="BL60" s="174" t="str">
        <f t="shared" si="83"/>
        <v>#DIV/0!</v>
      </c>
      <c r="BM60" s="174" t="str">
        <f t="shared" si="83"/>
        <v>#DIV/0!</v>
      </c>
      <c r="BN60" s="174" t="str">
        <f t="shared" si="83"/>
        <v>#DIV/0!</v>
      </c>
    </row>
    <row r="61" ht="15.75" customHeight="1">
      <c r="A61" s="173" t="s">
        <v>168</v>
      </c>
      <c r="B61" s="175"/>
      <c r="C61" s="174">
        <f t="shared" ref="C61:N61" si="84">C34/C2/100</f>
        <v>1.131625968</v>
      </c>
      <c r="D61" s="174">
        <f t="shared" si="84"/>
        <v>0.7037037037</v>
      </c>
      <c r="E61" s="174">
        <f t="shared" si="84"/>
        <v>0.7503805175</v>
      </c>
      <c r="F61" s="174">
        <f t="shared" si="84"/>
        <v>0.8209876543</v>
      </c>
      <c r="G61" s="174">
        <f t="shared" si="84"/>
        <v>1.220400729</v>
      </c>
      <c r="H61" s="174">
        <f t="shared" si="84"/>
        <v>0.9459459459</v>
      </c>
      <c r="I61" s="174">
        <f t="shared" si="84"/>
        <v>1.024691358</v>
      </c>
      <c r="J61" s="174">
        <f t="shared" si="84"/>
        <v>0.987654321</v>
      </c>
      <c r="K61" s="174">
        <f t="shared" si="84"/>
        <v>0.8955223881</v>
      </c>
      <c r="L61" s="174">
        <f t="shared" si="84"/>
        <v>1.124661247</v>
      </c>
      <c r="M61" s="174">
        <f t="shared" si="84"/>
        <v>1.107230392</v>
      </c>
      <c r="N61" s="174">
        <f t="shared" si="84"/>
        <v>1.207222222</v>
      </c>
      <c r="O61" s="174"/>
      <c r="P61" s="174">
        <f t="shared" ref="P61:AA61" si="85">P34/P2/100</f>
        <v>1.001173709</v>
      </c>
      <c r="Q61" s="174">
        <f t="shared" si="85"/>
        <v>0.950617284</v>
      </c>
      <c r="R61" s="174">
        <f t="shared" si="85"/>
        <v>1.048309179</v>
      </c>
      <c r="S61" s="174">
        <f t="shared" si="85"/>
        <v>0.9134615385</v>
      </c>
      <c r="T61" s="174">
        <f t="shared" si="85"/>
        <v>0.5173611111</v>
      </c>
      <c r="U61" s="174">
        <f t="shared" si="85"/>
        <v>1.018382353</v>
      </c>
      <c r="V61" s="174">
        <f t="shared" si="85"/>
        <v>0.8740530303</v>
      </c>
      <c r="W61" s="174">
        <f t="shared" si="85"/>
        <v>0.762037037</v>
      </c>
      <c r="X61" s="174">
        <f t="shared" si="85"/>
        <v>0.7990196078</v>
      </c>
      <c r="Y61" s="174">
        <f t="shared" si="85"/>
        <v>0.8310502283</v>
      </c>
      <c r="Z61" s="174">
        <f t="shared" si="85"/>
        <v>0.675</v>
      </c>
      <c r="AA61" s="174">
        <f t="shared" si="85"/>
        <v>0.8168859649</v>
      </c>
      <c r="AB61" s="174"/>
      <c r="AC61" s="174">
        <f t="shared" ref="AC61:AN61" si="86">AC34/AC2/100</f>
        <v>0.8040935673</v>
      </c>
      <c r="AD61" s="174">
        <f t="shared" si="86"/>
        <v>0.6995884774</v>
      </c>
      <c r="AE61" s="174">
        <f t="shared" si="86"/>
        <v>0.8020833333</v>
      </c>
      <c r="AF61" s="174">
        <f t="shared" si="86"/>
        <v>0.7095238095</v>
      </c>
      <c r="AG61" s="174">
        <f t="shared" si="86"/>
        <v>0.7424242424</v>
      </c>
      <c r="AH61" s="174">
        <f t="shared" si="86"/>
        <v>0.7583333333</v>
      </c>
      <c r="AI61" s="174">
        <f t="shared" si="86"/>
        <v>0.6666666667</v>
      </c>
      <c r="AJ61" s="174">
        <f t="shared" si="86"/>
        <v>0.7850241546</v>
      </c>
      <c r="AK61" s="174">
        <f t="shared" si="86"/>
        <v>0.6695156695</v>
      </c>
      <c r="AL61" s="174">
        <f t="shared" si="86"/>
        <v>0.77100271</v>
      </c>
      <c r="AM61" s="174">
        <f t="shared" si="86"/>
        <v>0.7495126706</v>
      </c>
      <c r="AN61" s="174">
        <f t="shared" si="86"/>
        <v>0.787808642</v>
      </c>
      <c r="AO61" s="174"/>
      <c r="AP61" s="174">
        <f t="shared" ref="AP61:BA61" si="87">AP34/AP2/100</f>
        <v>0.9770395701</v>
      </c>
      <c r="AQ61" s="174">
        <f t="shared" si="87"/>
        <v>0.8958396599</v>
      </c>
      <c r="AR61" s="174">
        <f t="shared" si="87"/>
        <v>0.8684210526</v>
      </c>
      <c r="AS61" s="174">
        <f t="shared" si="87"/>
        <v>0.8823529412</v>
      </c>
      <c r="AT61" s="174">
        <f t="shared" si="87"/>
        <v>0.8571428571</v>
      </c>
      <c r="AU61" s="174">
        <f t="shared" si="87"/>
        <v>0.6447368421</v>
      </c>
      <c r="AV61" s="174">
        <f t="shared" si="87"/>
        <v>0.7894736842</v>
      </c>
      <c r="AW61" s="174">
        <f t="shared" si="87"/>
        <v>0.7142857143</v>
      </c>
      <c r="AX61" s="174">
        <f t="shared" si="87"/>
        <v>0.6375</v>
      </c>
      <c r="AY61" s="174">
        <f t="shared" si="87"/>
        <v>0.6790123457</v>
      </c>
      <c r="AZ61" s="174">
        <f t="shared" si="87"/>
        <v>0.7142857143</v>
      </c>
      <c r="BA61" s="174">
        <f t="shared" si="87"/>
        <v>0.7532467532</v>
      </c>
      <c r="BB61" s="175"/>
      <c r="BC61" s="174" t="str">
        <f t="shared" ref="BC61:BN61" si="88">BC31/BC2/100</f>
        <v>#DIV/0!</v>
      </c>
      <c r="BD61" s="174" t="str">
        <f t="shared" si="88"/>
        <v>#DIV/0!</v>
      </c>
      <c r="BE61" s="174" t="str">
        <f t="shared" si="88"/>
        <v>#DIV/0!</v>
      </c>
      <c r="BF61" s="174" t="str">
        <f t="shared" si="88"/>
        <v>#DIV/0!</v>
      </c>
      <c r="BG61" s="174" t="str">
        <f t="shared" si="88"/>
        <v>#DIV/0!</v>
      </c>
      <c r="BH61" s="174" t="str">
        <f t="shared" si="88"/>
        <v>#DIV/0!</v>
      </c>
      <c r="BI61" s="174" t="str">
        <f t="shared" si="88"/>
        <v>#DIV/0!</v>
      </c>
      <c r="BJ61" s="174" t="str">
        <f t="shared" si="88"/>
        <v>#DIV/0!</v>
      </c>
      <c r="BK61" s="174" t="str">
        <f t="shared" si="88"/>
        <v>#DIV/0!</v>
      </c>
      <c r="BL61" s="174" t="str">
        <f t="shared" si="88"/>
        <v>#DIV/0!</v>
      </c>
      <c r="BM61" s="174" t="str">
        <f t="shared" si="88"/>
        <v>#DIV/0!</v>
      </c>
      <c r="BN61" s="174" t="str">
        <f t="shared" si="88"/>
        <v>#DIV/0!</v>
      </c>
    </row>
    <row r="62" ht="15.75" customHeight="1">
      <c r="A62" s="173" t="s">
        <v>350</v>
      </c>
      <c r="B62" s="175"/>
      <c r="C62" s="174">
        <f t="shared" ref="C62:N62" si="89">C54/C2/100</f>
        <v>0.6304347826</v>
      </c>
      <c r="D62" s="174">
        <f t="shared" si="89"/>
        <v>0.4166666667</v>
      </c>
      <c r="E62" s="174">
        <f t="shared" si="89"/>
        <v>0.4383561644</v>
      </c>
      <c r="F62" s="174">
        <f t="shared" si="89"/>
        <v>0.2888888889</v>
      </c>
      <c r="G62" s="174">
        <f t="shared" si="89"/>
        <v>0.2459016393</v>
      </c>
      <c r="H62" s="174">
        <f t="shared" si="89"/>
        <v>0.1621621622</v>
      </c>
      <c r="I62" s="174">
        <f t="shared" si="89"/>
        <v>0.1666666667</v>
      </c>
      <c r="J62" s="174">
        <f t="shared" si="89"/>
        <v>0.1777777778</v>
      </c>
      <c r="K62" s="174">
        <f t="shared" si="89"/>
        <v>0.2388059701</v>
      </c>
      <c r="L62" s="174">
        <f t="shared" si="89"/>
        <v>0.3048780488</v>
      </c>
      <c r="M62" s="174">
        <f t="shared" si="89"/>
        <v>0.3970588235</v>
      </c>
      <c r="N62" s="174">
        <f t="shared" si="89"/>
        <v>0.5166666667</v>
      </c>
      <c r="O62" s="174"/>
      <c r="P62" s="174">
        <f t="shared" ref="P62:AA62" si="90">P54/P2/100</f>
        <v>0.5774647887</v>
      </c>
      <c r="Q62" s="174">
        <f t="shared" si="90"/>
        <v>0.4691358025</v>
      </c>
      <c r="R62" s="174">
        <f t="shared" si="90"/>
        <v>0.5797101449</v>
      </c>
      <c r="S62" s="174">
        <f t="shared" si="90"/>
        <v>0.4358974359</v>
      </c>
      <c r="T62" s="174">
        <f t="shared" si="90"/>
        <v>0.375</v>
      </c>
      <c r="U62" s="174">
        <f t="shared" si="90"/>
        <v>0.1323529412</v>
      </c>
      <c r="V62" s="174">
        <f t="shared" si="90"/>
        <v>0.1363636364</v>
      </c>
      <c r="W62" s="174">
        <f t="shared" si="90"/>
        <v>0.1222222222</v>
      </c>
      <c r="X62" s="174">
        <f t="shared" si="90"/>
        <v>0.1617647059</v>
      </c>
      <c r="Y62" s="174">
        <f t="shared" si="90"/>
        <v>0.5068493151</v>
      </c>
      <c r="Z62" s="174">
        <f t="shared" si="90"/>
        <v>0.55</v>
      </c>
      <c r="AA62" s="174">
        <f t="shared" si="90"/>
        <v>0.5394736842</v>
      </c>
      <c r="AB62" s="174"/>
      <c r="AC62" s="174">
        <f t="shared" ref="AC62:AN62" si="91">AC54/AC2/100</f>
        <v>0.6842105263</v>
      </c>
      <c r="AD62" s="174">
        <f t="shared" si="91"/>
        <v>0.4567901235</v>
      </c>
      <c r="AE62" s="174">
        <f t="shared" si="91"/>
        <v>0.475</v>
      </c>
      <c r="AF62" s="174">
        <f t="shared" si="91"/>
        <v>0.3571428571</v>
      </c>
      <c r="AG62" s="174">
        <f t="shared" si="91"/>
        <v>0.3246753247</v>
      </c>
      <c r="AH62" s="174">
        <f t="shared" si="91"/>
        <v>0.1125</v>
      </c>
      <c r="AI62" s="174">
        <f t="shared" si="91"/>
        <v>0.1208791209</v>
      </c>
      <c r="AJ62" s="174">
        <f t="shared" si="91"/>
        <v>0.09782608696</v>
      </c>
      <c r="AK62" s="174">
        <f t="shared" si="91"/>
        <v>0.141025641</v>
      </c>
      <c r="AL62" s="174">
        <f t="shared" si="91"/>
        <v>0.3902439024</v>
      </c>
      <c r="AM62" s="174">
        <f t="shared" si="91"/>
        <v>0.5263157895</v>
      </c>
      <c r="AN62" s="174">
        <f t="shared" si="91"/>
        <v>0.5</v>
      </c>
      <c r="AO62" s="174"/>
      <c r="AP62" s="174">
        <f t="shared" ref="AP62:BA62" si="92">AP54/AP2/100</f>
        <v>0.4492753623</v>
      </c>
      <c r="AQ62" s="174">
        <f t="shared" si="92"/>
        <v>0.4121621622</v>
      </c>
      <c r="AR62" s="174">
        <f t="shared" si="92"/>
        <v>0.4276315789</v>
      </c>
      <c r="AS62" s="174">
        <f t="shared" si="92"/>
        <v>0.2</v>
      </c>
      <c r="AT62" s="174" t="str">
        <f t="shared" si="92"/>
        <v>#VALUE!</v>
      </c>
      <c r="AU62" s="174">
        <f t="shared" si="92"/>
        <v>0.09210526316</v>
      </c>
      <c r="AV62" s="174">
        <f t="shared" si="92"/>
        <v>0.07368421053</v>
      </c>
      <c r="AW62" s="174">
        <f t="shared" si="92"/>
        <v>0.07692307692</v>
      </c>
      <c r="AX62" s="174">
        <f t="shared" si="92"/>
        <v>0.125</v>
      </c>
      <c r="AY62" s="174">
        <f t="shared" si="92"/>
        <v>0.2962962963</v>
      </c>
      <c r="AZ62" s="174">
        <f t="shared" si="92"/>
        <v>0.3857142857</v>
      </c>
      <c r="BA62" s="174">
        <f t="shared" si="92"/>
        <v>0.4675324675</v>
      </c>
      <c r="BB62" s="174"/>
      <c r="BC62" s="174" t="str">
        <f t="shared" ref="BC62:BN62" si="93">#REF!/BC2/100</f>
        <v>#REF!</v>
      </c>
      <c r="BD62" s="174" t="str">
        <f t="shared" si="93"/>
        <v>#REF!</v>
      </c>
      <c r="BE62" s="174" t="str">
        <f t="shared" si="93"/>
        <v>#REF!</v>
      </c>
      <c r="BF62" s="174" t="str">
        <f t="shared" si="93"/>
        <v>#REF!</v>
      </c>
      <c r="BG62" s="174" t="str">
        <f t="shared" si="93"/>
        <v>#REF!</v>
      </c>
      <c r="BH62" s="174" t="str">
        <f t="shared" si="93"/>
        <v>#REF!</v>
      </c>
      <c r="BI62" s="174" t="str">
        <f t="shared" si="93"/>
        <v>#REF!</v>
      </c>
      <c r="BJ62" s="174" t="str">
        <f t="shared" si="93"/>
        <v>#REF!</v>
      </c>
      <c r="BK62" s="174" t="str">
        <f t="shared" si="93"/>
        <v>#REF!</v>
      </c>
      <c r="BL62" s="174" t="str">
        <f t="shared" si="93"/>
        <v>#REF!</v>
      </c>
      <c r="BM62" s="174" t="str">
        <f t="shared" si="93"/>
        <v>#REF!</v>
      </c>
      <c r="BN62" s="174" t="str">
        <f t="shared" si="93"/>
        <v>#REF!</v>
      </c>
    </row>
    <row r="63" ht="15.75" customHeight="1">
      <c r="A63" s="111"/>
      <c r="B63" s="111"/>
      <c r="C63" s="111"/>
      <c r="D63" s="111"/>
      <c r="E63" s="49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49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</row>
    <row r="64" ht="15.75" customHeight="1">
      <c r="A64" s="111"/>
      <c r="B64" s="111"/>
      <c r="C64" s="111"/>
      <c r="D64" s="111"/>
      <c r="E64" s="49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49"/>
      <c r="Q64" s="49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</row>
    <row r="65" ht="15.75" customHeight="1">
      <c r="A65" s="111"/>
      <c r="B65" s="111"/>
      <c r="C65" s="49"/>
      <c r="D65" s="111"/>
      <c r="E65" s="49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49"/>
      <c r="Q65" s="49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49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</row>
    <row r="66" ht="15.75" customHeight="1">
      <c r="A66" s="111"/>
      <c r="B66" s="111"/>
      <c r="C66" s="49"/>
      <c r="D66" s="111"/>
      <c r="E66" s="49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49"/>
      <c r="Q66" s="49"/>
      <c r="R66" s="49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</row>
    <row r="67" ht="15.75" customHeight="1">
      <c r="A67" s="111"/>
      <c r="B67" s="111"/>
      <c r="C67" s="49"/>
      <c r="D67" s="111"/>
      <c r="E67" s="49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49"/>
      <c r="Q67" s="49"/>
      <c r="R67" s="49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321">
        <f t="shared" ref="AC67:AN67" si="94">AC58*AC52</f>
        <v>27262</v>
      </c>
      <c r="AD67" s="321">
        <f t="shared" si="94"/>
        <v>19020</v>
      </c>
      <c r="AE67" s="321">
        <f t="shared" si="94"/>
        <v>18386</v>
      </c>
      <c r="AF67" s="321">
        <f t="shared" si="94"/>
        <v>10778</v>
      </c>
      <c r="AG67" s="321">
        <f t="shared" si="94"/>
        <v>9510</v>
      </c>
      <c r="AH67" s="321">
        <f t="shared" si="94"/>
        <v>6974</v>
      </c>
      <c r="AI67" s="321">
        <f t="shared" si="94"/>
        <v>7608</v>
      </c>
      <c r="AJ67" s="321">
        <f t="shared" si="94"/>
        <v>6974</v>
      </c>
      <c r="AK67" s="321">
        <f t="shared" si="94"/>
        <v>7608</v>
      </c>
      <c r="AL67" s="321">
        <f t="shared" si="94"/>
        <v>13948</v>
      </c>
      <c r="AM67" s="321">
        <f t="shared" si="94"/>
        <v>24717</v>
      </c>
      <c r="AN67" s="321">
        <f t="shared" si="94"/>
        <v>31458</v>
      </c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</row>
    <row r="68" ht="15.75" customHeight="1">
      <c r="A68" s="111"/>
      <c r="B68" s="111"/>
      <c r="C68" s="49"/>
      <c r="D68" s="111"/>
      <c r="E68" s="49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49"/>
      <c r="Q68" s="49"/>
      <c r="R68" s="49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49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57">
        <f>SUM(AC67:AN67)</f>
        <v>184243</v>
      </c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</row>
    <row r="69" ht="15.75" customHeight="1">
      <c r="A69" s="111"/>
      <c r="B69" s="111"/>
      <c r="C69" s="49"/>
      <c r="D69" s="111"/>
      <c r="E69" s="49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49"/>
      <c r="Q69" s="49"/>
      <c r="R69" s="49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49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</row>
    <row r="70" ht="15.75" customHeight="1">
      <c r="A70" s="111"/>
      <c r="B70" s="111"/>
      <c r="C70" s="49"/>
      <c r="D70" s="111"/>
      <c r="E70" s="49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49"/>
      <c r="R70" s="49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49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</row>
    <row r="71" ht="15.75" customHeight="1">
      <c r="A71" s="111"/>
      <c r="B71" s="111"/>
      <c r="C71" s="49"/>
      <c r="D71" s="111"/>
      <c r="E71" s="49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49"/>
      <c r="Q71" s="111"/>
      <c r="R71" s="49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49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</row>
    <row r="72" ht="15.75" customHeight="1">
      <c r="A72" s="111"/>
      <c r="B72" s="111"/>
      <c r="C72" s="49"/>
      <c r="D72" s="111"/>
      <c r="E72" s="49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49"/>
      <c r="Q72" s="111"/>
      <c r="R72" s="49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49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</row>
    <row r="73" ht="15.75" customHeight="1">
      <c r="A73" s="111"/>
      <c r="B73" s="111"/>
      <c r="C73" s="49"/>
      <c r="D73" s="111"/>
      <c r="E73" s="49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49"/>
      <c r="Q73" s="111"/>
      <c r="R73" s="49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49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</row>
    <row r="74" ht="15.75" customHeight="1">
      <c r="A74" s="111"/>
      <c r="B74" s="111"/>
      <c r="C74" s="49"/>
      <c r="D74" s="111"/>
      <c r="E74" s="49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49"/>
      <c r="Q74" s="111"/>
      <c r="R74" s="49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49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</row>
    <row r="75" ht="15.75" customHeight="1">
      <c r="A75" s="111"/>
      <c r="B75" s="111"/>
      <c r="C75" s="49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Q75" s="111"/>
      <c r="R75" s="49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49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</row>
    <row r="76" ht="15.75" customHeight="1">
      <c r="A76" s="111"/>
      <c r="B76" s="111"/>
      <c r="C76" s="49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49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  <c r="BN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11"/>
      <c r="BN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N1"/>
    <mergeCell ref="P1:AA1"/>
    <mergeCell ref="AC1:AN1"/>
    <mergeCell ref="AP1:BA1"/>
    <mergeCell ref="BC1:BN1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44"/>
    <col customWidth="1" min="2" max="6" width="11.22"/>
  </cols>
  <sheetData>
    <row r="1">
      <c r="A1" s="100"/>
      <c r="C1" s="322">
        <v>0.68</v>
      </c>
      <c r="D1" s="323">
        <v>0.76</v>
      </c>
      <c r="E1" s="324">
        <v>0.74</v>
      </c>
      <c r="F1" s="323">
        <v>0.85</v>
      </c>
      <c r="G1" s="323">
        <v>0.85</v>
      </c>
      <c r="H1" s="323">
        <v>0.84</v>
      </c>
      <c r="I1" s="324">
        <v>0.94</v>
      </c>
      <c r="J1" s="324">
        <v>0.9</v>
      </c>
      <c r="K1" s="324">
        <v>0.77</v>
      </c>
      <c r="L1" s="324">
        <v>0.79</v>
      </c>
      <c r="M1" s="323">
        <v>0.73</v>
      </c>
      <c r="N1" s="324">
        <v>0.76</v>
      </c>
    </row>
    <row r="2">
      <c r="A2" s="100"/>
      <c r="C2" s="325">
        <v>0.67</v>
      </c>
      <c r="D2" s="326">
        <v>0.78</v>
      </c>
      <c r="E2" s="326">
        <v>0.74</v>
      </c>
      <c r="F2" s="326">
        <v>0.75</v>
      </c>
      <c r="G2" s="326">
        <v>0.8</v>
      </c>
      <c r="H2" s="326">
        <v>0.78</v>
      </c>
      <c r="I2" s="326">
        <v>0.94</v>
      </c>
      <c r="J2" s="326">
        <v>0.9</v>
      </c>
      <c r="K2" s="326">
        <v>0.77</v>
      </c>
      <c r="L2" s="326">
        <v>0.79</v>
      </c>
      <c r="M2" s="326">
        <v>0.74</v>
      </c>
      <c r="N2" s="326">
        <v>0.76</v>
      </c>
    </row>
    <row r="3">
      <c r="A3" s="95" t="s">
        <v>129</v>
      </c>
      <c r="C3" s="96">
        <v>0.62</v>
      </c>
      <c r="D3" s="96">
        <v>0.73</v>
      </c>
      <c r="E3" s="99">
        <v>0.73</v>
      </c>
      <c r="F3" s="99">
        <v>0.92</v>
      </c>
      <c r="G3" s="99">
        <v>0.87</v>
      </c>
      <c r="H3" s="99">
        <v>0.84</v>
      </c>
      <c r="I3" s="99">
        <v>0.93</v>
      </c>
      <c r="J3" s="99">
        <v>0.92</v>
      </c>
      <c r="K3" s="99">
        <v>0.79</v>
      </c>
      <c r="L3" s="99">
        <v>0.75</v>
      </c>
      <c r="M3" s="99">
        <v>0.67</v>
      </c>
      <c r="N3" s="99">
        <v>0.7</v>
      </c>
    </row>
    <row r="4">
      <c r="A4" s="95" t="s">
        <v>286</v>
      </c>
      <c r="C4" s="101">
        <v>1.64</v>
      </c>
      <c r="D4" s="101">
        <v>1.79</v>
      </c>
      <c r="E4" s="103">
        <v>2.07</v>
      </c>
      <c r="F4" s="103">
        <v>3.02</v>
      </c>
      <c r="G4" s="103">
        <v>3.41</v>
      </c>
      <c r="H4" s="103">
        <v>3.47</v>
      </c>
      <c r="I4" s="103">
        <v>2.36</v>
      </c>
      <c r="J4" s="103">
        <v>2.9</v>
      </c>
      <c r="K4" s="103"/>
      <c r="L4" s="103">
        <v>1.9</v>
      </c>
      <c r="M4" s="103"/>
      <c r="N4" s="103"/>
    </row>
    <row r="5">
      <c r="A5" s="95" t="s">
        <v>131</v>
      </c>
      <c r="C5" s="101">
        <v>512.0</v>
      </c>
      <c r="D5" s="101">
        <v>510.0</v>
      </c>
      <c r="E5" s="103">
        <v>472.0</v>
      </c>
      <c r="F5" s="103">
        <v>425.0</v>
      </c>
      <c r="G5" s="103">
        <v>394.0</v>
      </c>
      <c r="H5" s="103">
        <v>348.0</v>
      </c>
      <c r="I5" s="103">
        <v>557.0</v>
      </c>
      <c r="J5" s="103"/>
      <c r="K5" s="103"/>
      <c r="L5" s="103"/>
      <c r="M5" s="103"/>
      <c r="N5" s="103"/>
    </row>
    <row r="6">
      <c r="A6" s="104" t="s">
        <v>287</v>
      </c>
      <c r="C6" s="109"/>
      <c r="D6" s="105"/>
      <c r="E6" s="105"/>
      <c r="F6" s="106"/>
      <c r="G6" s="107"/>
      <c r="H6" s="107"/>
      <c r="I6" s="108"/>
      <c r="J6" s="108"/>
      <c r="K6" s="108"/>
      <c r="L6" s="108"/>
      <c r="M6" s="107"/>
      <c r="N6" s="106"/>
    </row>
    <row r="7">
      <c r="A7" s="111"/>
      <c r="C7" s="114" t="s">
        <v>134</v>
      </c>
      <c r="D7" s="114" t="s">
        <v>135</v>
      </c>
      <c r="E7" s="114" t="s">
        <v>136</v>
      </c>
      <c r="F7" s="114" t="s">
        <v>137</v>
      </c>
      <c r="G7" s="114" t="s">
        <v>138</v>
      </c>
      <c r="H7" s="114" t="s">
        <v>139</v>
      </c>
      <c r="I7" s="114" t="s">
        <v>140</v>
      </c>
      <c r="J7" s="114" t="s">
        <v>141</v>
      </c>
      <c r="K7" s="114" t="s">
        <v>142</v>
      </c>
      <c r="L7" s="114" t="s">
        <v>143</v>
      </c>
      <c r="M7" s="114" t="s">
        <v>144</v>
      </c>
      <c r="N7" s="114" t="s">
        <v>145</v>
      </c>
      <c r="O7" s="91"/>
    </row>
    <row r="8">
      <c r="A8" s="115" t="s">
        <v>146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</row>
    <row r="9">
      <c r="A9" s="126" t="s">
        <v>351</v>
      </c>
      <c r="C9" s="121">
        <v>278007.0</v>
      </c>
      <c r="D9" s="121">
        <v>282863.0</v>
      </c>
      <c r="E9" s="121">
        <v>287993.0</v>
      </c>
      <c r="F9" s="121">
        <v>292749.0</v>
      </c>
      <c r="G9" s="121">
        <v>297355.0</v>
      </c>
      <c r="H9" s="121">
        <v>300728.0</v>
      </c>
      <c r="I9" s="121">
        <v>304984.0</v>
      </c>
      <c r="J9" s="121">
        <v>309552.0</v>
      </c>
      <c r="K9" s="121">
        <v>313291.0</v>
      </c>
      <c r="L9" s="121">
        <v>317677.0</v>
      </c>
      <c r="M9" s="121"/>
      <c r="N9" s="122"/>
      <c r="P9" s="15" t="s">
        <v>352</v>
      </c>
    </row>
    <row r="10">
      <c r="A10" s="126" t="s">
        <v>148</v>
      </c>
      <c r="C10" s="124">
        <v>4986.0</v>
      </c>
      <c r="D10" s="124">
        <f t="shared" ref="D10:N10" si="1">D9-C9</f>
        <v>4856</v>
      </c>
      <c r="E10" s="124">
        <f t="shared" si="1"/>
        <v>5130</v>
      </c>
      <c r="F10" s="124">
        <f t="shared" si="1"/>
        <v>4756</v>
      </c>
      <c r="G10" s="124">
        <f t="shared" si="1"/>
        <v>4606</v>
      </c>
      <c r="H10" s="124">
        <f t="shared" si="1"/>
        <v>3373</v>
      </c>
      <c r="I10" s="124">
        <f t="shared" si="1"/>
        <v>4256</v>
      </c>
      <c r="J10" s="124">
        <f t="shared" si="1"/>
        <v>4568</v>
      </c>
      <c r="K10" s="124">
        <f t="shared" si="1"/>
        <v>3739</v>
      </c>
      <c r="L10" s="124">
        <f t="shared" si="1"/>
        <v>4386</v>
      </c>
      <c r="M10" s="124">
        <f t="shared" si="1"/>
        <v>-317677</v>
      </c>
      <c r="N10" s="124">
        <f t="shared" si="1"/>
        <v>0</v>
      </c>
      <c r="P10" s="15" t="s">
        <v>353</v>
      </c>
    </row>
    <row r="11">
      <c r="A11" s="126" t="s">
        <v>354</v>
      </c>
      <c r="C11" s="130">
        <v>1067.0</v>
      </c>
      <c r="D11" s="130">
        <v>1318.0</v>
      </c>
      <c r="E11" s="124">
        <v>1606.0</v>
      </c>
      <c r="F11" s="124">
        <v>1881.0</v>
      </c>
      <c r="G11" s="124">
        <v>2212.0</v>
      </c>
      <c r="H11" s="124">
        <v>2431.0</v>
      </c>
      <c r="I11" s="124">
        <v>2649.0</v>
      </c>
      <c r="J11" s="124">
        <v>2834.0</v>
      </c>
      <c r="K11" s="124">
        <v>3005.0</v>
      </c>
      <c r="L11" s="124">
        <v>3224.0</v>
      </c>
      <c r="M11" s="124"/>
      <c r="N11" s="124"/>
    </row>
    <row r="12">
      <c r="A12" s="132" t="s">
        <v>355</v>
      </c>
      <c r="C12" s="133">
        <v>634.0</v>
      </c>
      <c r="D12" s="133">
        <v>737.0</v>
      </c>
      <c r="E12" s="128">
        <v>754.0</v>
      </c>
      <c r="F12" s="128">
        <v>878.0</v>
      </c>
      <c r="G12" s="128">
        <v>1169.0</v>
      </c>
      <c r="H12" s="128">
        <v>1342.0</v>
      </c>
      <c r="I12" s="128">
        <v>1504.0</v>
      </c>
      <c r="J12" s="128">
        <v>1634.0</v>
      </c>
      <c r="K12" s="128">
        <v>1749.0</v>
      </c>
      <c r="L12" s="128">
        <v>1873.0</v>
      </c>
      <c r="M12" s="128"/>
      <c r="N12" s="128"/>
    </row>
    <row r="13">
      <c r="A13" s="132" t="s">
        <v>152</v>
      </c>
      <c r="C13" s="133">
        <f>C12-B13</f>
        <v>634</v>
      </c>
      <c r="D13" s="133">
        <f t="shared" ref="D13:L13" si="2">D12-C12</f>
        <v>103</v>
      </c>
      <c r="E13" s="133">
        <f t="shared" si="2"/>
        <v>17</v>
      </c>
      <c r="F13" s="133">
        <f t="shared" si="2"/>
        <v>124</v>
      </c>
      <c r="G13" s="133">
        <f t="shared" si="2"/>
        <v>291</v>
      </c>
      <c r="H13" s="133">
        <f t="shared" si="2"/>
        <v>173</v>
      </c>
      <c r="I13" s="133">
        <f t="shared" si="2"/>
        <v>162</v>
      </c>
      <c r="J13" s="133">
        <f t="shared" si="2"/>
        <v>130</v>
      </c>
      <c r="K13" s="133">
        <f t="shared" si="2"/>
        <v>115</v>
      </c>
      <c r="L13" s="133">
        <f t="shared" si="2"/>
        <v>124</v>
      </c>
      <c r="M13" s="128"/>
      <c r="N13" s="128"/>
    </row>
    <row r="14">
      <c r="A14" s="137" t="s">
        <v>153</v>
      </c>
      <c r="C14" s="138">
        <v>431.0</v>
      </c>
      <c r="D14" s="138">
        <v>576.0</v>
      </c>
      <c r="E14" s="135">
        <v>746.0</v>
      </c>
      <c r="F14" s="135">
        <v>998.0</v>
      </c>
      <c r="G14" s="135">
        <v>1037.0</v>
      </c>
      <c r="H14" s="135">
        <v>1082.0</v>
      </c>
      <c r="I14" s="135">
        <v>1138.0</v>
      </c>
      <c r="J14" s="135">
        <v>1192.0</v>
      </c>
      <c r="K14" s="135">
        <v>1247.0</v>
      </c>
      <c r="L14" s="135">
        <v>1342.0</v>
      </c>
      <c r="M14" s="135"/>
      <c r="N14" s="135"/>
    </row>
    <row r="15">
      <c r="A15" s="137" t="s">
        <v>154</v>
      </c>
      <c r="C15" s="138">
        <f>C14-B15</f>
        <v>431</v>
      </c>
      <c r="D15" s="138">
        <f t="shared" ref="D15:L15" si="3">D14-C14</f>
        <v>145</v>
      </c>
      <c r="E15" s="138">
        <f t="shared" si="3"/>
        <v>170</v>
      </c>
      <c r="F15" s="138">
        <f t="shared" si="3"/>
        <v>252</v>
      </c>
      <c r="G15" s="138">
        <f t="shared" si="3"/>
        <v>39</v>
      </c>
      <c r="H15" s="138">
        <f t="shared" si="3"/>
        <v>45</v>
      </c>
      <c r="I15" s="138">
        <f t="shared" si="3"/>
        <v>56</v>
      </c>
      <c r="J15" s="138">
        <f t="shared" si="3"/>
        <v>54</v>
      </c>
      <c r="K15" s="138">
        <f t="shared" si="3"/>
        <v>55</v>
      </c>
      <c r="L15" s="138">
        <f t="shared" si="3"/>
        <v>95</v>
      </c>
      <c r="M15" s="135"/>
      <c r="N15" s="135"/>
    </row>
    <row r="16">
      <c r="A16" s="327" t="s">
        <v>356</v>
      </c>
      <c r="C16" s="91">
        <v>5185.0</v>
      </c>
      <c r="D16" s="91">
        <v>5107.0</v>
      </c>
      <c r="E16" s="91">
        <v>5418.0</v>
      </c>
      <c r="F16" s="91">
        <v>5031.0</v>
      </c>
      <c r="G16" s="91">
        <v>4937.0</v>
      </c>
      <c r="H16" s="91">
        <v>3592.0</v>
      </c>
      <c r="I16" s="91">
        <v>4474.0</v>
      </c>
      <c r="J16" s="91">
        <v>4753.0</v>
      </c>
      <c r="K16" s="91">
        <v>3910.0</v>
      </c>
      <c r="L16" s="91">
        <v>4605.0</v>
      </c>
      <c r="M16" s="91">
        <v>4529.0</v>
      </c>
      <c r="N16" s="91">
        <v>5328.0</v>
      </c>
    </row>
    <row r="17">
      <c r="A17" s="126" t="s">
        <v>156</v>
      </c>
      <c r="C17" s="263">
        <v>5250.0</v>
      </c>
      <c r="D17" s="263">
        <v>5200.0</v>
      </c>
      <c r="E17" s="263">
        <v>5500.0</v>
      </c>
      <c r="F17" s="263">
        <v>5300.0</v>
      </c>
      <c r="G17" s="263">
        <v>5100.0</v>
      </c>
      <c r="H17" s="263">
        <v>3700.0</v>
      </c>
      <c r="I17" s="263">
        <v>4480.0</v>
      </c>
      <c r="J17" s="263">
        <v>4750.0</v>
      </c>
      <c r="K17" s="263">
        <v>3900.0</v>
      </c>
      <c r="L17" s="263">
        <v>4700.0</v>
      </c>
      <c r="M17" s="263">
        <v>4750.0</v>
      </c>
      <c r="N17" s="263">
        <v>5400.0</v>
      </c>
    </row>
    <row r="18">
      <c r="A18" s="126" t="s">
        <v>157</v>
      </c>
      <c r="C18" s="140">
        <v>6.1</v>
      </c>
      <c r="D18" s="140">
        <v>6.1</v>
      </c>
      <c r="E18" s="140">
        <v>6.1</v>
      </c>
      <c r="F18" s="140">
        <v>6.1</v>
      </c>
      <c r="G18" s="140">
        <v>6.1</v>
      </c>
      <c r="H18" s="140">
        <v>6.1</v>
      </c>
      <c r="I18" s="140">
        <v>6.1</v>
      </c>
      <c r="J18" s="140">
        <v>6.1</v>
      </c>
      <c r="K18" s="140">
        <v>6.1</v>
      </c>
      <c r="L18" s="140">
        <v>6.1</v>
      </c>
      <c r="M18" s="140">
        <v>6.1</v>
      </c>
      <c r="N18" s="140">
        <v>6.1</v>
      </c>
    </row>
    <row r="19">
      <c r="A19" s="114" t="s">
        <v>158</v>
      </c>
      <c r="C19" s="168">
        <f t="shared" ref="C19:N19" si="4">C17*C18</f>
        <v>32025</v>
      </c>
      <c r="D19" s="168">
        <f t="shared" si="4"/>
        <v>31720</v>
      </c>
      <c r="E19" s="168">
        <f t="shared" si="4"/>
        <v>33550</v>
      </c>
      <c r="F19" s="168">
        <f t="shared" si="4"/>
        <v>32330</v>
      </c>
      <c r="G19" s="168">
        <f t="shared" si="4"/>
        <v>31110</v>
      </c>
      <c r="H19" s="168">
        <f t="shared" si="4"/>
        <v>22570</v>
      </c>
      <c r="I19" s="168">
        <f t="shared" si="4"/>
        <v>27328</v>
      </c>
      <c r="J19" s="168">
        <f t="shared" si="4"/>
        <v>28975</v>
      </c>
      <c r="K19" s="168">
        <f t="shared" si="4"/>
        <v>23790</v>
      </c>
      <c r="L19" s="168">
        <f t="shared" si="4"/>
        <v>28670</v>
      </c>
      <c r="M19" s="168">
        <f t="shared" si="4"/>
        <v>28975</v>
      </c>
      <c r="N19" s="168">
        <f t="shared" si="4"/>
        <v>32940</v>
      </c>
    </row>
    <row r="20" ht="15.75" customHeight="1">
      <c r="A20" s="126" t="s">
        <v>159</v>
      </c>
    </row>
    <row r="21" ht="15.75" customHeight="1">
      <c r="A21" s="111"/>
      <c r="C21" s="328">
        <f t="shared" ref="C21:N21" si="5">C19/25</f>
        <v>1281</v>
      </c>
      <c r="D21" s="328">
        <f t="shared" si="5"/>
        <v>1268.8</v>
      </c>
      <c r="E21" s="328">
        <f t="shared" si="5"/>
        <v>1342</v>
      </c>
      <c r="F21" s="328">
        <f t="shared" si="5"/>
        <v>1293.2</v>
      </c>
      <c r="G21" s="328">
        <f t="shared" si="5"/>
        <v>1244.4</v>
      </c>
      <c r="H21" s="328">
        <f t="shared" si="5"/>
        <v>902.8</v>
      </c>
      <c r="I21" s="328">
        <f t="shared" si="5"/>
        <v>1093.12</v>
      </c>
      <c r="J21" s="328">
        <f t="shared" si="5"/>
        <v>1159</v>
      </c>
      <c r="K21" s="328">
        <f t="shared" si="5"/>
        <v>951.6</v>
      </c>
      <c r="L21" s="328">
        <f t="shared" si="5"/>
        <v>1146.8</v>
      </c>
      <c r="M21" s="328">
        <f t="shared" si="5"/>
        <v>1159</v>
      </c>
      <c r="N21" s="328">
        <f t="shared" si="5"/>
        <v>1317.6</v>
      </c>
    </row>
    <row r="22" ht="15.75" customHeight="1">
      <c r="A22" s="115" t="s">
        <v>161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</row>
    <row r="23" ht="15.75" customHeight="1">
      <c r="A23" s="126" t="s">
        <v>162</v>
      </c>
      <c r="C23" s="121">
        <v>20050.0</v>
      </c>
      <c r="D23" s="121">
        <v>20159.0</v>
      </c>
      <c r="E23" s="152">
        <v>20275.0</v>
      </c>
      <c r="F23" s="152">
        <v>20381.0</v>
      </c>
      <c r="G23" s="152">
        <v>20541.0</v>
      </c>
      <c r="H23" s="152">
        <v>20608.0</v>
      </c>
      <c r="I23" s="152">
        <v>20707.0</v>
      </c>
      <c r="J23" s="152">
        <v>20805.0</v>
      </c>
      <c r="K23" s="152">
        <v>20875.0</v>
      </c>
      <c r="L23" s="153">
        <v>20942.0</v>
      </c>
      <c r="M23" s="152"/>
      <c r="N23" s="152"/>
    </row>
    <row r="24" ht="15.75" customHeight="1">
      <c r="A24" s="126" t="s">
        <v>148</v>
      </c>
      <c r="C24" s="263">
        <v>85.0</v>
      </c>
      <c r="D24" s="263">
        <v>92.0</v>
      </c>
      <c r="E24" s="263">
        <v>93.0</v>
      </c>
      <c r="F24" s="263">
        <v>85.0</v>
      </c>
      <c r="G24" s="263">
        <v>90.0</v>
      </c>
      <c r="H24" s="329">
        <v>70.0</v>
      </c>
      <c r="I24" s="329">
        <v>100.0</v>
      </c>
      <c r="J24" s="329">
        <f t="shared" ref="J24:K24" si="6">J23-I23</f>
        <v>98</v>
      </c>
      <c r="K24" s="329">
        <f t="shared" si="6"/>
        <v>70</v>
      </c>
      <c r="L24" s="329">
        <v>92.0</v>
      </c>
      <c r="M24" s="263">
        <v>70.0</v>
      </c>
      <c r="N24" s="263">
        <v>96.0</v>
      </c>
      <c r="P24" s="15" t="s">
        <v>357</v>
      </c>
    </row>
    <row r="25" ht="15.75" customHeight="1">
      <c r="A25" s="126" t="s">
        <v>157</v>
      </c>
      <c r="C25" s="158">
        <v>89.0</v>
      </c>
      <c r="D25" s="158">
        <v>89.0</v>
      </c>
      <c r="E25" s="158">
        <v>89.0</v>
      </c>
      <c r="F25" s="158">
        <v>89.0</v>
      </c>
      <c r="G25" s="158">
        <v>89.0</v>
      </c>
      <c r="H25" s="158">
        <v>89.0</v>
      </c>
      <c r="I25" s="158">
        <v>89.0</v>
      </c>
      <c r="J25" s="158">
        <v>89.0</v>
      </c>
      <c r="K25" s="158">
        <v>89.0</v>
      </c>
      <c r="L25" s="158">
        <v>89.0</v>
      </c>
      <c r="M25" s="158">
        <v>89.0</v>
      </c>
      <c r="N25" s="158">
        <v>89.0</v>
      </c>
    </row>
    <row r="26" ht="15.75" customHeight="1">
      <c r="A26" s="126" t="s">
        <v>163</v>
      </c>
      <c r="C26" s="158">
        <v>830.0</v>
      </c>
      <c r="D26" s="158">
        <v>830.0</v>
      </c>
      <c r="E26" s="158">
        <v>830.0</v>
      </c>
      <c r="F26" s="158">
        <v>830.0</v>
      </c>
      <c r="G26" s="158">
        <v>830.0</v>
      </c>
      <c r="H26" s="158">
        <v>830.0</v>
      </c>
      <c r="I26" s="158">
        <v>830.0</v>
      </c>
      <c r="J26" s="158">
        <v>830.0</v>
      </c>
      <c r="K26" s="158">
        <v>830.0</v>
      </c>
      <c r="L26" s="158">
        <v>830.0</v>
      </c>
      <c r="M26" s="158">
        <v>830.0</v>
      </c>
      <c r="N26" s="158">
        <v>830.0</v>
      </c>
    </row>
    <row r="27" ht="15.75" customHeight="1">
      <c r="A27" s="126" t="s">
        <v>158</v>
      </c>
      <c r="C27" s="330">
        <f t="shared" ref="C27:N27" si="7">(C24*C25)+C26</f>
        <v>8395</v>
      </c>
      <c r="D27" s="330">
        <f t="shared" si="7"/>
        <v>9018</v>
      </c>
      <c r="E27" s="330">
        <f t="shared" si="7"/>
        <v>9107</v>
      </c>
      <c r="F27" s="330">
        <f t="shared" si="7"/>
        <v>8395</v>
      </c>
      <c r="G27" s="330">
        <f t="shared" si="7"/>
        <v>8840</v>
      </c>
      <c r="H27" s="330">
        <f t="shared" si="7"/>
        <v>7060</v>
      </c>
      <c r="I27" s="330">
        <f t="shared" si="7"/>
        <v>9730</v>
      </c>
      <c r="J27" s="330">
        <f t="shared" si="7"/>
        <v>9552</v>
      </c>
      <c r="K27" s="330">
        <f t="shared" si="7"/>
        <v>7060</v>
      </c>
      <c r="L27" s="330">
        <f t="shared" si="7"/>
        <v>9018</v>
      </c>
      <c r="M27" s="330">
        <f t="shared" si="7"/>
        <v>7060</v>
      </c>
      <c r="N27" s="330">
        <f t="shared" si="7"/>
        <v>9374</v>
      </c>
    </row>
    <row r="28" ht="15.75" customHeight="1">
      <c r="A28" s="126" t="s">
        <v>159</v>
      </c>
      <c r="C28" s="331">
        <f t="shared" ref="C28:N28" si="8">C27/25</f>
        <v>335.8</v>
      </c>
      <c r="D28" s="331">
        <f t="shared" si="8"/>
        <v>360.72</v>
      </c>
      <c r="E28" s="331">
        <f t="shared" si="8"/>
        <v>364.28</v>
      </c>
      <c r="F28" s="331">
        <f t="shared" si="8"/>
        <v>335.8</v>
      </c>
      <c r="G28" s="331">
        <f t="shared" si="8"/>
        <v>353.6</v>
      </c>
      <c r="H28" s="331">
        <f t="shared" si="8"/>
        <v>282.4</v>
      </c>
      <c r="I28" s="331">
        <f t="shared" si="8"/>
        <v>389.2</v>
      </c>
      <c r="J28" s="331">
        <f t="shared" si="8"/>
        <v>382.08</v>
      </c>
      <c r="K28" s="331">
        <f t="shared" si="8"/>
        <v>282.4</v>
      </c>
      <c r="L28" s="331">
        <f t="shared" si="8"/>
        <v>360.72</v>
      </c>
      <c r="M28" s="331">
        <f t="shared" si="8"/>
        <v>282.4</v>
      </c>
      <c r="N28" s="331">
        <f t="shared" si="8"/>
        <v>374.96</v>
      </c>
    </row>
    <row r="29" ht="15.75" customHeight="1">
      <c r="A29" s="11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</row>
    <row r="30" ht="15.75" customHeight="1">
      <c r="A30" s="115" t="s">
        <v>358</v>
      </c>
      <c r="C30" s="123"/>
      <c r="D30" s="123"/>
      <c r="E30" s="148"/>
      <c r="F30" s="148"/>
      <c r="G30" s="148"/>
      <c r="H30" s="148"/>
      <c r="I30" s="148"/>
      <c r="J30" s="148"/>
      <c r="K30" s="91"/>
      <c r="L30" s="91"/>
      <c r="M30" s="91"/>
      <c r="N30" s="91"/>
    </row>
    <row r="31" ht="15.75" customHeight="1">
      <c r="A31" s="126" t="s">
        <v>162</v>
      </c>
      <c r="C31" s="121">
        <v>1184.0</v>
      </c>
      <c r="D31" s="121">
        <v>1251.0</v>
      </c>
      <c r="E31" s="152">
        <v>1301.0</v>
      </c>
      <c r="F31" s="152">
        <v>1330.0</v>
      </c>
      <c r="G31" s="152">
        <v>1352.0</v>
      </c>
      <c r="H31" s="152">
        <v>1364.0</v>
      </c>
      <c r="I31" s="152">
        <v>1377.0</v>
      </c>
      <c r="J31" s="152">
        <v>1391.0</v>
      </c>
      <c r="K31" s="152">
        <v>1407.0</v>
      </c>
      <c r="L31" s="152">
        <v>1440.0</v>
      </c>
      <c r="M31" s="164"/>
      <c r="N31" s="164"/>
    </row>
    <row r="32" ht="15.75" customHeight="1">
      <c r="A32" s="126" t="s">
        <v>148</v>
      </c>
      <c r="C32" s="124">
        <v>62.0</v>
      </c>
      <c r="D32" s="127">
        <f>D31-C31</f>
        <v>67</v>
      </c>
      <c r="E32" s="124">
        <v>49.0</v>
      </c>
      <c r="F32" s="124">
        <v>30.0</v>
      </c>
      <c r="G32" s="124">
        <v>21.0</v>
      </c>
      <c r="H32" s="124">
        <v>13.0</v>
      </c>
      <c r="I32" s="124">
        <f t="shared" ref="I32:L32" si="9">I31-H31</f>
        <v>13</v>
      </c>
      <c r="J32" s="124">
        <f t="shared" si="9"/>
        <v>14</v>
      </c>
      <c r="K32" s="124">
        <f t="shared" si="9"/>
        <v>16</v>
      </c>
      <c r="L32" s="124">
        <f t="shared" si="9"/>
        <v>33</v>
      </c>
      <c r="M32" s="124">
        <v>45.0</v>
      </c>
      <c r="N32" s="124">
        <v>60.0</v>
      </c>
      <c r="P32" s="15" t="s">
        <v>359</v>
      </c>
    </row>
    <row r="33" ht="15.75" customHeight="1">
      <c r="A33" s="126" t="s">
        <v>157</v>
      </c>
      <c r="C33" s="154">
        <v>887.0</v>
      </c>
      <c r="D33" s="154">
        <v>887.0</v>
      </c>
      <c r="E33" s="157">
        <v>749.0</v>
      </c>
      <c r="F33" s="157">
        <v>887.0</v>
      </c>
      <c r="G33" s="157">
        <v>887.0</v>
      </c>
      <c r="H33" s="157">
        <v>887.0</v>
      </c>
      <c r="I33" s="157">
        <v>887.0</v>
      </c>
      <c r="J33" s="157">
        <v>887.0</v>
      </c>
      <c r="K33" s="157">
        <v>887.0</v>
      </c>
      <c r="L33" s="157">
        <v>887.0</v>
      </c>
      <c r="M33" s="157">
        <v>887.0</v>
      </c>
      <c r="N33" s="157">
        <v>887.0</v>
      </c>
    </row>
    <row r="34" ht="15.75" customHeight="1">
      <c r="A34" s="114" t="s">
        <v>158</v>
      </c>
      <c r="C34" s="146">
        <f t="shared" ref="C34:N34" si="10">C32*C33</f>
        <v>54994</v>
      </c>
      <c r="D34" s="146">
        <f t="shared" si="10"/>
        <v>59429</v>
      </c>
      <c r="E34" s="146">
        <f t="shared" si="10"/>
        <v>36701</v>
      </c>
      <c r="F34" s="146">
        <f t="shared" si="10"/>
        <v>26610</v>
      </c>
      <c r="G34" s="146">
        <f t="shared" si="10"/>
        <v>18627</v>
      </c>
      <c r="H34" s="146">
        <f t="shared" si="10"/>
        <v>11531</v>
      </c>
      <c r="I34" s="146">
        <f t="shared" si="10"/>
        <v>11531</v>
      </c>
      <c r="J34" s="146">
        <f t="shared" si="10"/>
        <v>12418</v>
      </c>
      <c r="K34" s="146">
        <f t="shared" si="10"/>
        <v>14192</v>
      </c>
      <c r="L34" s="146">
        <f t="shared" si="10"/>
        <v>29271</v>
      </c>
      <c r="M34" s="146">
        <f t="shared" si="10"/>
        <v>39915</v>
      </c>
      <c r="N34" s="146">
        <f t="shared" si="10"/>
        <v>53220</v>
      </c>
    </row>
    <row r="35" ht="15.75" customHeight="1">
      <c r="A35" s="126" t="s">
        <v>159</v>
      </c>
      <c r="C35" s="331">
        <f t="shared" ref="C35:N35" si="11">C34/25</f>
        <v>2199.76</v>
      </c>
      <c r="D35" s="331">
        <f t="shared" si="11"/>
        <v>2377.16</v>
      </c>
      <c r="E35" s="331">
        <f t="shared" si="11"/>
        <v>1468.04</v>
      </c>
      <c r="F35" s="331">
        <f t="shared" si="11"/>
        <v>1064.4</v>
      </c>
      <c r="G35" s="331">
        <f t="shared" si="11"/>
        <v>745.08</v>
      </c>
      <c r="H35" s="331">
        <f t="shared" si="11"/>
        <v>461.24</v>
      </c>
      <c r="I35" s="331">
        <f t="shared" si="11"/>
        <v>461.24</v>
      </c>
      <c r="J35" s="331">
        <f t="shared" si="11"/>
        <v>496.72</v>
      </c>
      <c r="K35" s="331">
        <f t="shared" si="11"/>
        <v>567.68</v>
      </c>
      <c r="L35" s="331">
        <f t="shared" si="11"/>
        <v>1170.84</v>
      </c>
      <c r="M35" s="331">
        <f t="shared" si="11"/>
        <v>1596.6</v>
      </c>
      <c r="N35" s="331">
        <f t="shared" si="11"/>
        <v>2128.8</v>
      </c>
    </row>
    <row r="36" ht="15.75" customHeight="1">
      <c r="A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</row>
    <row r="37" ht="15.75" customHeight="1">
      <c r="A37" s="170" t="s">
        <v>167</v>
      </c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</row>
    <row r="38" ht="15.75" customHeight="1">
      <c r="A38" s="173" t="s">
        <v>146</v>
      </c>
      <c r="C38" s="174">
        <f t="shared" ref="C38:N38" si="12">C10/C3/100</f>
        <v>80.41935484</v>
      </c>
      <c r="D38" s="174">
        <f t="shared" si="12"/>
        <v>66.52054795</v>
      </c>
      <c r="E38" s="174">
        <f t="shared" si="12"/>
        <v>70.2739726</v>
      </c>
      <c r="F38" s="174">
        <f t="shared" si="12"/>
        <v>51.69565217</v>
      </c>
      <c r="G38" s="174">
        <f t="shared" si="12"/>
        <v>52.94252874</v>
      </c>
      <c r="H38" s="174">
        <f t="shared" si="12"/>
        <v>40.1547619</v>
      </c>
      <c r="I38" s="174">
        <f t="shared" si="12"/>
        <v>45.76344086</v>
      </c>
      <c r="J38" s="174">
        <f t="shared" si="12"/>
        <v>49.65217391</v>
      </c>
      <c r="K38" s="174">
        <f t="shared" si="12"/>
        <v>47.32911392</v>
      </c>
      <c r="L38" s="174">
        <f t="shared" si="12"/>
        <v>58.48</v>
      </c>
      <c r="M38" s="174">
        <f t="shared" si="12"/>
        <v>-4741.447761</v>
      </c>
      <c r="N38" s="174">
        <f t="shared" si="12"/>
        <v>0</v>
      </c>
    </row>
    <row r="39" ht="15.75" customHeight="1">
      <c r="A39" s="173" t="s">
        <v>168</v>
      </c>
      <c r="C39" s="174">
        <f t="shared" ref="C39:N39" si="13">C24/C3/100</f>
        <v>1.370967742</v>
      </c>
      <c r="D39" s="174">
        <f t="shared" si="13"/>
        <v>1.260273973</v>
      </c>
      <c r="E39" s="174">
        <f t="shared" si="13"/>
        <v>1.273972603</v>
      </c>
      <c r="F39" s="174">
        <f t="shared" si="13"/>
        <v>0.9239130435</v>
      </c>
      <c r="G39" s="174">
        <f t="shared" si="13"/>
        <v>1.034482759</v>
      </c>
      <c r="H39" s="174">
        <f t="shared" si="13"/>
        <v>0.8333333333</v>
      </c>
      <c r="I39" s="174">
        <f t="shared" si="13"/>
        <v>1.075268817</v>
      </c>
      <c r="J39" s="174">
        <f t="shared" si="13"/>
        <v>1.065217391</v>
      </c>
      <c r="K39" s="174">
        <f t="shared" si="13"/>
        <v>0.8860759494</v>
      </c>
      <c r="L39" s="174">
        <f t="shared" si="13"/>
        <v>1.226666667</v>
      </c>
      <c r="M39" s="174">
        <f t="shared" si="13"/>
        <v>1.044776119</v>
      </c>
      <c r="N39" s="174">
        <f t="shared" si="13"/>
        <v>1.371428571</v>
      </c>
    </row>
    <row r="40" ht="15.75" customHeight="1">
      <c r="A40" s="173" t="s">
        <v>169</v>
      </c>
      <c r="C40" s="174">
        <f t="shared" ref="C40:N40" si="14">C32/C3/100</f>
        <v>1</v>
      </c>
      <c r="D40" s="174">
        <f t="shared" si="14"/>
        <v>0.9178082192</v>
      </c>
      <c r="E40" s="174">
        <f t="shared" si="14"/>
        <v>0.6712328767</v>
      </c>
      <c r="F40" s="174">
        <f t="shared" si="14"/>
        <v>0.3260869565</v>
      </c>
      <c r="G40" s="174">
        <f t="shared" si="14"/>
        <v>0.2413793103</v>
      </c>
      <c r="H40" s="174">
        <f t="shared" si="14"/>
        <v>0.1547619048</v>
      </c>
      <c r="I40" s="174">
        <f t="shared" si="14"/>
        <v>0.1397849462</v>
      </c>
      <c r="J40" s="174">
        <f t="shared" si="14"/>
        <v>0.152173913</v>
      </c>
      <c r="K40" s="174">
        <f t="shared" si="14"/>
        <v>0.2025316456</v>
      </c>
      <c r="L40" s="174">
        <f t="shared" si="14"/>
        <v>0.44</v>
      </c>
      <c r="M40" s="174">
        <f t="shared" si="14"/>
        <v>0.671641791</v>
      </c>
      <c r="N40" s="174">
        <f t="shared" si="14"/>
        <v>0.8571428571</v>
      </c>
    </row>
    <row r="41" ht="15.75" customHeight="1"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</row>
    <row r="42" ht="15.75" customHeight="1"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</row>
    <row r="43" ht="15.75" customHeight="1"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</row>
    <row r="44" ht="15.75" customHeight="1"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</row>
    <row r="45" ht="15.75" customHeight="1"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</row>
    <row r="46" ht="15.75" customHeight="1"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</row>
    <row r="47" ht="15.75" customHeight="1"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</row>
    <row r="48" ht="15.75" customHeight="1"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</row>
    <row r="49" ht="15.75" customHeight="1"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</row>
    <row r="50" ht="15.75" customHeight="1"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</row>
    <row r="51" ht="15.75" customHeight="1"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</row>
    <row r="52" ht="15.75" customHeight="1"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</row>
    <row r="53" ht="15.75" customHeight="1"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</row>
    <row r="54" ht="15.75" customHeight="1"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</row>
    <row r="55" ht="15.75" customHeight="1"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</row>
    <row r="56" ht="15.75" customHeight="1"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</row>
    <row r="57" ht="15.75" customHeight="1"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</row>
    <row r="58" ht="15.75" customHeight="1"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</row>
    <row r="59" ht="15.75" customHeight="1"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</row>
    <row r="60" ht="15.75" customHeight="1"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</row>
    <row r="61" ht="15.75" customHeight="1"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</row>
    <row r="62" ht="15.75" customHeight="1"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</row>
    <row r="63" ht="15.75" customHeight="1"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</row>
    <row r="64" ht="15.75" customHeight="1"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</row>
    <row r="65" ht="15.75" customHeight="1"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</row>
    <row r="66" ht="15.75" customHeight="1"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</row>
    <row r="67" ht="15.75" customHeight="1"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</row>
    <row r="68" ht="15.75" customHeight="1"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</row>
    <row r="69" ht="15.75" customHeight="1"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</row>
    <row r="70" ht="15.75" customHeight="1"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</row>
    <row r="71" ht="15.75" customHeight="1"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</row>
    <row r="72" ht="15.75" customHeight="1"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</row>
    <row r="73" ht="15.75" customHeight="1"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</row>
    <row r="74" ht="15.75" customHeight="1"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</row>
    <row r="75" ht="15.75" customHeight="1"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</row>
    <row r="76" ht="15.75" customHeight="1"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</row>
    <row r="77" ht="15.75" customHeight="1"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</row>
    <row r="78" ht="15.75" customHeight="1"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</row>
    <row r="79" ht="15.75" customHeight="1"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</row>
    <row r="80" ht="15.75" customHeight="1"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</row>
    <row r="81" ht="15.75" customHeight="1"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</row>
    <row r="82" ht="15.75" customHeight="1"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</row>
    <row r="83" ht="15.75" customHeight="1"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</row>
    <row r="84" ht="15.75" customHeight="1"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</row>
    <row r="85" ht="15.75" customHeight="1"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</row>
    <row r="86" ht="15.75" customHeight="1"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</row>
    <row r="87" ht="15.75" customHeight="1"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</row>
    <row r="88" ht="15.75" customHeight="1"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</row>
    <row r="89" ht="15.75" customHeight="1"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</row>
    <row r="90" ht="15.75" customHeight="1"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</row>
    <row r="91" ht="15.75" customHeight="1"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</row>
    <row r="92" ht="15.75" customHeight="1"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</row>
    <row r="93" ht="15.75" customHeight="1"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</row>
    <row r="94" ht="15.75" customHeight="1"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</row>
    <row r="95" ht="15.75" customHeight="1"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</row>
    <row r="96" ht="15.75" customHeight="1"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</row>
    <row r="97" ht="15.75" customHeight="1"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</row>
    <row r="98" ht="15.75" customHeight="1"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</row>
    <row r="99" ht="15.75" customHeight="1"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</row>
    <row r="100" ht="15.75" customHeight="1"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</row>
    <row r="101" ht="15.75" customHeight="1"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</row>
    <row r="102" ht="15.75" customHeight="1"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</row>
    <row r="103" ht="15.75" customHeight="1"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</row>
    <row r="104" ht="15.75" customHeight="1"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</row>
    <row r="105" ht="15.75" customHeight="1"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</row>
    <row r="106" ht="15.75" customHeight="1"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</row>
    <row r="107" ht="15.75" customHeight="1"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</row>
    <row r="108" ht="15.75" customHeight="1"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</row>
    <row r="109" ht="15.75" customHeight="1"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</row>
    <row r="110" ht="15.75" customHeight="1"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</row>
    <row r="111" ht="15.75" customHeight="1"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</row>
    <row r="112" ht="15.75" customHeight="1"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</row>
    <row r="113" ht="15.75" customHeight="1"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</row>
    <row r="114" ht="15.75" customHeight="1"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</row>
    <row r="115" ht="15.75" customHeight="1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</row>
    <row r="116" ht="15.75" customHeight="1"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</row>
    <row r="117" ht="15.75" customHeight="1"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</row>
    <row r="118" ht="15.75" customHeight="1"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</row>
    <row r="119" ht="15.75" customHeight="1"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</row>
    <row r="120" ht="15.75" customHeight="1"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</row>
    <row r="121" ht="15.75" customHeight="1"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</row>
    <row r="122" ht="15.75" customHeight="1"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</row>
    <row r="123" ht="15.75" customHeight="1"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</row>
    <row r="124" ht="15.75" customHeight="1"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</row>
    <row r="125" ht="15.75" customHeight="1"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</row>
    <row r="126" ht="15.75" customHeight="1"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</row>
    <row r="127" ht="15.75" customHeight="1"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</row>
    <row r="128" ht="15.75" customHeight="1"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</row>
    <row r="129" ht="15.75" customHeight="1"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</row>
    <row r="130" ht="15.75" customHeight="1"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</row>
    <row r="131" ht="15.75" customHeight="1"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</row>
    <row r="132" ht="15.75" customHeight="1"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</row>
    <row r="133" ht="15.75" customHeight="1"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</row>
    <row r="134" ht="15.75" customHeight="1"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</row>
    <row r="135" ht="15.75" customHeight="1"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</row>
    <row r="136" ht="15.75" customHeight="1"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</row>
    <row r="137" ht="15.75" customHeight="1"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</row>
    <row r="138" ht="15.75" customHeight="1"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</row>
    <row r="139" ht="15.75" customHeight="1"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</row>
    <row r="140" ht="15.75" customHeight="1"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</row>
    <row r="141" ht="15.75" customHeight="1"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</row>
    <row r="142" ht="15.75" customHeight="1"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</row>
    <row r="143" ht="15.75" customHeight="1"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</row>
    <row r="144" ht="15.75" customHeight="1"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</row>
    <row r="145" ht="15.75" customHeight="1"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</row>
    <row r="146" ht="15.75" customHeight="1"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</row>
    <row r="147" ht="15.75" customHeight="1"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</row>
    <row r="148" ht="15.75" customHeight="1"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</row>
    <row r="149" ht="15.75" customHeight="1"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</row>
    <row r="150" ht="15.75" customHeight="1"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</row>
    <row r="151" ht="15.75" customHeight="1"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</row>
    <row r="152" ht="15.75" customHeight="1"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</row>
    <row r="153" ht="15.75" customHeight="1"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</row>
    <row r="154" ht="15.75" customHeight="1"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</row>
    <row r="155" ht="15.75" customHeight="1"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</row>
    <row r="156" ht="15.75" customHeight="1"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</row>
    <row r="157" ht="15.75" customHeight="1"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</row>
    <row r="158" ht="15.75" customHeight="1"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</row>
    <row r="159" ht="15.75" customHeight="1"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</row>
    <row r="160" ht="15.75" customHeight="1"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</row>
    <row r="161" ht="15.75" customHeight="1"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</row>
    <row r="162" ht="15.75" customHeight="1"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</row>
    <row r="163" ht="15.75" customHeight="1"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</row>
    <row r="164" ht="15.75" customHeight="1"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</row>
    <row r="165" ht="15.75" customHeight="1"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</row>
    <row r="166" ht="15.75" customHeight="1"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</row>
    <row r="167" ht="15.75" customHeight="1"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</row>
    <row r="168" ht="15.75" customHeight="1"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</row>
    <row r="169" ht="15.75" customHeight="1"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</row>
    <row r="170" ht="15.75" customHeight="1"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</row>
    <row r="171" ht="15.75" customHeight="1"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</row>
    <row r="172" ht="15.75" customHeight="1"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</row>
    <row r="173" ht="15.75" customHeight="1"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</row>
    <row r="174" ht="15.75" customHeight="1"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</row>
    <row r="175" ht="15.75" customHeight="1"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</row>
    <row r="176" ht="15.75" customHeight="1"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</row>
    <row r="177" ht="15.75" customHeight="1"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</row>
    <row r="178" ht="15.75" customHeight="1"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</row>
    <row r="179" ht="15.75" customHeight="1"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</row>
    <row r="180" ht="15.75" customHeight="1"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</row>
    <row r="181" ht="15.75" customHeight="1"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</row>
    <row r="182" ht="15.75" customHeight="1"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</row>
    <row r="183" ht="15.75" customHeight="1"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</row>
    <row r="184" ht="15.75" customHeight="1"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</row>
    <row r="185" ht="15.75" customHeight="1"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</row>
    <row r="186" ht="15.75" customHeight="1"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</row>
    <row r="187" ht="15.75" customHeight="1"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</row>
    <row r="188" ht="15.75" customHeight="1"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</row>
    <row r="189" ht="15.75" customHeight="1"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</row>
    <row r="190" ht="15.75" customHeight="1"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</row>
    <row r="191" ht="15.75" customHeight="1"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</row>
    <row r="192" ht="15.75" customHeight="1"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</row>
    <row r="193" ht="15.75" customHeight="1"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</row>
    <row r="194" ht="15.75" customHeight="1"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</row>
    <row r="195" ht="15.75" customHeight="1"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</row>
    <row r="196" ht="15.75" customHeight="1"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</row>
    <row r="197" ht="15.75" customHeight="1"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</row>
    <row r="198" ht="15.75" customHeight="1"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</row>
    <row r="199" ht="15.75" customHeight="1"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</row>
    <row r="200" ht="15.75" customHeight="1"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</row>
    <row r="201" ht="15.75" customHeight="1"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</row>
    <row r="202" ht="15.75" customHeight="1"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</row>
    <row r="203" ht="15.75" customHeight="1"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</row>
    <row r="204" ht="15.75" customHeight="1"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</row>
    <row r="205" ht="15.75" customHeight="1"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</row>
    <row r="206" ht="15.75" customHeight="1"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</row>
    <row r="207" ht="15.75" customHeight="1"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</row>
    <row r="208" ht="15.75" customHeight="1"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</row>
    <row r="209" ht="15.75" customHeight="1"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</row>
    <row r="210" ht="15.75" customHeight="1"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</row>
    <row r="211" ht="15.75" customHeight="1"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</row>
    <row r="212" ht="15.75" customHeight="1"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</row>
    <row r="213" ht="15.75" customHeight="1"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</row>
    <row r="214" ht="15.75" customHeight="1"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</row>
    <row r="215" ht="15.75" customHeight="1"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</row>
    <row r="216" ht="15.75" customHeight="1"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</row>
    <row r="217" ht="15.75" customHeight="1"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</row>
    <row r="218" ht="15.75" customHeight="1"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</row>
    <row r="219" ht="15.75" customHeight="1"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</row>
    <row r="220" ht="15.75" customHeight="1"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</row>
    <row r="221" ht="15.75" customHeight="1"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</row>
    <row r="222" ht="15.75" customHeight="1"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</row>
    <row r="223" ht="15.75" customHeight="1"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</row>
    <row r="224" ht="15.75" customHeight="1"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</row>
    <row r="225" ht="15.75" customHeight="1"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</row>
    <row r="226" ht="15.75" customHeight="1"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</row>
    <row r="227" ht="15.75" customHeight="1"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</row>
    <row r="228" ht="15.75" customHeight="1"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</row>
    <row r="229" ht="15.75" customHeight="1"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</row>
    <row r="230" ht="15.75" customHeight="1"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</row>
    <row r="231" ht="15.75" customHeight="1"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</row>
    <row r="232" ht="15.75" customHeight="1"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</row>
    <row r="233" ht="15.75" customHeight="1"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</row>
    <row r="234" ht="15.75" customHeight="1"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</row>
    <row r="235" ht="15.75" customHeight="1"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</row>
    <row r="236" ht="15.75" customHeight="1"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</row>
    <row r="237" ht="15.75" customHeight="1"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</row>
    <row r="238" ht="15.75" customHeight="1"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</row>
    <row r="239" ht="15.75" customHeight="1"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</row>
    <row r="240" ht="15.75" customHeight="1"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Col="1"/>
  <cols>
    <col customWidth="1" min="1" max="1" width="23.11"/>
    <col customWidth="1" min="2" max="2" width="11.22"/>
    <col customWidth="1" min="3" max="14" width="11.22" outlineLevel="1"/>
    <col customWidth="1" min="15" max="15" width="11.22"/>
    <col customWidth="1" min="16" max="16" width="14.78"/>
  </cols>
  <sheetData>
    <row r="1">
      <c r="A1" s="91"/>
      <c r="C1" s="325">
        <v>0.71</v>
      </c>
      <c r="D1" s="326">
        <v>0.85</v>
      </c>
      <c r="E1" s="326">
        <v>0.77</v>
      </c>
      <c r="F1" s="326">
        <v>0.85</v>
      </c>
      <c r="G1" s="326">
        <v>0.85</v>
      </c>
      <c r="H1" s="326">
        <v>0.77</v>
      </c>
      <c r="I1" s="326">
        <v>0.95</v>
      </c>
      <c r="J1" s="326">
        <v>0.91</v>
      </c>
      <c r="K1" s="326">
        <v>0.79</v>
      </c>
      <c r="L1" s="326">
        <v>0.83</v>
      </c>
      <c r="M1" s="326">
        <v>0.73</v>
      </c>
      <c r="N1" s="326">
        <v>0.74</v>
      </c>
    </row>
    <row r="2">
      <c r="A2" s="95" t="s">
        <v>129</v>
      </c>
      <c r="C2" s="96">
        <v>0.69</v>
      </c>
      <c r="D2" s="96">
        <v>0.74</v>
      </c>
      <c r="E2" s="99">
        <v>0.76</v>
      </c>
      <c r="F2" s="99">
        <v>0.85</v>
      </c>
      <c r="G2" s="99">
        <v>0.84</v>
      </c>
      <c r="H2" s="99">
        <v>0.76</v>
      </c>
      <c r="I2" s="99">
        <v>0.95</v>
      </c>
      <c r="J2" s="99">
        <v>0.91</v>
      </c>
      <c r="K2" s="99">
        <v>0.8</v>
      </c>
      <c r="L2" s="99">
        <v>0.81</v>
      </c>
      <c r="M2" s="332">
        <v>0.74</v>
      </c>
      <c r="N2" s="332">
        <v>0.79</v>
      </c>
      <c r="P2" s="333" t="s">
        <v>360</v>
      </c>
    </row>
    <row r="3">
      <c r="A3" s="95" t="s">
        <v>286</v>
      </c>
      <c r="C3" s="101">
        <v>1.85</v>
      </c>
      <c r="D3" s="101">
        <v>2.02</v>
      </c>
      <c r="E3" s="103">
        <v>1.74</v>
      </c>
      <c r="F3" s="103">
        <v>1.79</v>
      </c>
      <c r="G3" s="103">
        <v>2.39</v>
      </c>
      <c r="H3" s="103">
        <v>1.62</v>
      </c>
      <c r="I3" s="103">
        <v>2.28</v>
      </c>
      <c r="J3" s="103">
        <v>2.08</v>
      </c>
      <c r="K3" s="103">
        <v>2.17</v>
      </c>
      <c r="L3" s="103"/>
      <c r="M3" s="103"/>
      <c r="N3" s="103"/>
    </row>
    <row r="4">
      <c r="A4" s="95" t="s">
        <v>131</v>
      </c>
      <c r="C4" s="101">
        <v>237.0</v>
      </c>
      <c r="D4" s="101">
        <v>200.0</v>
      </c>
      <c r="E4" s="103">
        <v>262.0</v>
      </c>
      <c r="F4" s="103">
        <v>295.0</v>
      </c>
      <c r="G4" s="103">
        <v>276.0</v>
      </c>
      <c r="H4" s="103">
        <v>271.0</v>
      </c>
      <c r="I4" s="103">
        <v>290.0</v>
      </c>
      <c r="J4" s="103"/>
      <c r="K4" s="103"/>
      <c r="L4" s="103"/>
      <c r="M4" s="103"/>
      <c r="N4" s="103"/>
    </row>
    <row r="5">
      <c r="A5" s="104" t="s">
        <v>287</v>
      </c>
      <c r="C5" s="109"/>
      <c r="D5" s="105"/>
      <c r="E5" s="105"/>
      <c r="F5" s="106"/>
      <c r="G5" s="107"/>
      <c r="H5" s="107"/>
      <c r="I5" s="108"/>
      <c r="J5" s="108"/>
      <c r="K5" s="108"/>
      <c r="L5" s="108"/>
      <c r="M5" s="107"/>
      <c r="N5" s="106"/>
    </row>
    <row r="6">
      <c r="A6" s="111"/>
      <c r="C6" s="114" t="s">
        <v>134</v>
      </c>
      <c r="D6" s="114" t="s">
        <v>135</v>
      </c>
      <c r="E6" s="114" t="s">
        <v>136</v>
      </c>
      <c r="F6" s="114" t="s">
        <v>137</v>
      </c>
      <c r="G6" s="114" t="s">
        <v>138</v>
      </c>
      <c r="H6" s="114" t="s">
        <v>139</v>
      </c>
      <c r="I6" s="114" t="s">
        <v>140</v>
      </c>
      <c r="J6" s="114" t="s">
        <v>141</v>
      </c>
      <c r="K6" s="114" t="s">
        <v>142</v>
      </c>
      <c r="L6" s="114" t="s">
        <v>143</v>
      </c>
      <c r="M6" s="114" t="s">
        <v>144</v>
      </c>
      <c r="N6" s="114" t="s">
        <v>145</v>
      </c>
    </row>
    <row r="7">
      <c r="A7" s="246" t="s">
        <v>146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2"/>
      <c r="P7" s="333" t="s">
        <v>361</v>
      </c>
    </row>
    <row r="8" hidden="1">
      <c r="A8" s="334" t="s">
        <v>362</v>
      </c>
      <c r="C8" s="248">
        <v>9021.0</v>
      </c>
      <c r="D8" s="248">
        <v>9303.0</v>
      </c>
      <c r="E8" s="133">
        <v>9620.0</v>
      </c>
      <c r="F8" s="133">
        <v>9913.0</v>
      </c>
      <c r="G8" s="128">
        <v>10218.0</v>
      </c>
      <c r="H8" s="128">
        <v>10439.0</v>
      </c>
      <c r="I8" s="128">
        <v>10829.0</v>
      </c>
      <c r="J8" s="128">
        <v>11168.0</v>
      </c>
      <c r="K8" s="128">
        <v>11439.0</v>
      </c>
      <c r="L8" s="128">
        <v>11740.0</v>
      </c>
      <c r="M8" s="128"/>
      <c r="N8" s="128"/>
    </row>
    <row r="9" hidden="1">
      <c r="A9" s="335" t="s">
        <v>363</v>
      </c>
      <c r="C9" s="250">
        <v>9647.0</v>
      </c>
      <c r="D9" s="250">
        <v>9968.0</v>
      </c>
      <c r="E9" s="138">
        <v>10172.0</v>
      </c>
      <c r="F9" s="138">
        <v>10415.0</v>
      </c>
      <c r="G9" s="135">
        <v>10675.0</v>
      </c>
      <c r="H9" s="135">
        <v>10922.0</v>
      </c>
      <c r="I9" s="135">
        <v>11298.0</v>
      </c>
      <c r="J9" s="135">
        <v>11731.0</v>
      </c>
      <c r="K9" s="135">
        <v>12020.0</v>
      </c>
      <c r="L9" s="135">
        <v>12261.0</v>
      </c>
      <c r="M9" s="135"/>
      <c r="N9" s="135"/>
    </row>
    <row r="10" hidden="1">
      <c r="A10" s="336" t="s">
        <v>364</v>
      </c>
      <c r="C10" s="254">
        <v>172029.0</v>
      </c>
      <c r="D10" s="254">
        <v>173273.0</v>
      </c>
      <c r="E10" s="253">
        <v>174614.0</v>
      </c>
      <c r="F10" s="253">
        <v>175966.0</v>
      </c>
      <c r="G10" s="252">
        <v>177365.0</v>
      </c>
      <c r="H10" s="252">
        <v>178629.0</v>
      </c>
      <c r="I10" s="252">
        <v>179945.0</v>
      </c>
      <c r="J10" s="165">
        <v>647.0</v>
      </c>
      <c r="K10" s="252">
        <v>1512.0</v>
      </c>
      <c r="L10" s="252">
        <v>2502.0</v>
      </c>
      <c r="M10" s="252"/>
      <c r="N10" s="252"/>
    </row>
    <row r="11" hidden="1">
      <c r="A11" s="336" t="s">
        <v>365</v>
      </c>
      <c r="C11" s="254"/>
      <c r="D11" s="254"/>
      <c r="E11" s="253"/>
      <c r="F11" s="253"/>
      <c r="G11" s="252"/>
      <c r="H11" s="252"/>
      <c r="I11" s="252"/>
      <c r="J11" s="165">
        <v>239.0</v>
      </c>
      <c r="K11" s="252">
        <v>554.0</v>
      </c>
      <c r="L11" s="252">
        <v>947.0</v>
      </c>
      <c r="M11" s="252"/>
      <c r="N11" s="252"/>
    </row>
    <row r="12" hidden="1">
      <c r="A12" s="337" t="s">
        <v>366</v>
      </c>
      <c r="C12" s="258">
        <v>7414.0</v>
      </c>
      <c r="D12" s="258">
        <v>7647.0</v>
      </c>
      <c r="E12" s="257">
        <v>7879.0</v>
      </c>
      <c r="F12" s="257">
        <v>8068.0</v>
      </c>
      <c r="G12" s="256">
        <v>8256.0</v>
      </c>
      <c r="H12" s="256">
        <v>8441.0</v>
      </c>
      <c r="I12" s="256">
        <v>8667.0</v>
      </c>
      <c r="J12" s="256">
        <v>8896.0</v>
      </c>
      <c r="K12" s="256">
        <v>9080.0</v>
      </c>
      <c r="L12" s="256">
        <v>9306.0</v>
      </c>
      <c r="M12" s="256"/>
      <c r="N12" s="256"/>
    </row>
    <row r="13" hidden="1">
      <c r="A13" s="338" t="s">
        <v>367</v>
      </c>
      <c r="C13" s="262">
        <v>37650.0</v>
      </c>
      <c r="D13" s="262">
        <v>38874.0</v>
      </c>
      <c r="E13" s="261">
        <v>40061.0</v>
      </c>
      <c r="F13" s="261">
        <v>41020.0</v>
      </c>
      <c r="G13" s="260">
        <v>41981.0</v>
      </c>
      <c r="H13" s="260">
        <v>42887.0</v>
      </c>
      <c r="I13" s="260">
        <v>44058.0</v>
      </c>
      <c r="J13" s="260">
        <v>45224.0</v>
      </c>
      <c r="K13" s="260">
        <v>46164.0</v>
      </c>
      <c r="L13" s="260">
        <v>47314.0</v>
      </c>
      <c r="M13" s="260"/>
      <c r="N13" s="260"/>
    </row>
    <row r="14" hidden="1">
      <c r="A14" s="339" t="s">
        <v>368</v>
      </c>
      <c r="C14" s="223">
        <v>35801.0</v>
      </c>
      <c r="D14" s="223">
        <v>36263.0</v>
      </c>
      <c r="E14" s="266">
        <v>36693.0</v>
      </c>
      <c r="F14" s="266">
        <v>36864.0</v>
      </c>
      <c r="G14" s="265">
        <v>36953.0</v>
      </c>
      <c r="H14" s="265">
        <v>37025.0</v>
      </c>
      <c r="I14" s="265">
        <v>37094.0</v>
      </c>
      <c r="J14" s="265">
        <v>37174.0</v>
      </c>
      <c r="K14" s="265">
        <v>37271.0</v>
      </c>
      <c r="L14" s="265">
        <v>37570.0</v>
      </c>
      <c r="M14" s="265"/>
      <c r="N14" s="265"/>
    </row>
    <row r="15" hidden="1">
      <c r="A15" s="334" t="s">
        <v>369</v>
      </c>
      <c r="C15" s="128" t="str">
        <f t="shared" ref="C15:C17" si="2">C8-A8</f>
        <v>#VALUE!</v>
      </c>
      <c r="D15" s="128">
        <f t="shared" ref="D15:N15" si="1">D8-C8</f>
        <v>282</v>
      </c>
      <c r="E15" s="128">
        <f t="shared" si="1"/>
        <v>317</v>
      </c>
      <c r="F15" s="133">
        <f t="shared" si="1"/>
        <v>293</v>
      </c>
      <c r="G15" s="128">
        <f t="shared" si="1"/>
        <v>305</v>
      </c>
      <c r="H15" s="128">
        <f t="shared" si="1"/>
        <v>221</v>
      </c>
      <c r="I15" s="128">
        <f t="shared" si="1"/>
        <v>390</v>
      </c>
      <c r="J15" s="128">
        <f t="shared" si="1"/>
        <v>339</v>
      </c>
      <c r="K15" s="128">
        <f t="shared" si="1"/>
        <v>271</v>
      </c>
      <c r="L15" s="128">
        <f t="shared" si="1"/>
        <v>301</v>
      </c>
      <c r="M15" s="128">
        <f t="shared" si="1"/>
        <v>-11740</v>
      </c>
      <c r="N15" s="128">
        <f t="shared" si="1"/>
        <v>0</v>
      </c>
    </row>
    <row r="16" hidden="1">
      <c r="A16" s="335" t="s">
        <v>370</v>
      </c>
      <c r="C16" s="135" t="str">
        <f t="shared" si="2"/>
        <v>#VALUE!</v>
      </c>
      <c r="D16" s="135">
        <f t="shared" ref="D16:N16" si="3">D9-C9</f>
        <v>321</v>
      </c>
      <c r="E16" s="135">
        <f t="shared" si="3"/>
        <v>204</v>
      </c>
      <c r="F16" s="138">
        <f t="shared" si="3"/>
        <v>243</v>
      </c>
      <c r="G16" s="135">
        <f t="shared" si="3"/>
        <v>260</v>
      </c>
      <c r="H16" s="135">
        <f t="shared" si="3"/>
        <v>247</v>
      </c>
      <c r="I16" s="135">
        <f t="shared" si="3"/>
        <v>376</v>
      </c>
      <c r="J16" s="135">
        <f t="shared" si="3"/>
        <v>433</v>
      </c>
      <c r="K16" s="135">
        <f t="shared" si="3"/>
        <v>289</v>
      </c>
      <c r="L16" s="135">
        <f t="shared" si="3"/>
        <v>241</v>
      </c>
      <c r="M16" s="135">
        <f t="shared" si="3"/>
        <v>-12261</v>
      </c>
      <c r="N16" s="135">
        <f t="shared" si="3"/>
        <v>0</v>
      </c>
    </row>
    <row r="17" hidden="1">
      <c r="A17" s="336" t="s">
        <v>371</v>
      </c>
      <c r="C17" s="268" t="str">
        <f t="shared" si="2"/>
        <v>#VALUE!</v>
      </c>
      <c r="D17" s="268">
        <f t="shared" ref="D17:I17" si="4">D10-C10</f>
        <v>1244</v>
      </c>
      <c r="E17" s="268">
        <f t="shared" si="4"/>
        <v>1341</v>
      </c>
      <c r="F17" s="270">
        <f t="shared" si="4"/>
        <v>1352</v>
      </c>
      <c r="G17" s="268">
        <f t="shared" si="4"/>
        <v>1399</v>
      </c>
      <c r="H17" s="268">
        <f t="shared" si="4"/>
        <v>1264</v>
      </c>
      <c r="I17" s="268">
        <f t="shared" si="4"/>
        <v>1316</v>
      </c>
      <c r="J17" s="268">
        <f>549+647</f>
        <v>1196</v>
      </c>
      <c r="K17" s="268">
        <f t="shared" ref="K17:N17" si="5">K10-J10</f>
        <v>865</v>
      </c>
      <c r="L17" s="268">
        <f t="shared" si="5"/>
        <v>990</v>
      </c>
      <c r="M17" s="268">
        <f t="shared" si="5"/>
        <v>-2502</v>
      </c>
      <c r="N17" s="268">
        <f t="shared" si="5"/>
        <v>0</v>
      </c>
    </row>
    <row r="18" hidden="1">
      <c r="A18" s="336" t="s">
        <v>372</v>
      </c>
      <c r="C18" s="268"/>
      <c r="D18" s="268"/>
      <c r="E18" s="268"/>
      <c r="F18" s="270"/>
      <c r="G18" s="268"/>
      <c r="H18" s="268"/>
      <c r="I18" s="268"/>
      <c r="J18" s="271">
        <f t="shared" ref="J18:K18" si="6">J11-I11</f>
        <v>239</v>
      </c>
      <c r="K18" s="271">
        <f t="shared" si="6"/>
        <v>315</v>
      </c>
      <c r="L18" s="271"/>
      <c r="M18" s="271"/>
      <c r="N18" s="271"/>
    </row>
    <row r="19" hidden="1">
      <c r="A19" s="337" t="s">
        <v>373</v>
      </c>
      <c r="C19" s="273" t="str">
        <f t="shared" ref="C19:C21" si="8">C12-A12</f>
        <v>#VALUE!</v>
      </c>
      <c r="D19" s="273">
        <f t="shared" ref="D19:N19" si="7">D12-C12</f>
        <v>233</v>
      </c>
      <c r="E19" s="273">
        <f t="shared" si="7"/>
        <v>232</v>
      </c>
      <c r="F19" s="274">
        <f t="shared" si="7"/>
        <v>189</v>
      </c>
      <c r="G19" s="273">
        <f t="shared" si="7"/>
        <v>188</v>
      </c>
      <c r="H19" s="273">
        <f t="shared" si="7"/>
        <v>185</v>
      </c>
      <c r="I19" s="273">
        <f t="shared" si="7"/>
        <v>226</v>
      </c>
      <c r="J19" s="273">
        <f t="shared" si="7"/>
        <v>229</v>
      </c>
      <c r="K19" s="273">
        <f t="shared" si="7"/>
        <v>184</v>
      </c>
      <c r="L19" s="273">
        <f t="shared" si="7"/>
        <v>226</v>
      </c>
      <c r="M19" s="273">
        <f t="shared" si="7"/>
        <v>-9306</v>
      </c>
      <c r="N19" s="273">
        <f t="shared" si="7"/>
        <v>0</v>
      </c>
    </row>
    <row r="20" hidden="1">
      <c r="A20" s="338" t="s">
        <v>374</v>
      </c>
      <c r="C20" s="275" t="str">
        <f t="shared" si="8"/>
        <v>#VALUE!</v>
      </c>
      <c r="D20" s="275">
        <f t="shared" ref="D20:N20" si="9">D13-C13</f>
        <v>1224</v>
      </c>
      <c r="E20" s="275">
        <f t="shared" si="9"/>
        <v>1187</v>
      </c>
      <c r="F20" s="277">
        <f t="shared" si="9"/>
        <v>959</v>
      </c>
      <c r="G20" s="275">
        <f t="shared" si="9"/>
        <v>961</v>
      </c>
      <c r="H20" s="275">
        <f t="shared" si="9"/>
        <v>906</v>
      </c>
      <c r="I20" s="275">
        <f t="shared" si="9"/>
        <v>1171</v>
      </c>
      <c r="J20" s="275">
        <f t="shared" si="9"/>
        <v>1166</v>
      </c>
      <c r="K20" s="275">
        <f t="shared" si="9"/>
        <v>940</v>
      </c>
      <c r="L20" s="275">
        <f t="shared" si="9"/>
        <v>1150</v>
      </c>
      <c r="M20" s="275">
        <f t="shared" si="9"/>
        <v>-47314</v>
      </c>
      <c r="N20" s="275">
        <f t="shared" si="9"/>
        <v>0</v>
      </c>
    </row>
    <row r="21" ht="15.75" hidden="1" customHeight="1">
      <c r="A21" s="339" t="s">
        <v>375</v>
      </c>
      <c r="C21" s="278" t="str">
        <f t="shared" si="8"/>
        <v>#VALUE!</v>
      </c>
      <c r="D21" s="278">
        <f t="shared" ref="D21:N21" si="10">D14-C14</f>
        <v>462</v>
      </c>
      <c r="E21" s="278">
        <f t="shared" si="10"/>
        <v>430</v>
      </c>
      <c r="F21" s="280">
        <f t="shared" si="10"/>
        <v>171</v>
      </c>
      <c r="G21" s="278">
        <f t="shared" si="10"/>
        <v>89</v>
      </c>
      <c r="H21" s="278">
        <f t="shared" si="10"/>
        <v>72</v>
      </c>
      <c r="I21" s="278">
        <f t="shared" si="10"/>
        <v>69</v>
      </c>
      <c r="J21" s="278">
        <f t="shared" si="10"/>
        <v>80</v>
      </c>
      <c r="K21" s="278">
        <f t="shared" si="10"/>
        <v>97</v>
      </c>
      <c r="L21" s="278">
        <f t="shared" si="10"/>
        <v>299</v>
      </c>
      <c r="M21" s="278">
        <f t="shared" si="10"/>
        <v>-37570</v>
      </c>
      <c r="N21" s="278">
        <f t="shared" si="10"/>
        <v>0</v>
      </c>
    </row>
    <row r="22" ht="15.75" hidden="1" customHeight="1">
      <c r="A22" s="181" t="s">
        <v>376</v>
      </c>
      <c r="C22" s="91" t="str">
        <f t="shared" ref="C22:N22" si="11">C20-C21</f>
        <v>#VALUE!</v>
      </c>
      <c r="D22" s="91">
        <f t="shared" si="11"/>
        <v>762</v>
      </c>
      <c r="E22" s="91">
        <f t="shared" si="11"/>
        <v>757</v>
      </c>
      <c r="F22" s="91">
        <f t="shared" si="11"/>
        <v>788</v>
      </c>
      <c r="G22" s="91">
        <f t="shared" si="11"/>
        <v>872</v>
      </c>
      <c r="H22" s="91">
        <f t="shared" si="11"/>
        <v>834</v>
      </c>
      <c r="I22" s="91">
        <f t="shared" si="11"/>
        <v>1102</v>
      </c>
      <c r="J22" s="91">
        <f t="shared" si="11"/>
        <v>1086</v>
      </c>
      <c r="K22" s="91">
        <f t="shared" si="11"/>
        <v>843</v>
      </c>
      <c r="L22" s="91">
        <f t="shared" si="11"/>
        <v>851</v>
      </c>
      <c r="M22" s="91">
        <f t="shared" si="11"/>
        <v>-9744</v>
      </c>
      <c r="N22" s="91">
        <f t="shared" si="11"/>
        <v>0</v>
      </c>
    </row>
    <row r="23" ht="15.75" customHeight="1">
      <c r="A23" s="340" t="s">
        <v>304</v>
      </c>
      <c r="C23" s="91">
        <v>3100.0</v>
      </c>
      <c r="D23" s="91">
        <v>2950.0</v>
      </c>
      <c r="E23" s="91">
        <v>2900.0</v>
      </c>
      <c r="F23" s="91">
        <v>2350.0</v>
      </c>
      <c r="G23" s="91">
        <v>2000.0</v>
      </c>
      <c r="H23" s="91">
        <v>1800.0</v>
      </c>
      <c r="I23" s="91">
        <v>1800.0</v>
      </c>
      <c r="J23" s="148">
        <v>2000.0</v>
      </c>
      <c r="K23" s="148">
        <v>1900.0</v>
      </c>
      <c r="L23" s="148">
        <v>2000.0</v>
      </c>
      <c r="M23" s="153">
        <v>2450.0</v>
      </c>
      <c r="N23" s="153">
        <v>3300.0</v>
      </c>
    </row>
    <row r="24" ht="15.75" customHeight="1">
      <c r="A24" s="126" t="s">
        <v>305</v>
      </c>
      <c r="C24" s="156">
        <v>6.0</v>
      </c>
      <c r="D24" s="156">
        <v>6.0</v>
      </c>
      <c r="E24" s="156">
        <v>6.0</v>
      </c>
      <c r="F24" s="156">
        <v>6.0</v>
      </c>
      <c r="G24" s="156">
        <v>5.5</v>
      </c>
      <c r="H24" s="156">
        <v>5.5</v>
      </c>
      <c r="I24" s="156">
        <v>5.5</v>
      </c>
      <c r="J24" s="156">
        <v>5.5</v>
      </c>
      <c r="K24" s="156">
        <v>5.5</v>
      </c>
      <c r="L24" s="156">
        <v>5.5</v>
      </c>
      <c r="M24" s="156">
        <v>5.5</v>
      </c>
      <c r="N24" s="156">
        <v>5.5</v>
      </c>
    </row>
    <row r="25" ht="15.75" customHeight="1">
      <c r="A25" s="126" t="s">
        <v>306</v>
      </c>
      <c r="C25" s="156">
        <v>0.8</v>
      </c>
      <c r="D25" s="156">
        <v>0.8</v>
      </c>
      <c r="E25" s="156">
        <v>0.8</v>
      </c>
      <c r="F25" s="156">
        <v>0.8</v>
      </c>
      <c r="G25" s="156">
        <v>0.8</v>
      </c>
      <c r="H25" s="156">
        <v>0.8</v>
      </c>
      <c r="I25" s="156">
        <v>0.8</v>
      </c>
      <c r="J25" s="156">
        <v>0.8</v>
      </c>
      <c r="K25" s="156">
        <v>0.8</v>
      </c>
      <c r="L25" s="156">
        <v>0.8</v>
      </c>
      <c r="M25" s="156">
        <v>0.8</v>
      </c>
      <c r="N25" s="156">
        <v>0.8</v>
      </c>
    </row>
    <row r="26" ht="15.75" customHeight="1">
      <c r="A26" s="11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15">
        <v>6859.0</v>
      </c>
    </row>
    <row r="27" ht="15.75" customHeight="1">
      <c r="A27" s="114" t="s">
        <v>158</v>
      </c>
      <c r="C27" s="156">
        <f t="shared" ref="C27:I27" si="12">C23*C24</f>
        <v>18600</v>
      </c>
      <c r="D27" s="156">
        <f t="shared" si="12"/>
        <v>17700</v>
      </c>
      <c r="E27" s="156">
        <f t="shared" si="12"/>
        <v>17400</v>
      </c>
      <c r="F27" s="156">
        <f t="shared" si="12"/>
        <v>14100</v>
      </c>
      <c r="G27" s="156">
        <f t="shared" si="12"/>
        <v>11000</v>
      </c>
      <c r="H27" s="156">
        <f t="shared" si="12"/>
        <v>9900</v>
      </c>
      <c r="I27" s="156">
        <f t="shared" si="12"/>
        <v>9900</v>
      </c>
      <c r="J27" s="156">
        <f>(J23*J24)+(J18*J25)</f>
        <v>11191.2</v>
      </c>
      <c r="K27" s="156">
        <f t="shared" ref="K27:N27" si="13">K23*K24</f>
        <v>10450</v>
      </c>
      <c r="L27" s="156">
        <f t="shared" si="13"/>
        <v>11000</v>
      </c>
      <c r="M27" s="156">
        <f t="shared" si="13"/>
        <v>13475</v>
      </c>
      <c r="N27" s="156">
        <f t="shared" si="13"/>
        <v>18150</v>
      </c>
    </row>
    <row r="28" ht="15.75" customHeight="1">
      <c r="A28" s="126" t="s">
        <v>159</v>
      </c>
      <c r="C28" s="341">
        <f t="shared" ref="C28:N28" si="14">C27/25</f>
        <v>744</v>
      </c>
      <c r="D28" s="341">
        <f t="shared" si="14"/>
        <v>708</v>
      </c>
      <c r="E28" s="341">
        <f t="shared" si="14"/>
        <v>696</v>
      </c>
      <c r="F28" s="341">
        <f t="shared" si="14"/>
        <v>564</v>
      </c>
      <c r="G28" s="341">
        <f t="shared" si="14"/>
        <v>440</v>
      </c>
      <c r="H28" s="341">
        <f t="shared" si="14"/>
        <v>396</v>
      </c>
      <c r="I28" s="341">
        <f t="shared" si="14"/>
        <v>396</v>
      </c>
      <c r="J28" s="341">
        <f t="shared" si="14"/>
        <v>447.648</v>
      </c>
      <c r="K28" s="341">
        <f t="shared" si="14"/>
        <v>418</v>
      </c>
      <c r="L28" s="341">
        <f t="shared" si="14"/>
        <v>440</v>
      </c>
      <c r="M28" s="341">
        <f t="shared" si="14"/>
        <v>539</v>
      </c>
      <c r="N28" s="341">
        <f t="shared" si="14"/>
        <v>726</v>
      </c>
    </row>
    <row r="29" ht="15.75" customHeight="1">
      <c r="A29" s="11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</row>
    <row r="30" ht="15.75" customHeight="1">
      <c r="A30" s="115" t="s">
        <v>168</v>
      </c>
      <c r="C30" s="121"/>
      <c r="D30" s="121"/>
      <c r="E30" s="152"/>
      <c r="F30" s="152"/>
      <c r="G30" s="152"/>
      <c r="H30" s="152"/>
      <c r="I30" s="152"/>
      <c r="J30" s="152"/>
      <c r="K30" s="152"/>
      <c r="L30" s="152"/>
      <c r="M30" s="152"/>
      <c r="N30" s="152"/>
    </row>
    <row r="31" ht="15.75" hidden="1" customHeight="1">
      <c r="A31" s="111" t="s">
        <v>377</v>
      </c>
      <c r="C31" s="130">
        <v>2297.0</v>
      </c>
      <c r="D31" s="130">
        <v>2407.0</v>
      </c>
      <c r="E31" s="288">
        <v>2520.0</v>
      </c>
      <c r="F31" s="124">
        <v>2650.0</v>
      </c>
      <c r="G31" s="124">
        <v>2780.0</v>
      </c>
      <c r="H31" s="124">
        <v>2874.0</v>
      </c>
      <c r="I31" s="124">
        <v>3007.0</v>
      </c>
      <c r="J31" s="124">
        <v>3127.0</v>
      </c>
      <c r="K31" s="124">
        <v>3218.0</v>
      </c>
      <c r="L31" s="124">
        <v>3321.0</v>
      </c>
      <c r="M31" s="124"/>
      <c r="N31" s="124"/>
    </row>
    <row r="32" ht="15.75" hidden="1" customHeight="1">
      <c r="A32" s="111" t="s">
        <v>378</v>
      </c>
      <c r="C32" s="289" t="str">
        <f>C31-A31</f>
        <v>#VALUE!</v>
      </c>
      <c r="D32" s="289">
        <f t="shared" ref="D32:N32" si="15">D31-C31</f>
        <v>110</v>
      </c>
      <c r="E32" s="289">
        <f t="shared" si="15"/>
        <v>113</v>
      </c>
      <c r="F32" s="292">
        <f t="shared" si="15"/>
        <v>130</v>
      </c>
      <c r="G32" s="292">
        <f t="shared" si="15"/>
        <v>130</v>
      </c>
      <c r="H32" s="292">
        <f t="shared" si="15"/>
        <v>94</v>
      </c>
      <c r="I32" s="292">
        <f t="shared" si="15"/>
        <v>133</v>
      </c>
      <c r="J32" s="292">
        <f t="shared" si="15"/>
        <v>120</v>
      </c>
      <c r="K32" s="292">
        <f t="shared" si="15"/>
        <v>91</v>
      </c>
      <c r="L32" s="292">
        <f t="shared" si="15"/>
        <v>103</v>
      </c>
      <c r="M32" s="292">
        <f t="shared" si="15"/>
        <v>-3321</v>
      </c>
      <c r="N32" s="289">
        <f t="shared" si="15"/>
        <v>0</v>
      </c>
    </row>
    <row r="33" ht="15.75" hidden="1" customHeight="1">
      <c r="A33" s="111" t="s">
        <v>379</v>
      </c>
      <c r="C33" s="291">
        <f t="shared" ref="C33:D33" si="16">C38/C35</f>
        <v>50.34831461</v>
      </c>
      <c r="D33" s="291">
        <f t="shared" si="16"/>
        <v>47.47191011</v>
      </c>
      <c r="E33" s="289" t="s">
        <v>308</v>
      </c>
      <c r="F33" s="292" t="s">
        <v>309</v>
      </c>
      <c r="G33" s="292" t="s">
        <v>310</v>
      </c>
      <c r="H33" s="292" t="s">
        <v>311</v>
      </c>
      <c r="I33" s="292" t="s">
        <v>310</v>
      </c>
      <c r="J33" s="292" t="s">
        <v>309</v>
      </c>
      <c r="K33" s="292" t="s">
        <v>312</v>
      </c>
      <c r="L33" s="292" t="s">
        <v>313</v>
      </c>
      <c r="M33" s="292"/>
      <c r="N33" s="289"/>
    </row>
    <row r="34" ht="15.75" customHeight="1">
      <c r="A34" s="342" t="s">
        <v>304</v>
      </c>
      <c r="C34" s="291">
        <v>65.0</v>
      </c>
      <c r="D34" s="291">
        <v>68.0</v>
      </c>
      <c r="E34" s="289" t="s">
        <v>380</v>
      </c>
      <c r="F34" s="292" t="s">
        <v>381</v>
      </c>
      <c r="G34" s="292" t="s">
        <v>319</v>
      </c>
      <c r="H34" s="292" t="s">
        <v>382</v>
      </c>
      <c r="I34" s="292" t="s">
        <v>381</v>
      </c>
      <c r="J34" s="292" t="s">
        <v>383</v>
      </c>
      <c r="K34" s="292" t="s">
        <v>313</v>
      </c>
      <c r="L34" s="292" t="s">
        <v>384</v>
      </c>
      <c r="M34" s="292" t="s">
        <v>308</v>
      </c>
      <c r="N34" s="289" t="s">
        <v>385</v>
      </c>
      <c r="P34" s="206" t="s">
        <v>386</v>
      </c>
    </row>
    <row r="35" ht="15.75" customHeight="1">
      <c r="A35" s="126" t="s">
        <v>157</v>
      </c>
      <c r="C35" s="295">
        <v>89.0</v>
      </c>
      <c r="D35" s="295">
        <v>89.0</v>
      </c>
      <c r="E35" s="295">
        <v>89.0</v>
      </c>
      <c r="F35" s="296">
        <v>89.0</v>
      </c>
      <c r="G35" s="296">
        <v>89.0</v>
      </c>
      <c r="H35" s="296">
        <v>89.0</v>
      </c>
      <c r="I35" s="296">
        <v>89.0</v>
      </c>
      <c r="J35" s="296">
        <v>89.0</v>
      </c>
      <c r="K35" s="296">
        <v>89.0</v>
      </c>
      <c r="L35" s="296">
        <v>89.0</v>
      </c>
      <c r="M35" s="296">
        <v>89.0</v>
      </c>
      <c r="N35" s="295">
        <v>89.0</v>
      </c>
    </row>
    <row r="36" ht="15.75" customHeight="1">
      <c r="A36" s="126" t="s">
        <v>163</v>
      </c>
      <c r="C36" s="297">
        <v>335.0</v>
      </c>
      <c r="D36" s="297">
        <v>335.0</v>
      </c>
      <c r="E36" s="297">
        <v>335.0</v>
      </c>
      <c r="F36" s="297">
        <v>335.0</v>
      </c>
      <c r="G36" s="297">
        <v>335.0</v>
      </c>
      <c r="H36" s="297">
        <v>335.0</v>
      </c>
      <c r="I36" s="297">
        <v>335.0</v>
      </c>
      <c r="J36" s="297">
        <v>335.0</v>
      </c>
      <c r="K36" s="297">
        <v>335.0</v>
      </c>
      <c r="L36" s="297">
        <v>335.0</v>
      </c>
      <c r="M36" s="297">
        <v>335.0</v>
      </c>
      <c r="N36" s="297">
        <v>335.0</v>
      </c>
    </row>
    <row r="37" ht="15.75" hidden="1" customHeight="1">
      <c r="A37" s="111" t="s">
        <v>387</v>
      </c>
      <c r="C37" s="314" t="str">
        <f t="shared" ref="C37:N37" si="17">C32*C35+C36</f>
        <v>#VALUE!</v>
      </c>
      <c r="D37" s="219">
        <f t="shared" si="17"/>
        <v>10125</v>
      </c>
      <c r="E37" s="219">
        <f t="shared" si="17"/>
        <v>10392</v>
      </c>
      <c r="F37" s="219">
        <f t="shared" si="17"/>
        <v>11905</v>
      </c>
      <c r="G37" s="219">
        <f t="shared" si="17"/>
        <v>11905</v>
      </c>
      <c r="H37" s="219">
        <f t="shared" si="17"/>
        <v>8701</v>
      </c>
      <c r="I37" s="219">
        <f t="shared" si="17"/>
        <v>12172</v>
      </c>
      <c r="J37" s="219">
        <f t="shared" si="17"/>
        <v>11015</v>
      </c>
      <c r="K37" s="219">
        <f t="shared" si="17"/>
        <v>8434</v>
      </c>
      <c r="L37" s="219">
        <f t="shared" si="17"/>
        <v>9502</v>
      </c>
      <c r="M37" s="219">
        <f t="shared" si="17"/>
        <v>-295234</v>
      </c>
      <c r="N37" s="219">
        <f t="shared" si="17"/>
        <v>335</v>
      </c>
    </row>
    <row r="38" ht="15.75" hidden="1" customHeight="1">
      <c r="A38" s="111" t="s">
        <v>388</v>
      </c>
      <c r="C38" s="219">
        <v>4481.0</v>
      </c>
      <c r="D38" s="219">
        <v>4225.0</v>
      </c>
      <c r="E38" s="219">
        <v>4225.0</v>
      </c>
      <c r="F38" s="219">
        <f t="shared" ref="F38:N38" si="18">F33*F35+F36/2</f>
        <v>5062.5</v>
      </c>
      <c r="G38" s="219">
        <f t="shared" si="18"/>
        <v>5329.5</v>
      </c>
      <c r="H38" s="219">
        <f t="shared" si="18"/>
        <v>4172.5</v>
      </c>
      <c r="I38" s="219">
        <f t="shared" si="18"/>
        <v>5329.5</v>
      </c>
      <c r="J38" s="219">
        <f t="shared" si="18"/>
        <v>5062.5</v>
      </c>
      <c r="K38" s="219">
        <f t="shared" si="18"/>
        <v>3727.5</v>
      </c>
      <c r="L38" s="219">
        <f t="shared" si="18"/>
        <v>4439.5</v>
      </c>
      <c r="M38" s="219">
        <f t="shared" si="18"/>
        <v>167.5</v>
      </c>
      <c r="N38" s="219">
        <f t="shared" si="18"/>
        <v>167.5</v>
      </c>
    </row>
    <row r="39" ht="15.75" customHeight="1">
      <c r="A39" s="342" t="s">
        <v>158</v>
      </c>
      <c r="C39" s="219">
        <v>6000.0</v>
      </c>
      <c r="D39" s="219">
        <v>5900.0</v>
      </c>
      <c r="E39" s="219">
        <v>5900.0</v>
      </c>
      <c r="F39" s="219">
        <f t="shared" ref="F39:M39" si="19">F34*F35+F36/2</f>
        <v>6397.5</v>
      </c>
      <c r="G39" s="219">
        <f t="shared" si="19"/>
        <v>5952.5</v>
      </c>
      <c r="H39" s="219">
        <f t="shared" si="19"/>
        <v>4083.5</v>
      </c>
      <c r="I39" s="219">
        <f t="shared" si="19"/>
        <v>6397.5</v>
      </c>
      <c r="J39" s="219">
        <f t="shared" si="19"/>
        <v>5685.5</v>
      </c>
      <c r="K39" s="219">
        <f t="shared" si="19"/>
        <v>4439.5</v>
      </c>
      <c r="L39" s="219">
        <f t="shared" si="19"/>
        <v>4795.5</v>
      </c>
      <c r="M39" s="219">
        <f t="shared" si="19"/>
        <v>4350.5</v>
      </c>
      <c r="N39" s="219">
        <v>5497.0</v>
      </c>
    </row>
    <row r="40" ht="15.75" customHeight="1">
      <c r="A40" s="126" t="s">
        <v>159</v>
      </c>
      <c r="C40" s="343">
        <f t="shared" ref="C40:N40" si="20">C39/25</f>
        <v>240</v>
      </c>
      <c r="D40" s="343">
        <f t="shared" si="20"/>
        <v>236</v>
      </c>
      <c r="E40" s="343">
        <f t="shared" si="20"/>
        <v>236</v>
      </c>
      <c r="F40" s="343">
        <f t="shared" si="20"/>
        <v>255.9</v>
      </c>
      <c r="G40" s="343">
        <f t="shared" si="20"/>
        <v>238.1</v>
      </c>
      <c r="H40" s="343">
        <f t="shared" si="20"/>
        <v>163.34</v>
      </c>
      <c r="I40" s="343">
        <f t="shared" si="20"/>
        <v>255.9</v>
      </c>
      <c r="J40" s="343">
        <f t="shared" si="20"/>
        <v>227.42</v>
      </c>
      <c r="K40" s="343">
        <f t="shared" si="20"/>
        <v>177.58</v>
      </c>
      <c r="L40" s="343">
        <f t="shared" si="20"/>
        <v>191.82</v>
      </c>
      <c r="M40" s="343">
        <f t="shared" si="20"/>
        <v>174.02</v>
      </c>
      <c r="N40" s="343">
        <f t="shared" si="20"/>
        <v>219.88</v>
      </c>
    </row>
    <row r="41" ht="15.75" customHeight="1">
      <c r="A41" s="11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</row>
    <row r="42" ht="15.75" customHeight="1">
      <c r="A42" s="115" t="s">
        <v>326</v>
      </c>
      <c r="C42" s="121">
        <v>777.0</v>
      </c>
      <c r="D42" s="121">
        <v>825.0</v>
      </c>
      <c r="E42" s="300">
        <v>859.0</v>
      </c>
      <c r="F42" s="300">
        <v>880.0</v>
      </c>
      <c r="G42" s="300">
        <v>899.0</v>
      </c>
      <c r="H42" s="300">
        <v>908.0</v>
      </c>
      <c r="I42" s="300">
        <v>920.0</v>
      </c>
      <c r="J42" s="300">
        <v>930.0</v>
      </c>
      <c r="K42" s="300">
        <v>944.0</v>
      </c>
      <c r="L42" s="300">
        <v>975.0</v>
      </c>
      <c r="M42" s="302"/>
      <c r="N42" s="302"/>
      <c r="P42" s="206" t="s">
        <v>389</v>
      </c>
    </row>
    <row r="43" ht="15.75" hidden="1" customHeight="1">
      <c r="A43" s="344" t="s">
        <v>390</v>
      </c>
      <c r="C43" s="133">
        <v>2076.0</v>
      </c>
      <c r="D43" s="133">
        <v>2103.0</v>
      </c>
      <c r="E43" s="133">
        <v>2131.0</v>
      </c>
      <c r="F43" s="133">
        <v>2145.0</v>
      </c>
      <c r="G43" s="133">
        <v>2164.0</v>
      </c>
      <c r="H43" s="133">
        <v>2165.0</v>
      </c>
      <c r="I43" s="133">
        <v>2165.0</v>
      </c>
      <c r="J43" s="133">
        <v>2165.0</v>
      </c>
      <c r="K43" s="133">
        <v>2175.0</v>
      </c>
      <c r="L43" s="133">
        <v>2204.0</v>
      </c>
      <c r="M43" s="133"/>
      <c r="N43" s="133"/>
    </row>
    <row r="44" ht="15.75" hidden="1" customHeight="1">
      <c r="A44" s="345" t="s">
        <v>391</v>
      </c>
      <c r="C44" s="138">
        <v>588.0</v>
      </c>
      <c r="D44" s="138">
        <v>602.0</v>
      </c>
      <c r="E44" s="138">
        <v>623.0</v>
      </c>
      <c r="F44" s="138">
        <v>636.0</v>
      </c>
      <c r="G44" s="138">
        <v>652.0</v>
      </c>
      <c r="H44" s="138">
        <v>654.0</v>
      </c>
      <c r="I44" s="138">
        <v>654.0</v>
      </c>
      <c r="J44" s="138">
        <v>654.0</v>
      </c>
      <c r="K44" s="138">
        <v>660.0</v>
      </c>
      <c r="L44" s="138">
        <v>680.0</v>
      </c>
      <c r="M44" s="138"/>
      <c r="N44" s="138"/>
    </row>
    <row r="45" ht="15.75" hidden="1" customHeight="1">
      <c r="A45" s="346" t="s">
        <v>392</v>
      </c>
      <c r="C45" s="253">
        <v>786.0</v>
      </c>
      <c r="D45" s="253">
        <v>797.0</v>
      </c>
      <c r="E45" s="253">
        <v>808.0</v>
      </c>
      <c r="F45" s="253">
        <v>814.0</v>
      </c>
      <c r="G45" s="253">
        <v>821.0</v>
      </c>
      <c r="H45" s="253">
        <v>822.0</v>
      </c>
      <c r="I45" s="253">
        <v>822.0</v>
      </c>
      <c r="J45" s="253">
        <v>822.0</v>
      </c>
      <c r="K45" s="253">
        <v>825.0</v>
      </c>
      <c r="L45" s="253">
        <v>837.0</v>
      </c>
      <c r="M45" s="253"/>
      <c r="N45" s="253"/>
    </row>
    <row r="46" ht="15.75" hidden="1" customHeight="1">
      <c r="A46" s="347" t="s">
        <v>393</v>
      </c>
      <c r="C46" s="257">
        <v>1094.0</v>
      </c>
      <c r="D46" s="257">
        <v>1101.0</v>
      </c>
      <c r="E46" s="257">
        <v>1110.0</v>
      </c>
      <c r="F46" s="257">
        <v>1120.0</v>
      </c>
      <c r="G46" s="257">
        <v>1131.0</v>
      </c>
      <c r="H46" s="257">
        <v>1139.0</v>
      </c>
      <c r="I46" s="257">
        <v>1149.0</v>
      </c>
      <c r="J46" s="257">
        <v>1159.0</v>
      </c>
      <c r="K46" s="257">
        <v>1168.0</v>
      </c>
      <c r="L46" s="257">
        <v>1177.0</v>
      </c>
      <c r="M46" s="257"/>
      <c r="N46" s="257"/>
    </row>
    <row r="47" ht="15.75" hidden="1" customHeight="1">
      <c r="A47" s="348" t="s">
        <v>394</v>
      </c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</row>
    <row r="48" ht="15.75" hidden="1" customHeight="1">
      <c r="A48" s="349" t="s">
        <v>395</v>
      </c>
      <c r="C48" s="133" t="str">
        <f t="shared" ref="C48:C51" si="22">C43-A43</f>
        <v>#VALUE!</v>
      </c>
      <c r="D48" s="133">
        <f t="shared" ref="D48:N48" si="21">D43-C43</f>
        <v>27</v>
      </c>
      <c r="E48" s="133">
        <f t="shared" si="21"/>
        <v>28</v>
      </c>
      <c r="F48" s="133">
        <f t="shared" si="21"/>
        <v>14</v>
      </c>
      <c r="G48" s="133">
        <f t="shared" si="21"/>
        <v>19</v>
      </c>
      <c r="H48" s="133">
        <f t="shared" si="21"/>
        <v>1</v>
      </c>
      <c r="I48" s="133">
        <f t="shared" si="21"/>
        <v>0</v>
      </c>
      <c r="J48" s="133">
        <f t="shared" si="21"/>
        <v>0</v>
      </c>
      <c r="K48" s="133">
        <f t="shared" si="21"/>
        <v>10</v>
      </c>
      <c r="L48" s="133">
        <f t="shared" si="21"/>
        <v>29</v>
      </c>
      <c r="M48" s="133">
        <f t="shared" si="21"/>
        <v>-2204</v>
      </c>
      <c r="N48" s="133">
        <f t="shared" si="21"/>
        <v>0</v>
      </c>
    </row>
    <row r="49" ht="15.75" hidden="1" customHeight="1">
      <c r="A49" s="345" t="s">
        <v>396</v>
      </c>
      <c r="C49" s="138" t="str">
        <f t="shared" si="22"/>
        <v>#VALUE!</v>
      </c>
      <c r="D49" s="138">
        <f t="shared" ref="D49:N49" si="23">D44-C44</f>
        <v>14</v>
      </c>
      <c r="E49" s="138">
        <f t="shared" si="23"/>
        <v>21</v>
      </c>
      <c r="F49" s="138">
        <f t="shared" si="23"/>
        <v>13</v>
      </c>
      <c r="G49" s="138">
        <f t="shared" si="23"/>
        <v>16</v>
      </c>
      <c r="H49" s="138">
        <f t="shared" si="23"/>
        <v>2</v>
      </c>
      <c r="I49" s="138">
        <f t="shared" si="23"/>
        <v>0</v>
      </c>
      <c r="J49" s="138">
        <f t="shared" si="23"/>
        <v>0</v>
      </c>
      <c r="K49" s="138">
        <f t="shared" si="23"/>
        <v>6</v>
      </c>
      <c r="L49" s="138">
        <f t="shared" si="23"/>
        <v>20</v>
      </c>
      <c r="M49" s="138">
        <f t="shared" si="23"/>
        <v>-680</v>
      </c>
      <c r="N49" s="138">
        <f t="shared" si="23"/>
        <v>0</v>
      </c>
    </row>
    <row r="50" ht="15.75" hidden="1" customHeight="1">
      <c r="A50" s="346" t="s">
        <v>397</v>
      </c>
      <c r="C50" s="253" t="str">
        <f t="shared" si="22"/>
        <v>#VALUE!</v>
      </c>
      <c r="D50" s="253">
        <f t="shared" ref="D50:N50" si="24">D45-C45</f>
        <v>11</v>
      </c>
      <c r="E50" s="253">
        <f t="shared" si="24"/>
        <v>11</v>
      </c>
      <c r="F50" s="253">
        <f t="shared" si="24"/>
        <v>6</v>
      </c>
      <c r="G50" s="253">
        <f t="shared" si="24"/>
        <v>7</v>
      </c>
      <c r="H50" s="253">
        <f t="shared" si="24"/>
        <v>1</v>
      </c>
      <c r="I50" s="253">
        <f t="shared" si="24"/>
        <v>0</v>
      </c>
      <c r="J50" s="253">
        <f t="shared" si="24"/>
        <v>0</v>
      </c>
      <c r="K50" s="253">
        <f t="shared" si="24"/>
        <v>3</v>
      </c>
      <c r="L50" s="253">
        <f t="shared" si="24"/>
        <v>12</v>
      </c>
      <c r="M50" s="253">
        <f t="shared" si="24"/>
        <v>-837</v>
      </c>
      <c r="N50" s="253">
        <f t="shared" si="24"/>
        <v>0</v>
      </c>
    </row>
    <row r="51" ht="15.75" hidden="1" customHeight="1">
      <c r="A51" s="347" t="s">
        <v>398</v>
      </c>
      <c r="C51" s="257" t="str">
        <f t="shared" si="22"/>
        <v>#VALUE!</v>
      </c>
      <c r="D51" s="257">
        <f t="shared" ref="D51:N51" si="25">D46-C46</f>
        <v>7</v>
      </c>
      <c r="E51" s="257">
        <f t="shared" si="25"/>
        <v>9</v>
      </c>
      <c r="F51" s="257">
        <f t="shared" si="25"/>
        <v>10</v>
      </c>
      <c r="G51" s="257">
        <f t="shared" si="25"/>
        <v>11</v>
      </c>
      <c r="H51" s="257">
        <f t="shared" si="25"/>
        <v>8</v>
      </c>
      <c r="I51" s="257">
        <f t="shared" si="25"/>
        <v>10</v>
      </c>
      <c r="J51" s="257">
        <f t="shared" si="25"/>
        <v>10</v>
      </c>
      <c r="K51" s="257">
        <f t="shared" si="25"/>
        <v>9</v>
      </c>
      <c r="L51" s="257">
        <f t="shared" si="25"/>
        <v>9</v>
      </c>
      <c r="M51" s="257">
        <f t="shared" si="25"/>
        <v>-1177</v>
      </c>
      <c r="N51" s="257">
        <f t="shared" si="25"/>
        <v>0</v>
      </c>
    </row>
    <row r="52" ht="15.75" customHeight="1">
      <c r="A52" s="126" t="s">
        <v>157</v>
      </c>
      <c r="C52" s="295">
        <v>887.0</v>
      </c>
      <c r="D52" s="295">
        <v>887.0</v>
      </c>
      <c r="E52" s="295">
        <v>887.0</v>
      </c>
      <c r="F52" s="295">
        <v>887.0</v>
      </c>
      <c r="G52" s="219">
        <v>887.0</v>
      </c>
      <c r="H52" s="219">
        <v>887.0</v>
      </c>
      <c r="I52" s="219">
        <v>887.0</v>
      </c>
      <c r="J52" s="219">
        <v>887.0</v>
      </c>
      <c r="K52" s="219">
        <v>887.0</v>
      </c>
      <c r="L52" s="219">
        <v>887.0</v>
      </c>
      <c r="M52" s="219">
        <v>887.0</v>
      </c>
      <c r="N52" s="219">
        <v>887.0</v>
      </c>
    </row>
    <row r="53" ht="15.75" hidden="1" customHeight="1">
      <c r="A53" s="111" t="s">
        <v>376</v>
      </c>
      <c r="C53" s="289">
        <f t="shared" ref="C53:F53" si="26">C58-C54</f>
        <v>-28</v>
      </c>
      <c r="D53" s="289">
        <f t="shared" si="26"/>
        <v>-31</v>
      </c>
      <c r="E53" s="289">
        <f t="shared" si="26"/>
        <v>-28</v>
      </c>
      <c r="F53" s="289">
        <f t="shared" si="26"/>
        <v>-15</v>
      </c>
      <c r="G53" s="289" t="s">
        <v>335</v>
      </c>
      <c r="H53" s="289" t="s">
        <v>336</v>
      </c>
      <c r="I53" s="289" t="s">
        <v>335</v>
      </c>
      <c r="J53" s="316">
        <v>3.0</v>
      </c>
      <c r="K53" s="316">
        <v>4.0</v>
      </c>
      <c r="L53" s="316">
        <v>7.0</v>
      </c>
      <c r="M53" s="219"/>
      <c r="N53" s="219"/>
    </row>
    <row r="54" ht="15.75" customHeight="1">
      <c r="A54" s="342" t="s">
        <v>304</v>
      </c>
      <c r="C54" s="289" t="s">
        <v>399</v>
      </c>
      <c r="D54" s="289" t="s">
        <v>400</v>
      </c>
      <c r="E54" s="289" t="s">
        <v>399</v>
      </c>
      <c r="F54" s="289" t="s">
        <v>401</v>
      </c>
      <c r="G54" s="289" t="s">
        <v>402</v>
      </c>
      <c r="H54" s="289" t="s">
        <v>340</v>
      </c>
      <c r="I54" s="289" t="s">
        <v>340</v>
      </c>
      <c r="J54" s="289" t="s">
        <v>340</v>
      </c>
      <c r="K54" s="289" t="s">
        <v>341</v>
      </c>
      <c r="L54" s="289" t="s">
        <v>342</v>
      </c>
      <c r="M54" s="289" t="s">
        <v>343</v>
      </c>
      <c r="N54" s="289" t="s">
        <v>403</v>
      </c>
    </row>
    <row r="55" ht="15.75" hidden="1" customHeight="1">
      <c r="A55" s="111" t="s">
        <v>404</v>
      </c>
      <c r="C55" s="295"/>
      <c r="D55" s="295"/>
      <c r="E55" s="295"/>
      <c r="F55" s="219"/>
      <c r="G55" s="219"/>
      <c r="H55" s="219"/>
      <c r="I55" s="219"/>
      <c r="J55" s="219"/>
      <c r="K55" s="219"/>
      <c r="L55" s="219"/>
      <c r="M55" s="219"/>
      <c r="N55" s="219"/>
    </row>
    <row r="56" ht="15.75" customHeight="1">
      <c r="A56" s="350" t="s">
        <v>158</v>
      </c>
      <c r="C56" s="318">
        <f t="shared" ref="C56:N56" si="27">C52*C54</f>
        <v>24836</v>
      </c>
      <c r="D56" s="318">
        <f t="shared" si="27"/>
        <v>27497</v>
      </c>
      <c r="E56" s="318">
        <f t="shared" si="27"/>
        <v>24836</v>
      </c>
      <c r="F56" s="318">
        <f t="shared" si="27"/>
        <v>13305</v>
      </c>
      <c r="G56" s="318">
        <f t="shared" si="27"/>
        <v>15966</v>
      </c>
      <c r="H56" s="318">
        <f t="shared" si="27"/>
        <v>6209</v>
      </c>
      <c r="I56" s="318">
        <f t="shared" si="27"/>
        <v>6209</v>
      </c>
      <c r="J56" s="318">
        <f t="shared" si="27"/>
        <v>6209</v>
      </c>
      <c r="K56" s="318">
        <f t="shared" si="27"/>
        <v>8870</v>
      </c>
      <c r="L56" s="318">
        <f t="shared" si="27"/>
        <v>21288</v>
      </c>
      <c r="M56" s="318">
        <f t="shared" si="27"/>
        <v>23949</v>
      </c>
      <c r="N56" s="318">
        <f t="shared" si="27"/>
        <v>30158</v>
      </c>
    </row>
    <row r="57" ht="15.75" customHeight="1">
      <c r="A57" s="126" t="s">
        <v>159</v>
      </c>
      <c r="C57" s="351">
        <f t="shared" ref="C57:N57" si="28">C56/25</f>
        <v>993.44</v>
      </c>
      <c r="D57" s="351">
        <f t="shared" si="28"/>
        <v>1099.88</v>
      </c>
      <c r="E57" s="351">
        <f t="shared" si="28"/>
        <v>993.44</v>
      </c>
      <c r="F57" s="351">
        <f t="shared" si="28"/>
        <v>532.2</v>
      </c>
      <c r="G57" s="351">
        <f t="shared" si="28"/>
        <v>638.64</v>
      </c>
      <c r="H57" s="351">
        <f t="shared" si="28"/>
        <v>248.36</v>
      </c>
      <c r="I57" s="351">
        <f t="shared" si="28"/>
        <v>248.36</v>
      </c>
      <c r="J57" s="351">
        <f t="shared" si="28"/>
        <v>248.36</v>
      </c>
      <c r="K57" s="351">
        <f t="shared" si="28"/>
        <v>354.8</v>
      </c>
      <c r="L57" s="351">
        <f t="shared" si="28"/>
        <v>851.52</v>
      </c>
      <c r="M57" s="351">
        <f t="shared" si="28"/>
        <v>957.96</v>
      </c>
      <c r="N57" s="351">
        <f t="shared" si="28"/>
        <v>1206.32</v>
      </c>
    </row>
    <row r="58" ht="15.75" customHeight="1">
      <c r="A58" s="126" t="s">
        <v>349</v>
      </c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</row>
    <row r="59" ht="15.75" customHeight="1">
      <c r="A59" s="170" t="s">
        <v>167</v>
      </c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</row>
    <row r="60" ht="15.75" customHeight="1">
      <c r="A60" s="173" t="s">
        <v>146</v>
      </c>
      <c r="C60" s="174">
        <f t="shared" ref="C60:N60" si="29">C23/C2/100</f>
        <v>44.92753623</v>
      </c>
      <c r="D60" s="174">
        <f t="shared" si="29"/>
        <v>39.86486486</v>
      </c>
      <c r="E60" s="174">
        <f t="shared" si="29"/>
        <v>38.15789474</v>
      </c>
      <c r="F60" s="174">
        <f t="shared" si="29"/>
        <v>27.64705882</v>
      </c>
      <c r="G60" s="174">
        <f t="shared" si="29"/>
        <v>23.80952381</v>
      </c>
      <c r="H60" s="174">
        <f t="shared" si="29"/>
        <v>23.68421053</v>
      </c>
      <c r="I60" s="174">
        <f t="shared" si="29"/>
        <v>18.94736842</v>
      </c>
      <c r="J60" s="174">
        <f t="shared" si="29"/>
        <v>21.97802198</v>
      </c>
      <c r="K60" s="174">
        <f t="shared" si="29"/>
        <v>23.75</v>
      </c>
      <c r="L60" s="174">
        <f t="shared" si="29"/>
        <v>24.69135802</v>
      </c>
      <c r="M60" s="174">
        <f t="shared" si="29"/>
        <v>33.10810811</v>
      </c>
      <c r="N60" s="174">
        <f t="shared" si="29"/>
        <v>41.7721519</v>
      </c>
    </row>
    <row r="61" ht="15.75" customHeight="1">
      <c r="A61" s="173" t="s">
        <v>168</v>
      </c>
      <c r="C61" s="174">
        <f t="shared" ref="C61:N61" si="30">C34/C2/100</f>
        <v>0.9420289855</v>
      </c>
      <c r="D61" s="174">
        <f t="shared" si="30"/>
        <v>0.9189189189</v>
      </c>
      <c r="E61" s="174">
        <f t="shared" si="30"/>
        <v>0.8421052632</v>
      </c>
      <c r="F61" s="174">
        <f t="shared" si="30"/>
        <v>0.8235294118</v>
      </c>
      <c r="G61" s="174">
        <f t="shared" si="30"/>
        <v>0.7738095238</v>
      </c>
      <c r="H61" s="174">
        <f t="shared" si="30"/>
        <v>0.5789473684</v>
      </c>
      <c r="I61" s="174">
        <f t="shared" si="30"/>
        <v>0.7368421053</v>
      </c>
      <c r="J61" s="174">
        <f t="shared" si="30"/>
        <v>0.6813186813</v>
      </c>
      <c r="K61" s="174">
        <f t="shared" si="30"/>
        <v>0.6</v>
      </c>
      <c r="L61" s="174">
        <f t="shared" si="30"/>
        <v>0.6419753086</v>
      </c>
      <c r="M61" s="174">
        <f t="shared" si="30"/>
        <v>0.6351351351</v>
      </c>
      <c r="N61" s="174">
        <f t="shared" si="30"/>
        <v>0.6835443038</v>
      </c>
    </row>
    <row r="62" ht="15.75" customHeight="1">
      <c r="A62" s="173" t="s">
        <v>350</v>
      </c>
      <c r="C62" s="174">
        <f t="shared" ref="C62:N62" si="31">C54/C2/100</f>
        <v>0.4057971014</v>
      </c>
      <c r="D62" s="174">
        <f t="shared" si="31"/>
        <v>0.4189189189</v>
      </c>
      <c r="E62" s="174">
        <f t="shared" si="31"/>
        <v>0.3684210526</v>
      </c>
      <c r="F62" s="174">
        <f t="shared" si="31"/>
        <v>0.1764705882</v>
      </c>
      <c r="G62" s="174">
        <f t="shared" si="31"/>
        <v>0.2142857143</v>
      </c>
      <c r="H62" s="174">
        <f t="shared" si="31"/>
        <v>0.09210526316</v>
      </c>
      <c r="I62" s="174">
        <f t="shared" si="31"/>
        <v>0.07368421053</v>
      </c>
      <c r="J62" s="174">
        <f t="shared" si="31"/>
        <v>0.07692307692</v>
      </c>
      <c r="K62" s="174">
        <f t="shared" si="31"/>
        <v>0.125</v>
      </c>
      <c r="L62" s="174">
        <f t="shared" si="31"/>
        <v>0.2962962963</v>
      </c>
      <c r="M62" s="174">
        <f t="shared" si="31"/>
        <v>0.3648648649</v>
      </c>
      <c r="N62" s="174">
        <f t="shared" si="31"/>
        <v>0.4303797468</v>
      </c>
    </row>
    <row r="63" ht="15.75" customHeight="1"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</row>
    <row r="64" ht="15.75" customHeight="1"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</row>
    <row r="65" ht="15.75" customHeight="1"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</row>
    <row r="66" ht="15.75" customHeight="1"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</row>
    <row r="67" ht="15.75" customHeight="1"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</row>
    <row r="68" ht="15.75" customHeight="1"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</row>
    <row r="69" ht="15.75" customHeight="1"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</row>
    <row r="70" ht="15.75" customHeight="1"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</row>
    <row r="71" ht="15.75" customHeight="1"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</row>
    <row r="72" ht="15.75" customHeight="1"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</row>
    <row r="73" ht="15.75" customHeight="1"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</row>
    <row r="74" ht="15.75" customHeight="1"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</row>
    <row r="75" ht="15.75" customHeight="1"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</row>
    <row r="76" ht="15.75" customHeight="1"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</row>
    <row r="77" ht="15.75" customHeight="1"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</row>
    <row r="78" ht="15.75" customHeight="1"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</row>
    <row r="79" ht="15.75" customHeight="1"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</row>
    <row r="80" ht="15.75" customHeight="1"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</row>
    <row r="81" ht="15.75" customHeight="1"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</row>
    <row r="82" ht="15.75" customHeight="1"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</row>
    <row r="83" ht="15.75" customHeight="1"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</row>
    <row r="84" ht="15.75" customHeight="1"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</row>
    <row r="85" ht="15.75" customHeight="1"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</row>
    <row r="86" ht="15.75" customHeight="1"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</row>
    <row r="87" ht="15.75" customHeight="1"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</row>
    <row r="88" ht="15.75" customHeight="1"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</row>
    <row r="89" ht="15.75" customHeight="1"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</row>
    <row r="90" ht="15.75" customHeight="1"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</row>
    <row r="91" ht="15.75" customHeight="1"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</row>
    <row r="92" ht="15.75" customHeight="1"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</row>
    <row r="93" ht="15.75" customHeight="1"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</row>
    <row r="94" ht="15.75" customHeight="1"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</row>
    <row r="95" ht="15.75" customHeight="1"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</row>
    <row r="96" ht="15.75" customHeight="1"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</row>
    <row r="97" ht="15.75" customHeight="1"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</row>
    <row r="98" ht="15.75" customHeight="1"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</row>
    <row r="99" ht="15.75" customHeight="1"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</row>
    <row r="100" ht="15.75" customHeight="1"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</row>
    <row r="101" ht="15.75" customHeight="1"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</row>
    <row r="102" ht="15.75" customHeight="1"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</row>
    <row r="103" ht="15.75" customHeight="1"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</row>
    <row r="104" ht="15.75" customHeight="1"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</row>
    <row r="105" ht="15.75" customHeight="1"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</row>
    <row r="106" ht="15.75" customHeight="1"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</row>
    <row r="107" ht="15.75" customHeight="1"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</row>
    <row r="108" ht="15.75" customHeight="1"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</row>
    <row r="109" ht="15.75" customHeight="1"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</row>
    <row r="110" ht="15.75" customHeight="1"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</row>
    <row r="111" ht="15.75" customHeight="1"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</row>
    <row r="112" ht="15.75" customHeight="1"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</row>
    <row r="113" ht="15.75" customHeight="1"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</row>
    <row r="114" ht="15.75" customHeight="1"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</row>
    <row r="115" ht="15.75" customHeight="1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</row>
    <row r="116" ht="15.75" customHeight="1"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</row>
    <row r="117" ht="15.75" customHeight="1"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</row>
    <row r="118" ht="15.75" customHeight="1"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</row>
    <row r="119" ht="15.75" customHeight="1"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</row>
    <row r="120" ht="15.75" customHeight="1"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</row>
    <row r="121" ht="15.75" customHeight="1"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</row>
    <row r="122" ht="15.75" customHeight="1"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</row>
    <row r="123" ht="15.75" customHeight="1"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</row>
    <row r="124" ht="15.75" customHeight="1"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</row>
    <row r="125" ht="15.75" customHeight="1"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</row>
    <row r="126" ht="15.75" customHeight="1"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</row>
    <row r="127" ht="15.75" customHeight="1"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</row>
    <row r="128" ht="15.75" customHeight="1"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</row>
    <row r="129" ht="15.75" customHeight="1"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</row>
    <row r="130" ht="15.75" customHeight="1"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</row>
    <row r="131" ht="15.75" customHeight="1"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</row>
    <row r="132" ht="15.75" customHeight="1"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</row>
    <row r="133" ht="15.75" customHeight="1"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</row>
    <row r="134" ht="15.75" customHeight="1"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</row>
    <row r="135" ht="15.75" customHeight="1"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</row>
    <row r="136" ht="15.75" customHeight="1"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</row>
    <row r="137" ht="15.75" customHeight="1"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</row>
    <row r="138" ht="15.75" customHeight="1"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</row>
    <row r="139" ht="15.75" customHeight="1"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</row>
    <row r="140" ht="15.75" customHeight="1"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</row>
    <row r="141" ht="15.75" customHeight="1"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</row>
    <row r="142" ht="15.75" customHeight="1"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</row>
    <row r="143" ht="15.75" customHeight="1"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</row>
    <row r="144" ht="15.75" customHeight="1"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</row>
    <row r="145" ht="15.75" customHeight="1"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</row>
    <row r="146" ht="15.75" customHeight="1"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</row>
    <row r="147" ht="15.75" customHeight="1"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</row>
    <row r="148" ht="15.75" customHeight="1"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</row>
    <row r="149" ht="15.75" customHeight="1"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</row>
    <row r="150" ht="15.75" customHeight="1"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</row>
    <row r="151" ht="15.75" customHeight="1"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</row>
    <row r="152" ht="15.75" customHeight="1"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</row>
    <row r="153" ht="15.75" customHeight="1"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</row>
    <row r="154" ht="15.75" customHeight="1"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</row>
    <row r="155" ht="15.75" customHeight="1"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</row>
    <row r="156" ht="15.75" customHeight="1"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</row>
    <row r="157" ht="15.75" customHeight="1"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</row>
    <row r="158" ht="15.75" customHeight="1"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</row>
    <row r="159" ht="15.75" customHeight="1"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</row>
    <row r="160" ht="15.75" customHeight="1"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</row>
    <row r="161" ht="15.75" customHeight="1"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</row>
    <row r="162" ht="15.75" customHeight="1"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</row>
    <row r="163" ht="15.75" customHeight="1"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</row>
    <row r="164" ht="15.75" customHeight="1"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</row>
    <row r="165" ht="15.75" customHeight="1"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</row>
    <row r="166" ht="15.75" customHeight="1"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</row>
    <row r="167" ht="15.75" customHeight="1"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</row>
    <row r="168" ht="15.75" customHeight="1"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</row>
    <row r="169" ht="15.75" customHeight="1"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</row>
    <row r="170" ht="15.75" customHeight="1"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</row>
    <row r="171" ht="15.75" customHeight="1"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</row>
    <row r="172" ht="15.75" customHeight="1"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</row>
    <row r="173" ht="15.75" customHeight="1"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</row>
    <row r="174" ht="15.75" customHeight="1"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</row>
    <row r="175" ht="15.75" customHeight="1"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</row>
    <row r="176" ht="15.75" customHeight="1"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</row>
    <row r="177" ht="15.75" customHeight="1"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</row>
    <row r="178" ht="15.75" customHeight="1"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</row>
    <row r="179" ht="15.75" customHeight="1"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</row>
    <row r="180" ht="15.75" customHeight="1"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</row>
    <row r="181" ht="15.75" customHeight="1"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</row>
    <row r="182" ht="15.75" customHeight="1"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</row>
    <row r="183" ht="15.75" customHeight="1"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</row>
    <row r="184" ht="15.75" customHeight="1"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</row>
    <row r="185" ht="15.75" customHeight="1"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</row>
    <row r="186" ht="15.75" customHeight="1"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</row>
    <row r="187" ht="15.75" customHeight="1"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</row>
    <row r="188" ht="15.75" customHeight="1"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</row>
    <row r="189" ht="15.75" customHeight="1"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</row>
    <row r="190" ht="15.75" customHeight="1"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</row>
    <row r="191" ht="15.75" customHeight="1"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</row>
    <row r="192" ht="15.75" customHeight="1"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</row>
    <row r="193" ht="15.75" customHeight="1"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</row>
    <row r="194" ht="15.75" customHeight="1"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</row>
    <row r="195" ht="15.75" customHeight="1"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</row>
    <row r="196" ht="15.75" customHeight="1"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</row>
    <row r="197" ht="15.75" customHeight="1"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</row>
    <row r="198" ht="15.75" customHeight="1"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</row>
    <row r="199" ht="15.75" customHeight="1"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</row>
    <row r="200" ht="15.75" customHeight="1"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</row>
    <row r="201" ht="15.75" customHeight="1"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</row>
    <row r="202" ht="15.75" customHeight="1"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</row>
    <row r="203" ht="15.75" customHeight="1"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</row>
    <row r="204" ht="15.75" customHeight="1"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</row>
    <row r="205" ht="15.75" customHeight="1"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</row>
    <row r="206" ht="15.75" customHeight="1"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</row>
    <row r="207" ht="15.75" customHeight="1"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</row>
    <row r="208" ht="15.75" customHeight="1"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</row>
    <row r="209" ht="15.75" customHeight="1"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</row>
    <row r="210" ht="15.75" customHeight="1"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</row>
    <row r="211" ht="15.75" customHeight="1"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</row>
    <row r="212" ht="15.75" customHeight="1"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</row>
    <row r="213" ht="15.75" customHeight="1"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</row>
    <row r="214" ht="15.75" customHeight="1"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</row>
    <row r="215" ht="15.75" customHeight="1"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</row>
    <row r="216" ht="15.75" customHeight="1"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</row>
    <row r="217" ht="15.75" customHeight="1"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</row>
    <row r="218" ht="15.75" customHeight="1"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</row>
    <row r="219" ht="15.75" customHeight="1"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</row>
    <row r="220" ht="15.75" customHeight="1"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</row>
    <row r="221" ht="15.75" customHeight="1"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</row>
    <row r="222" ht="15.75" customHeight="1"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</row>
    <row r="223" ht="15.75" customHeight="1"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</row>
    <row r="224" ht="15.75" customHeight="1"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</row>
    <row r="225" ht="15.75" customHeight="1"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</row>
    <row r="226" ht="15.75" customHeight="1"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</row>
    <row r="227" ht="15.75" customHeight="1"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</row>
    <row r="228" ht="15.75" customHeight="1"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</row>
    <row r="229" ht="15.75" customHeight="1"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</row>
    <row r="230" ht="15.75" customHeight="1"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</row>
    <row r="231" ht="15.75" customHeight="1"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</row>
    <row r="232" ht="15.75" customHeight="1"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</row>
    <row r="233" ht="15.75" customHeight="1"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</row>
    <row r="234" ht="15.75" customHeight="1"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</row>
    <row r="235" ht="15.75" customHeight="1"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</row>
    <row r="236" ht="15.75" customHeight="1"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</row>
    <row r="237" ht="15.75" customHeight="1"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</row>
    <row r="238" ht="15.75" customHeight="1"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</row>
    <row r="239" ht="15.75" customHeight="1"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</row>
    <row r="240" ht="15.75" customHeight="1"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</row>
    <row r="241" ht="15.75" customHeight="1"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</row>
    <row r="242" ht="15.75" customHeight="1"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</row>
    <row r="243" ht="15.75" customHeight="1"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</row>
    <row r="244" ht="15.75" customHeight="1"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</row>
    <row r="245" ht="15.75" customHeight="1"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</row>
    <row r="246" ht="15.75" customHeight="1"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</row>
    <row r="247" ht="15.75" customHeight="1"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</row>
    <row r="248" ht="15.75" customHeight="1"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</row>
    <row r="249" ht="15.75" customHeight="1"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</row>
    <row r="250" ht="15.75" customHeight="1"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</row>
    <row r="251" ht="15.75" customHeight="1"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</row>
    <row r="252" ht="15.75" customHeight="1"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</row>
    <row r="253" ht="15.75" customHeight="1"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</row>
    <row r="254" ht="15.75" customHeight="1"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</row>
    <row r="255" ht="15.75" customHeight="1"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</row>
    <row r="256" ht="15.75" customHeight="1"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</row>
    <row r="257" ht="15.75" customHeight="1"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</row>
    <row r="258" ht="15.75" customHeight="1"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</row>
    <row r="259" ht="15.75" customHeight="1"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</row>
    <row r="260" ht="15.75" customHeight="1"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</row>
    <row r="261" ht="15.75" customHeight="1"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</row>
    <row r="262" ht="15.75" customHeight="1"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2:P5"/>
    <mergeCell ref="P7:P28"/>
    <mergeCell ref="P34:P39"/>
    <mergeCell ref="P42:P58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Row="1"/>
  <cols>
    <col customWidth="1" min="1" max="1" width="26.89"/>
    <col customWidth="1" min="2" max="6" width="11.22"/>
  </cols>
  <sheetData>
    <row r="1" collapsed="1">
      <c r="A1" s="3" t="s">
        <v>405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N1" s="15"/>
    </row>
    <row r="2" hidden="1" outlineLevel="1">
      <c r="A2" s="15"/>
      <c r="B2" s="15" t="s">
        <v>115</v>
      </c>
      <c r="C2" s="15" t="s">
        <v>116</v>
      </c>
      <c r="D2" s="15" t="s">
        <v>114</v>
      </c>
      <c r="E2" s="15" t="s">
        <v>117</v>
      </c>
      <c r="F2" s="15" t="s">
        <v>113</v>
      </c>
      <c r="G2" s="15" t="s">
        <v>118</v>
      </c>
      <c r="H2" s="15" t="s">
        <v>406</v>
      </c>
      <c r="I2" s="15" t="s">
        <v>407</v>
      </c>
      <c r="J2" s="15" t="s">
        <v>408</v>
      </c>
      <c r="K2" s="15" t="s">
        <v>409</v>
      </c>
      <c r="N2" s="15" t="s">
        <v>410</v>
      </c>
    </row>
    <row r="3" hidden="1" outlineLevel="1">
      <c r="A3" s="15" t="s">
        <v>411</v>
      </c>
      <c r="B3" s="65">
        <v>8300.21</v>
      </c>
      <c r="C3" s="65">
        <v>115821.48</v>
      </c>
      <c r="D3" s="65">
        <v>9427.0</v>
      </c>
      <c r="E3" s="65">
        <v>163237.64</v>
      </c>
      <c r="F3" s="65">
        <v>10624.27</v>
      </c>
      <c r="G3" s="65">
        <v>13181.56</v>
      </c>
      <c r="H3" s="65">
        <v>10391.13</v>
      </c>
      <c r="I3" s="65">
        <v>11762.77</v>
      </c>
      <c r="J3" s="65">
        <v>8449.45</v>
      </c>
      <c r="K3" s="65">
        <v>9214.74</v>
      </c>
      <c r="L3" s="210">
        <f t="shared" ref="L3:L4" si="1">SUM(B3:K3)</f>
        <v>360410.25</v>
      </c>
      <c r="M3" s="65"/>
      <c r="N3" s="65">
        <f>L3/1.21</f>
        <v>297859.7107</v>
      </c>
    </row>
    <row r="4" hidden="1" outlineLevel="1">
      <c r="A4" s="15" t="s">
        <v>192</v>
      </c>
      <c r="B4" s="65">
        <v>8730.0</v>
      </c>
      <c r="C4" s="65">
        <v>127910.0</v>
      </c>
      <c r="D4" s="65">
        <v>10780.0</v>
      </c>
      <c r="E4" s="65">
        <v>158310.0</v>
      </c>
      <c r="F4" s="65">
        <v>10450.0</v>
      </c>
      <c r="G4" s="65">
        <v>11660.0</v>
      </c>
      <c r="H4" s="65">
        <v>10310.0</v>
      </c>
      <c r="I4" s="65">
        <v>8030.0</v>
      </c>
      <c r="J4" s="65">
        <v>5720.0</v>
      </c>
      <c r="K4" s="65">
        <v>7590.0</v>
      </c>
      <c r="L4" s="65">
        <f t="shared" si="1"/>
        <v>359490</v>
      </c>
    </row>
    <row r="5" hidden="1" outlineLevel="1">
      <c r="A5" s="15" t="s">
        <v>193</v>
      </c>
      <c r="B5" s="65">
        <f t="shared" ref="B5:K5" si="2">B4-B3</f>
        <v>429.79</v>
      </c>
      <c r="C5" s="65">
        <f t="shared" si="2"/>
        <v>12088.52</v>
      </c>
      <c r="D5" s="65">
        <f t="shared" si="2"/>
        <v>1353</v>
      </c>
      <c r="E5" s="65">
        <f t="shared" si="2"/>
        <v>-4927.64</v>
      </c>
      <c r="F5" s="65">
        <f t="shared" si="2"/>
        <v>-174.27</v>
      </c>
      <c r="G5" s="65">
        <f t="shared" si="2"/>
        <v>-1521.56</v>
      </c>
      <c r="H5" s="65">
        <f t="shared" si="2"/>
        <v>-81.13</v>
      </c>
      <c r="I5" s="65">
        <f t="shared" si="2"/>
        <v>-3732.77</v>
      </c>
      <c r="J5" s="65">
        <f t="shared" si="2"/>
        <v>-2729.45</v>
      </c>
      <c r="K5" s="65">
        <f t="shared" si="2"/>
        <v>-1624.74</v>
      </c>
    </row>
    <row r="6" hidden="1" outlineLevel="1">
      <c r="A6" s="15" t="s">
        <v>412</v>
      </c>
      <c r="B6" s="15">
        <v>609.0</v>
      </c>
      <c r="C6" s="15">
        <v>13317.0</v>
      </c>
      <c r="D6" s="15">
        <v>645.0</v>
      </c>
      <c r="E6" s="15">
        <v>18167.0</v>
      </c>
      <c r="F6" s="15">
        <v>858.0</v>
      </c>
      <c r="G6" s="15">
        <v>1132.0</v>
      </c>
      <c r="H6" s="15">
        <v>833.0</v>
      </c>
      <c r="I6" s="15">
        <v>980.0</v>
      </c>
      <c r="J6" s="15">
        <v>625.0</v>
      </c>
      <c r="K6" s="15">
        <v>707.0</v>
      </c>
      <c r="L6" s="17">
        <f>SUM(B6:K6)</f>
        <v>37873</v>
      </c>
    </row>
    <row r="7" hidden="1" outlineLevel="1">
      <c r="B7" s="15">
        <v>4363.0</v>
      </c>
      <c r="C7" s="15">
        <v>4913.0</v>
      </c>
      <c r="D7" s="15">
        <v>5325.0</v>
      </c>
      <c r="E7" s="15">
        <v>128208.0</v>
      </c>
      <c r="F7" s="15">
        <v>5495.0</v>
      </c>
      <c r="G7" s="15">
        <v>6184.0</v>
      </c>
      <c r="H7" s="15">
        <v>5968.0</v>
      </c>
      <c r="I7" s="15">
        <v>5579.0</v>
      </c>
      <c r="J7" s="15">
        <v>3878.0</v>
      </c>
      <c r="K7" s="15">
        <v>4523.0</v>
      </c>
    </row>
    <row r="8" hidden="1" outlineLevel="1">
      <c r="B8" s="3">
        <v>4972.0</v>
      </c>
      <c r="C8" s="3">
        <v>16321.0</v>
      </c>
      <c r="D8" s="3">
        <v>5970.0</v>
      </c>
      <c r="E8" s="3">
        <v>146375.0</v>
      </c>
      <c r="F8" s="3">
        <v>6352.0</v>
      </c>
      <c r="G8" s="3">
        <v>7316.0</v>
      </c>
      <c r="H8" s="3">
        <v>6801.0</v>
      </c>
      <c r="I8" s="3">
        <v>6559.0</v>
      </c>
      <c r="J8" s="3">
        <v>4503.0</v>
      </c>
      <c r="K8" s="3">
        <v>5230.0</v>
      </c>
    </row>
    <row r="9" hidden="1" outlineLevel="1"/>
    <row r="10" hidden="1" outlineLevel="1"/>
    <row r="11" hidden="1" outlineLevel="1"/>
    <row r="12" hidden="1" outlineLevel="1"/>
    <row r="13" hidden="1" outlineLevel="1">
      <c r="B13" s="189">
        <v>44743.0</v>
      </c>
      <c r="C13" s="189">
        <v>44774.0</v>
      </c>
      <c r="D13" s="189">
        <v>44805.0</v>
      </c>
      <c r="E13" s="189">
        <v>44835.0</v>
      </c>
      <c r="F13" s="189">
        <v>44866.0</v>
      </c>
      <c r="G13" s="189">
        <v>44896.0</v>
      </c>
      <c r="H13" s="189">
        <v>44927.0</v>
      </c>
      <c r="I13" s="189">
        <v>44958.0</v>
      </c>
      <c r="J13" s="189">
        <v>44986.0</v>
      </c>
      <c r="K13" s="189">
        <v>45017.0</v>
      </c>
      <c r="L13" s="189">
        <v>45047.0</v>
      </c>
      <c r="M13" s="189">
        <v>45078.0</v>
      </c>
      <c r="N13" s="218">
        <v>45108.0</v>
      </c>
      <c r="O13" s="3" t="s">
        <v>194</v>
      </c>
      <c r="P13" s="3" t="s">
        <v>195</v>
      </c>
    </row>
    <row r="14" hidden="1" outlineLevel="1">
      <c r="B14" s="191">
        <v>637.0</v>
      </c>
      <c r="C14" s="191">
        <v>1025.0</v>
      </c>
      <c r="D14" s="191">
        <v>498.0</v>
      </c>
      <c r="E14" s="191">
        <v>766.0</v>
      </c>
      <c r="F14" s="191">
        <v>577.0</v>
      </c>
      <c r="G14" s="191">
        <v>664.0</v>
      </c>
      <c r="H14" s="191">
        <v>1292.0</v>
      </c>
      <c r="I14" s="191">
        <v>1277.0</v>
      </c>
      <c r="J14" s="191">
        <v>1266.0</v>
      </c>
      <c r="K14" s="191">
        <v>1551.0</v>
      </c>
      <c r="L14" s="191">
        <v>1064.0</v>
      </c>
      <c r="M14" s="191">
        <v>879.0</v>
      </c>
      <c r="N14" s="191">
        <f>N15/23.72</f>
        <v>1035.919056</v>
      </c>
    </row>
    <row r="15" hidden="1" outlineLevel="1">
      <c r="A15" s="3" t="s">
        <v>196</v>
      </c>
      <c r="B15" s="65">
        <f t="shared" ref="B15:G15" si="3">B14*24.5</f>
        <v>15606.5</v>
      </c>
      <c r="C15" s="65">
        <f t="shared" si="3"/>
        <v>25112.5</v>
      </c>
      <c r="D15" s="65">
        <f t="shared" si="3"/>
        <v>12201</v>
      </c>
      <c r="E15" s="65">
        <f t="shared" si="3"/>
        <v>18767</v>
      </c>
      <c r="F15" s="65">
        <f t="shared" si="3"/>
        <v>14136.5</v>
      </c>
      <c r="G15" s="65">
        <f t="shared" si="3"/>
        <v>16268</v>
      </c>
      <c r="H15" s="65">
        <f>H14*24.17</f>
        <v>31227.64</v>
      </c>
      <c r="I15" s="65">
        <f>I14*23.51</f>
        <v>30022.27</v>
      </c>
      <c r="J15" s="65">
        <f>J14*23.46</f>
        <v>29700.36</v>
      </c>
      <c r="K15" s="65">
        <f>K14*23.49</f>
        <v>36432.99</v>
      </c>
      <c r="L15" s="65">
        <f>L14*23.72</f>
        <v>25238.08</v>
      </c>
      <c r="M15" s="65">
        <f>M14*23.76</f>
        <v>20885.04</v>
      </c>
      <c r="N15" s="65">
        <v>24572.0</v>
      </c>
      <c r="O15" s="210">
        <f>SUM(B15:N15)</f>
        <v>300169.88</v>
      </c>
      <c r="P15" s="15" t="s">
        <v>413</v>
      </c>
    </row>
    <row r="16" hidden="1" outlineLevel="1"/>
    <row r="17" hidden="1" outlineLevel="1"/>
    <row r="18" hidden="1" outlineLevel="1"/>
    <row r="19" hidden="1" outlineLevel="1"/>
    <row r="20" hidden="1" outlineLevel="1"/>
    <row r="21" ht="15.75" hidden="1" customHeight="1" outlineLevel="1">
      <c r="N21" s="15">
        <v>9427.0</v>
      </c>
    </row>
    <row r="22" ht="15.75" hidden="1" customHeight="1" outlineLevel="1">
      <c r="N22" s="17">
        <f>N21/1.21</f>
        <v>7790.909091</v>
      </c>
    </row>
    <row r="23" ht="15.75" hidden="1" customHeight="1" outlineLevel="1"/>
    <row r="24" ht="15.75" hidden="1" customHeight="1" outlineLevel="1">
      <c r="A24" s="3"/>
      <c r="B24" s="15"/>
      <c r="C24" s="15"/>
      <c r="D24" s="15"/>
      <c r="E24" s="15"/>
      <c r="F24" s="15"/>
      <c r="G24" s="15"/>
      <c r="H24" s="15"/>
      <c r="I24" s="15"/>
      <c r="J24" s="15"/>
      <c r="K24" s="15"/>
      <c r="O24" s="15"/>
      <c r="P24" s="3"/>
    </row>
    <row r="25" ht="15.75" customHeight="1" collapsed="1">
      <c r="A25" s="3" t="s">
        <v>414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O25" s="15"/>
      <c r="P25" s="3"/>
    </row>
    <row r="26" ht="15.75" hidden="1" customHeight="1" outlineLevel="1">
      <c r="A26" s="15"/>
      <c r="B26" s="15" t="s">
        <v>115</v>
      </c>
      <c r="C26" s="15" t="s">
        <v>116</v>
      </c>
      <c r="D26" s="15" t="s">
        <v>114</v>
      </c>
      <c r="E26" s="15" t="s">
        <v>117</v>
      </c>
      <c r="F26" s="15" t="s">
        <v>113</v>
      </c>
      <c r="G26" s="15" t="s">
        <v>118</v>
      </c>
      <c r="H26" s="15" t="s">
        <v>406</v>
      </c>
      <c r="I26" s="15" t="s">
        <v>407</v>
      </c>
      <c r="J26" s="15" t="s">
        <v>408</v>
      </c>
      <c r="K26" s="15" t="s">
        <v>409</v>
      </c>
      <c r="O26" s="15" t="s">
        <v>410</v>
      </c>
      <c r="P26" s="3" t="s">
        <v>195</v>
      </c>
    </row>
    <row r="27" ht="15.75" hidden="1" customHeight="1" outlineLevel="1">
      <c r="A27" s="15" t="s">
        <v>411</v>
      </c>
      <c r="B27" s="65">
        <v>10744.0</v>
      </c>
      <c r="C27" s="65">
        <v>11137.0</v>
      </c>
      <c r="D27" s="65">
        <v>132356.0</v>
      </c>
      <c r="E27" s="65">
        <v>14087.0</v>
      </c>
      <c r="F27" s="65">
        <v>10505.0</v>
      </c>
      <c r="G27" s="65">
        <v>12689.0</v>
      </c>
      <c r="H27" s="65">
        <v>13427.0</v>
      </c>
      <c r="I27" s="65">
        <v>9834.0</v>
      </c>
      <c r="J27" s="65">
        <v>11472.0</v>
      </c>
      <c r="K27" s="65">
        <v>148452.0</v>
      </c>
      <c r="L27" s="210">
        <f t="shared" ref="L27:L28" si="4">SUM(B27:K27)</f>
        <v>374703</v>
      </c>
      <c r="M27" s="65"/>
      <c r="O27" s="65">
        <f>SUM(B27:K27)</f>
        <v>374703</v>
      </c>
      <c r="P27" s="65">
        <f>O27*1.21</f>
        <v>453390.63</v>
      </c>
    </row>
    <row r="28" ht="15.75" hidden="1" customHeight="1" outlineLevel="1">
      <c r="A28" s="15" t="s">
        <v>192</v>
      </c>
      <c r="B28" s="65">
        <v>7590.0</v>
      </c>
      <c r="C28" s="65">
        <v>10450.0</v>
      </c>
      <c r="D28" s="65">
        <v>107910.0</v>
      </c>
      <c r="E28" s="65">
        <v>11440.0</v>
      </c>
      <c r="F28" s="65">
        <v>8260.0</v>
      </c>
      <c r="G28" s="65">
        <v>9270.0</v>
      </c>
      <c r="H28" s="65">
        <v>9800.0</v>
      </c>
      <c r="I28" s="65">
        <v>10670.0</v>
      </c>
      <c r="J28" s="65">
        <v>11880.0</v>
      </c>
      <c r="K28" s="65">
        <v>154330.0</v>
      </c>
      <c r="L28" s="65">
        <f t="shared" si="4"/>
        <v>341600</v>
      </c>
    </row>
    <row r="29" ht="15.75" hidden="1" customHeight="1" outlineLevel="1">
      <c r="A29" s="15" t="s">
        <v>193</v>
      </c>
      <c r="B29" s="65">
        <f t="shared" ref="B29:K29" si="5">B28-B27</f>
        <v>-3154</v>
      </c>
      <c r="C29" s="65">
        <f t="shared" si="5"/>
        <v>-687</v>
      </c>
      <c r="D29" s="65">
        <f t="shared" si="5"/>
        <v>-24446</v>
      </c>
      <c r="E29" s="65">
        <f t="shared" si="5"/>
        <v>-2647</v>
      </c>
      <c r="F29" s="65">
        <f t="shared" si="5"/>
        <v>-2245</v>
      </c>
      <c r="G29" s="65">
        <f t="shared" si="5"/>
        <v>-3419</v>
      </c>
      <c r="H29" s="65">
        <f t="shared" si="5"/>
        <v>-3627</v>
      </c>
      <c r="I29" s="65">
        <f t="shared" si="5"/>
        <v>836</v>
      </c>
      <c r="J29" s="65">
        <f t="shared" si="5"/>
        <v>408</v>
      </c>
      <c r="K29" s="65">
        <f t="shared" si="5"/>
        <v>5878</v>
      </c>
    </row>
    <row r="30" ht="15.75" hidden="1" customHeight="1" outlineLevel="1">
      <c r="A30" s="15" t="s">
        <v>415</v>
      </c>
      <c r="B30" s="15">
        <v>810.0</v>
      </c>
      <c r="C30" s="15">
        <v>851.0</v>
      </c>
      <c r="D30" s="15">
        <v>16440.0</v>
      </c>
      <c r="E30" s="15">
        <v>1159.0</v>
      </c>
      <c r="F30" s="15">
        <v>785.0</v>
      </c>
      <c r="G30" s="15">
        <v>1013.0</v>
      </c>
      <c r="H30" s="15">
        <v>1090.0</v>
      </c>
      <c r="I30" s="15">
        <v>715.0</v>
      </c>
      <c r="J30" s="15">
        <v>886.0</v>
      </c>
      <c r="K30" s="15">
        <v>16369.0</v>
      </c>
      <c r="L30" s="3">
        <f>SUM(B30:K30)</f>
        <v>40118</v>
      </c>
    </row>
    <row r="31" ht="15.75" hidden="1" customHeight="1" outlineLevel="1"/>
    <row r="32" ht="15.75" hidden="1" customHeight="1" outlineLevel="1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.75" hidden="1" customHeight="1" outlineLevel="1">
      <c r="N33" s="65">
        <f>P27/L30</f>
        <v>11.30142654</v>
      </c>
    </row>
    <row r="34" ht="15.75" hidden="1" customHeight="1" outlineLevel="1"/>
    <row r="35" ht="15.75" hidden="1" customHeight="1" outlineLevel="1"/>
    <row r="36" ht="15.75" hidden="1" customHeight="1" outlineLevel="1"/>
    <row r="37" ht="15.75" hidden="1" customHeight="1" outlineLevel="1">
      <c r="B37" s="189">
        <v>45108.0</v>
      </c>
      <c r="C37" s="189">
        <v>45139.0</v>
      </c>
      <c r="D37" s="189">
        <v>45170.0</v>
      </c>
      <c r="E37" s="189">
        <v>45200.0</v>
      </c>
      <c r="F37" s="189">
        <v>45231.0</v>
      </c>
      <c r="G37" s="189">
        <v>45261.0</v>
      </c>
      <c r="H37" s="189">
        <v>45292.0</v>
      </c>
      <c r="I37" s="189">
        <v>45323.0</v>
      </c>
      <c r="J37" s="189">
        <v>45352.0</v>
      </c>
      <c r="K37" s="189">
        <v>45383.0</v>
      </c>
      <c r="L37" s="189">
        <v>45413.0</v>
      </c>
      <c r="M37" s="189">
        <v>45444.0</v>
      </c>
      <c r="N37" s="218"/>
      <c r="O37" s="3" t="s">
        <v>194</v>
      </c>
      <c r="P37" s="3" t="s">
        <v>195</v>
      </c>
    </row>
    <row r="38" ht="15.75" hidden="1" customHeight="1" outlineLevel="1">
      <c r="B38" s="191"/>
      <c r="C38" s="191">
        <v>1123.0</v>
      </c>
      <c r="D38" s="191">
        <v>824.0</v>
      </c>
      <c r="E38" s="191">
        <v>1059.0</v>
      </c>
      <c r="F38" s="191">
        <v>1063.0</v>
      </c>
      <c r="G38" s="191">
        <v>1286.0</v>
      </c>
      <c r="H38" s="191">
        <v>1139.0</v>
      </c>
      <c r="I38" s="191">
        <v>1052.0</v>
      </c>
      <c r="J38" s="191">
        <v>1080.0</v>
      </c>
      <c r="K38" s="191">
        <v>1004.0</v>
      </c>
      <c r="L38" s="191">
        <v>835.0</v>
      </c>
      <c r="M38" s="191">
        <v>899.0</v>
      </c>
      <c r="N38" s="191"/>
    </row>
    <row r="39" ht="15.75" hidden="1" customHeight="1" outlineLevel="1">
      <c r="A39" s="212" t="s">
        <v>416</v>
      </c>
      <c r="B39" s="65"/>
      <c r="C39" s="65">
        <f t="shared" ref="C39:D39" si="6">C38*24</f>
        <v>26952</v>
      </c>
      <c r="D39" s="65">
        <f t="shared" si="6"/>
        <v>19776</v>
      </c>
      <c r="E39" s="65">
        <f>E38*24.4</f>
        <v>25839.6</v>
      </c>
      <c r="F39" s="65">
        <f t="shared" ref="F39:G39" si="7">F38*24.65</f>
        <v>26202.95</v>
      </c>
      <c r="G39" s="65">
        <f t="shared" si="7"/>
        <v>31699.9</v>
      </c>
      <c r="H39" s="65">
        <f t="shared" ref="H39:I39" si="8">H38*24.4</f>
        <v>27791.6</v>
      </c>
      <c r="I39" s="65">
        <f t="shared" si="8"/>
        <v>25668.8</v>
      </c>
      <c r="J39" s="65">
        <f>J38*25</f>
        <v>27000</v>
      </c>
      <c r="K39" s="65">
        <f t="shared" ref="K39:L39" si="9">K38*25.3</f>
        <v>25401.2</v>
      </c>
      <c r="L39" s="65">
        <f t="shared" si="9"/>
        <v>21125.5</v>
      </c>
      <c r="M39" s="65">
        <f>M38*25</f>
        <v>22475</v>
      </c>
      <c r="N39" s="65"/>
      <c r="O39" s="210">
        <f t="shared" ref="O39:O40" si="10">SUM(B39:N39)</f>
        <v>279932.55</v>
      </c>
      <c r="P39" s="210">
        <f>O39*1.21</f>
        <v>338718.3855</v>
      </c>
    </row>
    <row r="40" ht="15.75" hidden="1" customHeight="1" outlineLevel="1">
      <c r="A40" s="15" t="s">
        <v>388</v>
      </c>
      <c r="B40" s="65"/>
      <c r="C40" s="65">
        <v>5543.0</v>
      </c>
      <c r="D40" s="65">
        <v>5987.0</v>
      </c>
      <c r="E40" s="65">
        <v>8793.0</v>
      </c>
      <c r="F40" s="65">
        <v>7173.0</v>
      </c>
      <c r="G40" s="65">
        <v>7756.0</v>
      </c>
      <c r="H40" s="65">
        <v>6946.0</v>
      </c>
      <c r="I40" s="65">
        <v>7617.0</v>
      </c>
      <c r="J40" s="65">
        <v>7963.0</v>
      </c>
      <c r="K40" s="65">
        <v>7934.0</v>
      </c>
      <c r="L40" s="65">
        <v>8418.0</v>
      </c>
      <c r="M40" s="65">
        <v>8882.0</v>
      </c>
      <c r="O40" s="65">
        <f t="shared" si="10"/>
        <v>83012</v>
      </c>
      <c r="P40" s="65">
        <f>SUM(C40:O40)</f>
        <v>166024</v>
      </c>
    </row>
    <row r="41" ht="15.75" hidden="1" customHeight="1" outlineLevel="1"/>
    <row r="42" ht="15.75" hidden="1" customHeight="1" outlineLevel="1">
      <c r="O42" s="65">
        <f t="shared" ref="O42:P42" si="11">O39+O40</f>
        <v>362944.55</v>
      </c>
      <c r="P42" s="65">
        <f t="shared" si="11"/>
        <v>504742.3855</v>
      </c>
    </row>
    <row r="43" ht="15.75" hidden="1" customHeight="1" outlineLevel="1"/>
    <row r="44" ht="15.75" hidden="1" customHeight="1" outlineLevel="1"/>
    <row r="45" ht="15.75" hidden="1" customHeight="1" outlineLevel="1">
      <c r="M45" s="15" t="s">
        <v>417</v>
      </c>
      <c r="O45" s="210">
        <f>O42-O27</f>
        <v>-11758.45</v>
      </c>
    </row>
    <row r="46" ht="15.75" hidden="1" customHeight="1" outlineLevel="1"/>
    <row r="47" ht="15.75" customHeight="1" collapsed="1">
      <c r="A47" s="3" t="s">
        <v>418</v>
      </c>
    </row>
    <row r="48" ht="15.75" hidden="1" customHeight="1" outlineLevel="1">
      <c r="B48" s="15" t="s">
        <v>115</v>
      </c>
      <c r="C48" s="15" t="s">
        <v>116</v>
      </c>
      <c r="D48" s="15" t="s">
        <v>114</v>
      </c>
      <c r="E48" s="15" t="s">
        <v>117</v>
      </c>
      <c r="F48" s="15" t="s">
        <v>113</v>
      </c>
      <c r="G48" s="15" t="s">
        <v>118</v>
      </c>
    </row>
    <row r="49" ht="15.75" hidden="1" customHeight="1" outlineLevel="1">
      <c r="A49" s="15" t="s">
        <v>419</v>
      </c>
      <c r="B49" s="65">
        <v>2896.28</v>
      </c>
      <c r="C49" s="65">
        <v>2802.83</v>
      </c>
      <c r="D49" s="65">
        <v>3715.77</v>
      </c>
      <c r="E49" s="65">
        <v>2500.92</v>
      </c>
      <c r="F49" s="65">
        <v>2623.13</v>
      </c>
      <c r="G49" s="65">
        <v>6440.19</v>
      </c>
      <c r="H49" s="65">
        <f>SUM(B49:G49)</f>
        <v>20979.12</v>
      </c>
    </row>
    <row r="50" ht="15.75" hidden="1" customHeight="1" outlineLevel="1">
      <c r="A50" s="15" t="s">
        <v>192</v>
      </c>
      <c r="B50" s="65">
        <v>4256.2</v>
      </c>
      <c r="C50" s="65">
        <v>4256.2</v>
      </c>
      <c r="D50" s="65">
        <v>5041.3</v>
      </c>
      <c r="E50" s="65">
        <v>3553.7</v>
      </c>
      <c r="F50" s="65">
        <v>3966.95</v>
      </c>
      <c r="G50" s="352">
        <v>4132.25</v>
      </c>
    </row>
    <row r="51" ht="15.75" hidden="1" customHeight="1" outlineLevel="1">
      <c r="A51" s="15" t="s">
        <v>193</v>
      </c>
      <c r="B51" s="65">
        <f t="shared" ref="B51:G51" si="12">B49-B50</f>
        <v>-1359.92</v>
      </c>
      <c r="C51" s="65">
        <f t="shared" si="12"/>
        <v>-1453.37</v>
      </c>
      <c r="D51" s="65">
        <f t="shared" si="12"/>
        <v>-1325.53</v>
      </c>
      <c r="E51" s="65">
        <f t="shared" si="12"/>
        <v>-1052.78</v>
      </c>
      <c r="F51" s="65">
        <f t="shared" si="12"/>
        <v>-1343.82</v>
      </c>
      <c r="G51" s="65">
        <f t="shared" si="12"/>
        <v>2307.94</v>
      </c>
      <c r="H51" s="65">
        <f>SUM(B51:G51)</f>
        <v>-4227.48</v>
      </c>
    </row>
    <row r="52" ht="15.75" hidden="1" customHeight="1" outlineLevel="1">
      <c r="A52" s="15" t="s">
        <v>420</v>
      </c>
      <c r="B52" s="15">
        <v>256.0</v>
      </c>
      <c r="C52" s="15">
        <v>243.0</v>
      </c>
      <c r="D52" s="15">
        <v>371.0</v>
      </c>
      <c r="E52" s="15">
        <v>200.0</v>
      </c>
      <c r="F52" s="15">
        <v>214.0</v>
      </c>
      <c r="G52" s="15">
        <v>746.0</v>
      </c>
    </row>
    <row r="53" ht="15.75" hidden="1" customHeight="1" outlineLevel="1">
      <c r="B53" s="65">
        <f t="shared" ref="B53:G53" si="13">B49/B52</f>
        <v>11.31359375</v>
      </c>
      <c r="C53" s="65">
        <f t="shared" si="13"/>
        <v>11.53427984</v>
      </c>
      <c r="D53" s="65">
        <f t="shared" si="13"/>
        <v>10.01555256</v>
      </c>
      <c r="E53" s="65">
        <f t="shared" si="13"/>
        <v>12.5046</v>
      </c>
      <c r="F53" s="65">
        <f t="shared" si="13"/>
        <v>12.25761682</v>
      </c>
      <c r="G53" s="65">
        <f t="shared" si="13"/>
        <v>8.632962466</v>
      </c>
    </row>
    <row r="54" ht="15.75" hidden="1" customHeight="1" outlineLevel="1"/>
    <row r="55" ht="15.75" hidden="1" customHeight="1" outlineLevel="1">
      <c r="A55" s="212" t="s">
        <v>416</v>
      </c>
      <c r="B55" s="65">
        <v>2626.0</v>
      </c>
      <c r="C55" s="65">
        <v>2800.0</v>
      </c>
      <c r="D55" s="65">
        <v>3509.0</v>
      </c>
      <c r="E55" s="65">
        <v>2526.0</v>
      </c>
      <c r="F55" s="65">
        <v>2568.0</v>
      </c>
      <c r="G55" s="65">
        <v>6642.0</v>
      </c>
      <c r="H55" s="65">
        <f>SUM(B55:G55)</f>
        <v>20671</v>
      </c>
    </row>
    <row r="56" ht="15.75" hidden="1" customHeight="1" outlineLevel="1"/>
    <row r="57" ht="15.75" hidden="1" customHeight="1" outlineLevel="1"/>
    <row r="58" ht="15.75" customHeight="1">
      <c r="A58" s="3" t="s">
        <v>421</v>
      </c>
    </row>
    <row r="59" ht="15.75" customHeight="1" outlineLevel="1">
      <c r="A59" s="3"/>
      <c r="B59" s="189">
        <v>45474.0</v>
      </c>
      <c r="C59" s="189">
        <v>45505.0</v>
      </c>
      <c r="D59" s="189">
        <v>45536.0</v>
      </c>
      <c r="E59" s="189">
        <v>45566.0</v>
      </c>
      <c r="F59" s="189">
        <v>45597.0</v>
      </c>
      <c r="G59" s="189">
        <v>45627.0</v>
      </c>
      <c r="H59" s="189">
        <v>45658.0</v>
      </c>
      <c r="I59" s="189">
        <v>45689.0</v>
      </c>
      <c r="J59" s="189">
        <v>45719.0</v>
      </c>
      <c r="K59" s="189">
        <v>45748.0</v>
      </c>
      <c r="L59" s="3" t="s">
        <v>194</v>
      </c>
      <c r="M59" s="3" t="s">
        <v>195</v>
      </c>
      <c r="N59" s="353"/>
      <c r="O59" s="354"/>
      <c r="P59" s="3"/>
    </row>
    <row r="60" ht="15.75" customHeight="1" outlineLevel="1">
      <c r="A60" s="3" t="s">
        <v>196</v>
      </c>
      <c r="B60" s="65">
        <v>21644.0</v>
      </c>
      <c r="C60" s="65">
        <v>20937.0</v>
      </c>
      <c r="D60" s="65">
        <v>14413.0</v>
      </c>
      <c r="E60" s="65">
        <v>15240.0</v>
      </c>
      <c r="F60" s="65">
        <v>15354.0</v>
      </c>
      <c r="G60" s="65">
        <v>19860.0</v>
      </c>
      <c r="H60" s="355">
        <v>20501.0</v>
      </c>
      <c r="I60" s="355">
        <v>19526.0</v>
      </c>
      <c r="J60" s="355">
        <v>19496.399999999998</v>
      </c>
      <c r="K60" s="355">
        <v>15965.4</v>
      </c>
      <c r="L60" s="210">
        <f t="shared" ref="L60:L61" si="14">SUM(B60:K60)</f>
        <v>182936.8</v>
      </c>
    </row>
    <row r="61" ht="15.75" customHeight="1" outlineLevel="1">
      <c r="A61" s="3" t="s">
        <v>422</v>
      </c>
      <c r="B61" s="65">
        <v>7469.0</v>
      </c>
      <c r="C61" s="65">
        <v>6769.0</v>
      </c>
      <c r="D61" s="65">
        <v>6153.0</v>
      </c>
      <c r="E61" s="65">
        <v>5850.0</v>
      </c>
      <c r="F61" s="65">
        <v>4722.0</v>
      </c>
      <c r="G61" s="65">
        <v>4872.0</v>
      </c>
      <c r="H61" s="355">
        <v>4849.0</v>
      </c>
      <c r="I61" s="355">
        <v>4953.0</v>
      </c>
      <c r="J61" s="355">
        <v>4996.2</v>
      </c>
      <c r="K61" s="355">
        <v>5200.799999999999</v>
      </c>
      <c r="L61" s="210">
        <f t="shared" si="14"/>
        <v>55834</v>
      </c>
    </row>
    <row r="62" ht="15.75" customHeight="1" outlineLevel="1">
      <c r="A62" s="3"/>
    </row>
    <row r="63" ht="15.75" customHeight="1" outlineLevel="1">
      <c r="A63" s="3"/>
    </row>
    <row r="64" ht="15.75" customHeight="1" outlineLevel="1">
      <c r="A64" s="336" t="s">
        <v>423</v>
      </c>
      <c r="L64" s="352">
        <v>89527.76</v>
      </c>
      <c r="M64" s="356">
        <v>108328.58</v>
      </c>
    </row>
    <row r="65" ht="15.75" customHeight="1" outlineLevel="1">
      <c r="A65" s="15" t="s">
        <v>424</v>
      </c>
      <c r="B65" s="15">
        <v>13192.0</v>
      </c>
      <c r="F65" s="357">
        <f>L64/B65</f>
        <v>6.786519102</v>
      </c>
      <c r="L65" s="356"/>
      <c r="M65" s="356"/>
    </row>
    <row r="66" ht="15.75" customHeight="1" outlineLevel="1">
      <c r="A66" s="15" t="s">
        <v>425</v>
      </c>
      <c r="B66" s="15">
        <v>6.5</v>
      </c>
      <c r="L66" s="356"/>
      <c r="M66" s="356"/>
    </row>
    <row r="67" ht="15.75" customHeight="1" outlineLevel="1">
      <c r="A67" s="15" t="s">
        <v>426</v>
      </c>
      <c r="B67" s="15">
        <v>4399.0</v>
      </c>
      <c r="L67" s="356"/>
      <c r="M67" s="356"/>
    </row>
    <row r="68" ht="15.75" customHeight="1" outlineLevel="1">
      <c r="L68" s="356"/>
      <c r="M68" s="356"/>
    </row>
    <row r="69" ht="15.75" customHeight="1" outlineLevel="1">
      <c r="A69" s="338" t="s">
        <v>427</v>
      </c>
      <c r="L69" s="356">
        <v>82413.34</v>
      </c>
      <c r="M69" s="356">
        <v>99720.11</v>
      </c>
    </row>
    <row r="70" ht="15.75" customHeight="1" outlineLevel="1">
      <c r="A70" s="15" t="s">
        <v>428</v>
      </c>
      <c r="B70" s="15">
        <v>2208.0</v>
      </c>
      <c r="F70" s="357">
        <f>L69/(B70+B71)</f>
        <v>6.083063183</v>
      </c>
    </row>
    <row r="71" ht="15.75" customHeight="1" outlineLevel="1">
      <c r="A71" s="15" t="s">
        <v>429</v>
      </c>
      <c r="B71" s="15">
        <v>11340.0</v>
      </c>
    </row>
    <row r="72" ht="15.75" customHeight="1" outlineLevel="1">
      <c r="A72" s="15" t="s">
        <v>430</v>
      </c>
      <c r="B72" s="358">
        <v>4.9</v>
      </c>
    </row>
    <row r="73" ht="15.75" customHeight="1" outlineLevel="1">
      <c r="A73" s="15" t="s">
        <v>431</v>
      </c>
      <c r="B73" s="358">
        <v>4.55</v>
      </c>
    </row>
    <row r="74" ht="15.75" customHeight="1" outlineLevel="1">
      <c r="A74" s="15" t="s">
        <v>426</v>
      </c>
      <c r="B74" s="15">
        <v>19979.0</v>
      </c>
    </row>
    <row r="75" ht="15.75" customHeight="1" outlineLevel="1"/>
    <row r="76" ht="15.75" customHeight="1" outlineLevel="1">
      <c r="A76" s="334" t="s">
        <v>432</v>
      </c>
      <c r="F76" s="357">
        <f>L76/B77</f>
        <v>8.628430962</v>
      </c>
      <c r="L76" s="65">
        <v>20621.95</v>
      </c>
      <c r="M76" s="65">
        <v>24952.57</v>
      </c>
    </row>
    <row r="77" ht="15.75" customHeight="1" outlineLevel="1">
      <c r="A77" s="15" t="s">
        <v>424</v>
      </c>
      <c r="B77" s="15">
        <v>2390.0</v>
      </c>
    </row>
    <row r="78" ht="15.75" customHeight="1" outlineLevel="1">
      <c r="A78" s="15" t="s">
        <v>425</v>
      </c>
      <c r="B78" s="15">
        <v>7.48</v>
      </c>
    </row>
    <row r="79" ht="15.75" customHeight="1" outlineLevel="1">
      <c r="A79" s="15" t="s">
        <v>426</v>
      </c>
      <c r="B79" s="15">
        <v>2744.0</v>
      </c>
    </row>
    <row r="80" ht="15.75" customHeight="1" outlineLevel="1"/>
    <row r="81" ht="15.75" customHeight="1" outlineLevel="1">
      <c r="A81" s="336" t="s">
        <v>433</v>
      </c>
      <c r="F81" s="357">
        <f>L81/B82</f>
        <v>8.422378298</v>
      </c>
      <c r="L81" s="65">
        <v>22664.62</v>
      </c>
      <c r="M81" s="65">
        <v>27424.21</v>
      </c>
    </row>
    <row r="82" ht="15.75" customHeight="1" outlineLevel="1">
      <c r="A82" s="15" t="s">
        <v>424</v>
      </c>
      <c r="B82" s="15">
        <v>2691.0</v>
      </c>
    </row>
    <row r="83" ht="15.75" customHeight="1" outlineLevel="1">
      <c r="A83" s="15" t="s">
        <v>425</v>
      </c>
      <c r="B83" s="15">
        <v>7.4</v>
      </c>
    </row>
    <row r="84" ht="15.75" customHeight="1" outlineLevel="1">
      <c r="A84" s="15" t="s">
        <v>426</v>
      </c>
      <c r="B84" s="15">
        <v>3320.0</v>
      </c>
    </row>
    <row r="85" ht="15.75" customHeight="1" outlineLevel="1"/>
    <row r="86" ht="15.75" customHeight="1" outlineLevel="1"/>
    <row r="87" ht="15.75" customHeight="1" outlineLevel="1">
      <c r="A87" s="359" t="s">
        <v>434</v>
      </c>
      <c r="B87" s="17">
        <f>B65+B70+B71+B77+B82</f>
        <v>31821</v>
      </c>
      <c r="F87" s="357">
        <f>L87/B87</f>
        <v>6.76369913</v>
      </c>
      <c r="L87" s="65">
        <f>L64+L69+L76+L81</f>
        <v>215227.67</v>
      </c>
    </row>
    <row r="88" ht="15.75" customHeight="1"/>
    <row r="89" ht="15.75" customHeight="1" outlineLevel="1">
      <c r="A89" s="3" t="s">
        <v>435</v>
      </c>
      <c r="B89" s="189">
        <v>45778.0</v>
      </c>
      <c r="C89" s="189">
        <v>45840.0</v>
      </c>
      <c r="D89" s="189"/>
      <c r="E89" s="189"/>
      <c r="F89" s="189"/>
      <c r="G89" s="189"/>
      <c r="H89" s="189"/>
      <c r="I89" s="189"/>
      <c r="J89" s="189"/>
      <c r="K89" s="189"/>
      <c r="L89" s="3" t="s">
        <v>194</v>
      </c>
      <c r="M89" s="3" t="s">
        <v>195</v>
      </c>
      <c r="N89" s="353"/>
      <c r="O89" s="354"/>
      <c r="P89" s="3"/>
    </row>
    <row r="90" ht="15.75" customHeight="1" outlineLevel="1">
      <c r="A90" s="3" t="s">
        <v>196</v>
      </c>
      <c r="B90" s="355">
        <v>13960.4</v>
      </c>
      <c r="C90" s="355">
        <v>12267.199999999999</v>
      </c>
      <c r="D90" s="65"/>
      <c r="E90" s="65"/>
      <c r="F90" s="65"/>
      <c r="G90" s="65"/>
      <c r="H90" s="355"/>
      <c r="I90" s="355"/>
      <c r="J90" s="355"/>
      <c r="K90" s="355"/>
      <c r="L90" s="360">
        <f t="shared" ref="L90:L91" si="15">SUM(B90:K90)</f>
        <v>26227.6</v>
      </c>
      <c r="M90" s="355">
        <f t="shared" ref="M90:M91" si="16">L90*1.21</f>
        <v>31735.396</v>
      </c>
    </row>
    <row r="91" ht="15.75" customHeight="1" outlineLevel="1">
      <c r="A91" s="3" t="s">
        <v>422</v>
      </c>
      <c r="B91" s="355">
        <f>5929.6+1000</f>
        <v>6929.6</v>
      </c>
      <c r="C91" s="355">
        <f>5671.2+1000</f>
        <v>6671.2</v>
      </c>
      <c r="D91" s="65"/>
      <c r="E91" s="65"/>
      <c r="F91" s="65"/>
      <c r="G91" s="65"/>
      <c r="H91" s="355"/>
      <c r="I91" s="355"/>
      <c r="J91" s="355"/>
      <c r="K91" s="355"/>
      <c r="L91" s="360">
        <f t="shared" si="15"/>
        <v>13600.8</v>
      </c>
      <c r="M91" s="355">
        <f t="shared" si="16"/>
        <v>16456.968</v>
      </c>
    </row>
    <row r="92" ht="15.75" customHeight="1" outlineLevel="1">
      <c r="A92" s="3"/>
      <c r="L92" s="360">
        <f>L90+L91</f>
        <v>39828.4</v>
      </c>
      <c r="M92" s="355">
        <f>SUM(M90:M91)</f>
        <v>48192.364</v>
      </c>
    </row>
    <row r="93" ht="15.75" customHeight="1" outlineLevel="1">
      <c r="A93" s="3"/>
    </row>
    <row r="94" ht="15.75" customHeight="1" outlineLevel="1">
      <c r="A94" s="336" t="s">
        <v>423</v>
      </c>
      <c r="L94" s="352">
        <v>14837.25</v>
      </c>
      <c r="M94" s="356">
        <v>17953.07</v>
      </c>
    </row>
    <row r="95" ht="15.75" customHeight="1" outlineLevel="1">
      <c r="A95" s="15" t="s">
        <v>424</v>
      </c>
      <c r="B95" s="15">
        <v>2738.0</v>
      </c>
      <c r="F95" s="357">
        <f>L94/B95</f>
        <v>5.419010226</v>
      </c>
      <c r="L95" s="356"/>
      <c r="M95" s="356"/>
    </row>
    <row r="96" ht="15.75" customHeight="1" outlineLevel="1">
      <c r="A96" s="15" t="s">
        <v>425</v>
      </c>
      <c r="B96" s="15">
        <v>5.07</v>
      </c>
      <c r="L96" s="356"/>
      <c r="M96" s="356"/>
    </row>
    <row r="97" ht="15.75" customHeight="1" outlineLevel="1">
      <c r="A97" s="15" t="s">
        <v>426</v>
      </c>
      <c r="B97" s="15">
        <v>465.84</v>
      </c>
      <c r="L97" s="356"/>
      <c r="M97" s="356"/>
    </row>
    <row r="98" ht="15.75" customHeight="1" outlineLevel="1">
      <c r="L98" s="356"/>
      <c r="M98" s="356"/>
    </row>
    <row r="99" ht="15.75" customHeight="1" outlineLevel="1">
      <c r="A99" s="338" t="s">
        <v>427</v>
      </c>
      <c r="L99" s="356">
        <v>11124.29</v>
      </c>
      <c r="M99" s="356">
        <v>13460.39</v>
      </c>
    </row>
    <row r="100" ht="15.75" customHeight="1" outlineLevel="1">
      <c r="A100" s="15" t="s">
        <v>428</v>
      </c>
      <c r="B100" s="15">
        <v>362.0</v>
      </c>
      <c r="F100" s="357">
        <f>L99/(B100+B101)</f>
        <v>5.054198092</v>
      </c>
    </row>
    <row r="101" ht="15.75" customHeight="1" outlineLevel="1">
      <c r="A101" s="15" t="s">
        <v>429</v>
      </c>
      <c r="B101" s="15">
        <v>1839.0</v>
      </c>
    </row>
    <row r="102" ht="15.75" customHeight="1" outlineLevel="1">
      <c r="A102" s="15" t="s">
        <v>430</v>
      </c>
      <c r="B102" s="358">
        <v>3.48</v>
      </c>
    </row>
    <row r="103" ht="15.75" customHeight="1" outlineLevel="1">
      <c r="A103" s="15" t="s">
        <v>431</v>
      </c>
      <c r="B103" s="358">
        <v>2.96</v>
      </c>
    </row>
    <row r="104" ht="15.75" customHeight="1" outlineLevel="1">
      <c r="A104" s="15" t="s">
        <v>426</v>
      </c>
      <c r="B104" s="15" t="s">
        <v>436</v>
      </c>
    </row>
    <row r="105" ht="15.75" customHeight="1" outlineLevel="1"/>
    <row r="106" ht="15.75" customHeight="1" outlineLevel="1">
      <c r="A106" s="334" t="s">
        <v>437</v>
      </c>
      <c r="F106" s="357">
        <f>L106/B107</f>
        <v>7.361966605</v>
      </c>
      <c r="L106" s="65">
        <v>3968.1</v>
      </c>
      <c r="M106" s="65">
        <v>4801.41</v>
      </c>
    </row>
    <row r="107" ht="15.75" customHeight="1" outlineLevel="1">
      <c r="A107" s="15" t="s">
        <v>424</v>
      </c>
      <c r="B107" s="15">
        <v>539.0</v>
      </c>
    </row>
    <row r="108" ht="15.75" customHeight="1" outlineLevel="1">
      <c r="A108" s="15" t="s">
        <v>425</v>
      </c>
      <c r="B108" s="15">
        <v>6.04</v>
      </c>
    </row>
    <row r="109" ht="15.75" customHeight="1" outlineLevel="1">
      <c r="A109" s="15" t="s">
        <v>426</v>
      </c>
      <c r="B109" s="15">
        <v>345.84</v>
      </c>
    </row>
    <row r="110" ht="15.75" customHeight="1" outlineLevel="1"/>
    <row r="111" ht="15.75" customHeight="1" outlineLevel="1">
      <c r="A111" s="336" t="s">
        <v>433</v>
      </c>
      <c r="F111" s="357">
        <f>L111/B112</f>
        <v>7.418375242</v>
      </c>
      <c r="L111" s="65">
        <v>3835.3</v>
      </c>
      <c r="M111" s="65">
        <v>4640.72</v>
      </c>
    </row>
    <row r="112" ht="15.75" customHeight="1" outlineLevel="1">
      <c r="A112" s="15" t="s">
        <v>424</v>
      </c>
      <c r="B112" s="15">
        <v>517.0</v>
      </c>
    </row>
    <row r="113" ht="15.75" customHeight="1" outlineLevel="1">
      <c r="A113" s="15" t="s">
        <v>425</v>
      </c>
      <c r="B113" s="15">
        <v>6.04</v>
      </c>
    </row>
    <row r="114" ht="15.75" customHeight="1" outlineLevel="1">
      <c r="A114" s="15" t="s">
        <v>426</v>
      </c>
      <c r="B114" s="15">
        <v>345.84</v>
      </c>
      <c r="F114" s="357">
        <f>AVERAGE(F95:F111)</f>
        <v>6.313387541</v>
      </c>
    </row>
    <row r="115" ht="15.75" customHeight="1" outlineLevel="1"/>
    <row r="116" ht="15.75" customHeight="1" outlineLevel="1"/>
    <row r="117" ht="15.75" customHeight="1" outlineLevel="1">
      <c r="A117" s="359" t="s">
        <v>434</v>
      </c>
      <c r="B117" s="17">
        <f>B95+B100+B101+B107+B112</f>
        <v>5995</v>
      </c>
      <c r="F117" s="357">
        <f>L117/B117</f>
        <v>5.632183486</v>
      </c>
      <c r="L117" s="65">
        <f t="shared" ref="L117:M117" si="17">L94+L99+L106+L111</f>
        <v>33764.94</v>
      </c>
      <c r="M117" s="65">
        <f t="shared" si="17"/>
        <v>40855.59</v>
      </c>
    </row>
    <row r="118" ht="15.75" customHeight="1"/>
    <row r="119" ht="15.75" customHeight="1">
      <c r="A119" s="3" t="s">
        <v>435</v>
      </c>
      <c r="B119" s="189">
        <v>45778.0</v>
      </c>
      <c r="C119" s="189">
        <v>45840.0</v>
      </c>
      <c r="D119" s="189"/>
      <c r="E119" s="189"/>
      <c r="F119" s="189"/>
      <c r="G119" s="189"/>
      <c r="H119" s="189"/>
      <c r="I119" s="189"/>
      <c r="J119" s="189"/>
      <c r="K119" s="189"/>
      <c r="L119" s="3" t="s">
        <v>194</v>
      </c>
      <c r="M119" s="3" t="s">
        <v>195</v>
      </c>
    </row>
    <row r="120" ht="15.75" customHeight="1">
      <c r="A120" s="3" t="s">
        <v>196</v>
      </c>
      <c r="B120" s="355">
        <v>13960.4</v>
      </c>
      <c r="C120" s="355">
        <v>12267.199999999999</v>
      </c>
      <c r="D120" s="65"/>
      <c r="E120" s="65"/>
      <c r="F120" s="65"/>
      <c r="G120" s="65"/>
      <c r="H120" s="355"/>
      <c r="I120" s="355"/>
      <c r="J120" s="355"/>
      <c r="K120" s="355"/>
      <c r="L120" s="360">
        <f t="shared" ref="L120:L121" si="18">SUM(B120:K120)</f>
        <v>26227.6</v>
      </c>
      <c r="M120" s="355">
        <f t="shared" ref="M120:M121" si="19">L120*1.21</f>
        <v>31735.396</v>
      </c>
    </row>
    <row r="121" ht="15.75" customHeight="1">
      <c r="A121" s="3" t="s">
        <v>422</v>
      </c>
      <c r="B121" s="355">
        <f>5929.6+1000</f>
        <v>6929.6</v>
      </c>
      <c r="C121" s="355">
        <f>5671.2+1000</f>
        <v>6671.2</v>
      </c>
      <c r="D121" s="65"/>
      <c r="E121" s="65"/>
      <c r="F121" s="65"/>
      <c r="G121" s="65"/>
      <c r="H121" s="355"/>
      <c r="I121" s="355"/>
      <c r="J121" s="355"/>
      <c r="K121" s="355"/>
      <c r="L121" s="360">
        <f t="shared" si="18"/>
        <v>13600.8</v>
      </c>
      <c r="M121" s="355">
        <f t="shared" si="19"/>
        <v>16456.968</v>
      </c>
    </row>
    <row r="122" ht="15.75" customHeight="1">
      <c r="A122" s="3"/>
      <c r="L122" s="360">
        <f>L120+L121</f>
        <v>39828.4</v>
      </c>
      <c r="M122" s="355">
        <f>SUM(M120:M121)</f>
        <v>48192.364</v>
      </c>
    </row>
    <row r="123" ht="15.75" customHeight="1">
      <c r="A123" s="3"/>
    </row>
    <row r="124" ht="15.75" customHeight="1">
      <c r="A124" s="336" t="s">
        <v>423</v>
      </c>
      <c r="L124" s="352">
        <v>14837.25</v>
      </c>
      <c r="M124" s="356">
        <v>17953.07</v>
      </c>
    </row>
    <row r="125" ht="15.75" customHeight="1">
      <c r="A125" s="15" t="s">
        <v>424</v>
      </c>
      <c r="B125" s="15">
        <v>2738.0</v>
      </c>
      <c r="F125" s="357">
        <f>L124/B125</f>
        <v>5.419010226</v>
      </c>
      <c r="L125" s="356"/>
      <c r="M125" s="356"/>
    </row>
    <row r="126" ht="15.75" customHeight="1">
      <c r="A126" s="15" t="s">
        <v>425</v>
      </c>
      <c r="B126" s="15">
        <v>5.07</v>
      </c>
      <c r="L126" s="356"/>
      <c r="M126" s="356"/>
    </row>
    <row r="127" ht="15.75" customHeight="1">
      <c r="A127" s="15" t="s">
        <v>426</v>
      </c>
      <c r="B127" s="15">
        <v>465.84</v>
      </c>
      <c r="L127" s="356"/>
      <c r="M127" s="356"/>
    </row>
    <row r="128" ht="15.75" customHeight="1">
      <c r="L128" s="356"/>
      <c r="M128" s="356"/>
    </row>
    <row r="129" ht="15.75" customHeight="1">
      <c r="A129" s="338" t="s">
        <v>427</v>
      </c>
      <c r="L129" s="356">
        <v>11124.29</v>
      </c>
      <c r="M129" s="356">
        <v>13460.39</v>
      </c>
    </row>
    <row r="130" ht="15.75" customHeight="1">
      <c r="A130" s="15" t="s">
        <v>428</v>
      </c>
      <c r="B130" s="15">
        <v>362.0</v>
      </c>
      <c r="F130" s="357">
        <f>L129/(B130+B131)</f>
        <v>5.054198092</v>
      </c>
    </row>
    <row r="131" ht="15.75" customHeight="1">
      <c r="A131" s="15" t="s">
        <v>429</v>
      </c>
      <c r="B131" s="15">
        <v>1839.0</v>
      </c>
    </row>
    <row r="132" ht="15.75" customHeight="1">
      <c r="A132" s="15" t="s">
        <v>430</v>
      </c>
      <c r="B132" s="358">
        <v>3.48</v>
      </c>
    </row>
    <row r="133" ht="15.75" customHeight="1">
      <c r="A133" s="15" t="s">
        <v>431</v>
      </c>
      <c r="B133" s="358">
        <v>2.96</v>
      </c>
    </row>
    <row r="134" ht="15.75" customHeight="1">
      <c r="A134" s="15" t="s">
        <v>426</v>
      </c>
      <c r="B134" s="15" t="s">
        <v>436</v>
      </c>
    </row>
    <row r="135" ht="15.75" customHeight="1"/>
    <row r="136" ht="15.75" customHeight="1">
      <c r="A136" s="334" t="s">
        <v>437</v>
      </c>
      <c r="F136" s="357">
        <f>L136/B137</f>
        <v>7.361966605</v>
      </c>
      <c r="L136" s="65">
        <v>3968.1</v>
      </c>
      <c r="M136" s="65">
        <v>4801.41</v>
      </c>
    </row>
    <row r="137" ht="15.75" customHeight="1">
      <c r="A137" s="15" t="s">
        <v>424</v>
      </c>
      <c r="B137" s="15">
        <v>539.0</v>
      </c>
    </row>
    <row r="138" ht="15.75" customHeight="1">
      <c r="A138" s="15" t="s">
        <v>425</v>
      </c>
      <c r="B138" s="15">
        <v>6.04</v>
      </c>
    </row>
    <row r="139" ht="15.75" customHeight="1">
      <c r="A139" s="15" t="s">
        <v>426</v>
      </c>
      <c r="B139" s="15">
        <v>345.84</v>
      </c>
    </row>
    <row r="140" ht="15.75" customHeight="1"/>
    <row r="141" ht="15.75" customHeight="1">
      <c r="A141" s="336" t="s">
        <v>433</v>
      </c>
      <c r="F141" s="357">
        <f>L141/B142</f>
        <v>7.418375242</v>
      </c>
      <c r="L141" s="65">
        <v>3835.3</v>
      </c>
      <c r="M141" s="65">
        <v>4640.72</v>
      </c>
    </row>
    <row r="142" ht="15.75" customHeight="1">
      <c r="A142" s="15" t="s">
        <v>424</v>
      </c>
      <c r="B142" s="15">
        <v>517.0</v>
      </c>
    </row>
    <row r="143" ht="15.75" customHeight="1">
      <c r="A143" s="15" t="s">
        <v>425</v>
      </c>
      <c r="B143" s="15">
        <v>6.04</v>
      </c>
    </row>
    <row r="144" ht="15.75" customHeight="1">
      <c r="A144" s="15" t="s">
        <v>426</v>
      </c>
      <c r="B144" s="15">
        <v>345.84</v>
      </c>
      <c r="F144" s="357">
        <f>AVERAGE(F125:F141)</f>
        <v>6.313387541</v>
      </c>
    </row>
    <row r="145" ht="15.75" customHeight="1"/>
    <row r="146" ht="15.75" customHeight="1"/>
    <row r="147" ht="15.75" customHeight="1">
      <c r="A147" s="359" t="s">
        <v>434</v>
      </c>
      <c r="B147" s="17">
        <f>B125+B130+B131+B137+B142</f>
        <v>5995</v>
      </c>
      <c r="F147" s="357">
        <f>L147/B147</f>
        <v>5.632183486</v>
      </c>
      <c r="L147" s="65">
        <f t="shared" ref="L147:M147" si="20">L124+L129+L136+L141</f>
        <v>33764.94</v>
      </c>
      <c r="M147" s="65">
        <f t="shared" si="20"/>
        <v>40855.59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 outlineLevelCol="1"/>
  <cols>
    <col customWidth="1" min="1" max="1" width="25.33"/>
    <col collapsed="1" customWidth="1" min="2" max="2" width="11.22"/>
    <col customWidth="1" hidden="1" min="3" max="18" width="9.0" outlineLevel="1"/>
    <col customWidth="1" min="19" max="19" width="9.0"/>
  </cols>
  <sheetData>
    <row r="1">
      <c r="A1" s="148"/>
      <c r="B1" s="49"/>
      <c r="C1" s="361">
        <v>45762.0</v>
      </c>
      <c r="D1" s="361">
        <v>45763.0</v>
      </c>
      <c r="E1" s="361">
        <v>45764.0</v>
      </c>
      <c r="F1" s="362">
        <v>45765.0</v>
      </c>
      <c r="G1" s="362">
        <v>45766.0</v>
      </c>
      <c r="H1" s="361">
        <v>45767.0</v>
      </c>
      <c r="I1" s="361">
        <v>45768.0</v>
      </c>
      <c r="J1" s="361">
        <v>45769.0</v>
      </c>
      <c r="K1" s="361">
        <v>45770.0</v>
      </c>
      <c r="L1" s="361">
        <v>45771.0</v>
      </c>
      <c r="M1" s="362">
        <v>45772.0</v>
      </c>
      <c r="N1" s="362">
        <v>45773.0</v>
      </c>
      <c r="O1" s="361">
        <v>45774.0</v>
      </c>
      <c r="P1" s="361">
        <v>45775.0</v>
      </c>
      <c r="Q1" s="361">
        <v>45776.0</v>
      </c>
      <c r="R1" s="361">
        <v>45777.0</v>
      </c>
      <c r="S1" s="361">
        <v>45778.0</v>
      </c>
      <c r="T1" s="361">
        <v>45779.0</v>
      </c>
      <c r="U1" s="361">
        <v>45780.0</v>
      </c>
      <c r="V1" s="361">
        <v>45781.0</v>
      </c>
      <c r="W1" s="361">
        <v>45782.0</v>
      </c>
      <c r="X1" s="361">
        <v>45783.0</v>
      </c>
      <c r="Y1" s="361">
        <v>45784.0</v>
      </c>
      <c r="Z1" s="361">
        <v>45785.0</v>
      </c>
      <c r="AA1" s="361">
        <v>45786.0</v>
      </c>
      <c r="AB1" s="361">
        <v>45787.0</v>
      </c>
      <c r="AC1" s="361">
        <v>45788.0</v>
      </c>
      <c r="AD1" s="361">
        <v>45789.0</v>
      </c>
      <c r="AE1" s="361">
        <v>45790.0</v>
      </c>
      <c r="AF1" s="361">
        <v>45791.0</v>
      </c>
      <c r="AG1" s="361">
        <v>45792.0</v>
      </c>
      <c r="AH1" s="361">
        <v>45793.0</v>
      </c>
      <c r="AI1" s="361">
        <v>45794.0</v>
      </c>
      <c r="AJ1" s="361">
        <v>45795.0</v>
      </c>
      <c r="AK1" s="361">
        <v>45796.0</v>
      </c>
      <c r="AL1" s="361">
        <v>45797.0</v>
      </c>
      <c r="AM1" s="361">
        <v>45798.0</v>
      </c>
      <c r="AN1" s="361">
        <v>45799.0</v>
      </c>
      <c r="AO1" s="361">
        <v>45800.0</v>
      </c>
      <c r="AP1" s="361">
        <v>45801.0</v>
      </c>
      <c r="AQ1" s="361">
        <v>45802.0</v>
      </c>
      <c r="AR1" s="361">
        <v>45803.0</v>
      </c>
      <c r="AS1" s="361">
        <v>45804.0</v>
      </c>
      <c r="AT1" s="361">
        <v>45805.0</v>
      </c>
      <c r="AU1" s="361">
        <v>45806.0</v>
      </c>
      <c r="AV1" s="361">
        <v>45807.0</v>
      </c>
      <c r="AW1" s="361">
        <v>45808.0</v>
      </c>
      <c r="AX1" s="361">
        <v>45809.0</v>
      </c>
      <c r="AY1" s="361">
        <v>45810.0</v>
      </c>
      <c r="AZ1" s="361">
        <v>45811.0</v>
      </c>
      <c r="BA1" s="361">
        <v>45812.0</v>
      </c>
      <c r="BB1" s="361">
        <v>45813.0</v>
      </c>
      <c r="BC1" s="361">
        <v>45814.0</v>
      </c>
      <c r="BD1" s="361">
        <v>45815.0</v>
      </c>
      <c r="BE1" s="361">
        <v>45816.0</v>
      </c>
      <c r="BF1" s="361">
        <v>45817.0</v>
      </c>
      <c r="BG1" s="361">
        <v>45818.0</v>
      </c>
      <c r="BH1" s="361">
        <v>45819.0</v>
      </c>
      <c r="BI1" s="361">
        <v>45820.0</v>
      </c>
      <c r="BJ1" s="361">
        <v>45821.0</v>
      </c>
      <c r="BK1" s="361">
        <v>45822.0</v>
      </c>
      <c r="BL1" s="361">
        <v>45823.0</v>
      </c>
      <c r="BM1" s="361">
        <v>45824.0</v>
      </c>
      <c r="BN1" s="361">
        <v>45825.0</v>
      </c>
      <c r="BO1" s="361">
        <v>45826.0</v>
      </c>
      <c r="BP1" s="361">
        <v>45827.0</v>
      </c>
      <c r="BQ1" s="361">
        <v>45828.0</v>
      </c>
      <c r="BR1" s="361">
        <v>45829.0</v>
      </c>
      <c r="BS1" s="361">
        <v>45830.0</v>
      </c>
      <c r="BT1" s="361">
        <v>45831.0</v>
      </c>
      <c r="BU1" s="361">
        <v>45832.0</v>
      </c>
      <c r="BV1" s="361">
        <v>45833.0</v>
      </c>
      <c r="BW1" s="361">
        <v>45834.0</v>
      </c>
      <c r="BX1" s="361">
        <v>45835.0</v>
      </c>
      <c r="BY1" s="361">
        <v>45836.0</v>
      </c>
      <c r="BZ1" s="361">
        <v>45837.0</v>
      </c>
      <c r="CA1" s="361">
        <v>45838.0</v>
      </c>
      <c r="CB1" s="361">
        <v>45839.0</v>
      </c>
      <c r="CC1" s="361">
        <v>45840.0</v>
      </c>
      <c r="CD1" s="361">
        <v>45841.0</v>
      </c>
      <c r="CE1" s="361">
        <v>45842.0</v>
      </c>
      <c r="CF1" s="361">
        <v>45843.0</v>
      </c>
      <c r="CG1" s="361">
        <v>45844.0</v>
      </c>
      <c r="CH1" s="361">
        <v>45845.0</v>
      </c>
      <c r="CI1" s="361">
        <v>45846.0</v>
      </c>
      <c r="CJ1" s="361">
        <v>45847.0</v>
      </c>
      <c r="CK1" s="361">
        <v>45848.0</v>
      </c>
      <c r="CL1" s="361">
        <v>45849.0</v>
      </c>
      <c r="CM1" s="361">
        <v>45850.0</v>
      </c>
      <c r="CN1" s="361">
        <v>45851.0</v>
      </c>
      <c r="CO1" s="361">
        <v>45852.0</v>
      </c>
      <c r="CP1" s="361">
        <v>45853.0</v>
      </c>
      <c r="CQ1" s="361">
        <v>45854.0</v>
      </c>
      <c r="CR1" s="361">
        <v>45855.0</v>
      </c>
      <c r="CS1" s="361">
        <v>45856.0</v>
      </c>
      <c r="CT1" s="361">
        <v>45857.0</v>
      </c>
      <c r="CU1" s="361">
        <v>45858.0</v>
      </c>
      <c r="CV1" s="361">
        <v>45859.0</v>
      </c>
      <c r="CW1" s="361">
        <v>45860.0</v>
      </c>
      <c r="CX1" s="361">
        <v>45861.0</v>
      </c>
      <c r="CY1" s="361">
        <v>45862.0</v>
      </c>
      <c r="CZ1" s="361">
        <v>45863.0</v>
      </c>
      <c r="DA1" s="361">
        <v>45864.0</v>
      </c>
      <c r="DB1" s="361">
        <v>45865.0</v>
      </c>
      <c r="DC1" s="361">
        <v>45866.0</v>
      </c>
      <c r="DD1" s="361">
        <v>45867.0</v>
      </c>
      <c r="DE1" s="361">
        <v>45868.0</v>
      </c>
      <c r="DF1" s="361">
        <v>45869.0</v>
      </c>
      <c r="DG1" s="361">
        <v>45870.0</v>
      </c>
      <c r="DH1" s="361">
        <v>45871.0</v>
      </c>
      <c r="DI1" s="361">
        <v>45872.0</v>
      </c>
      <c r="DJ1" s="361">
        <v>45873.0</v>
      </c>
      <c r="DK1" s="361">
        <v>45874.0</v>
      </c>
      <c r="DL1" s="361">
        <v>45875.0</v>
      </c>
      <c r="DM1" s="361">
        <v>45876.0</v>
      </c>
      <c r="DN1" s="361">
        <v>45877.0</v>
      </c>
      <c r="DO1" s="361">
        <v>45878.0</v>
      </c>
      <c r="DP1" s="361">
        <v>45879.0</v>
      </c>
      <c r="DQ1" s="361">
        <v>45880.0</v>
      </c>
      <c r="DR1" s="361">
        <v>45881.0</v>
      </c>
      <c r="DS1" s="361">
        <v>45882.0</v>
      </c>
      <c r="DT1" s="361">
        <v>45883.0</v>
      </c>
      <c r="DU1" s="361">
        <v>45884.0</v>
      </c>
      <c r="DV1" s="361">
        <v>45885.0</v>
      </c>
      <c r="DW1" s="361">
        <v>45886.0</v>
      </c>
      <c r="DX1" s="361">
        <v>45887.0</v>
      </c>
      <c r="DY1" s="361">
        <v>45888.0</v>
      </c>
      <c r="DZ1" s="361">
        <v>45889.0</v>
      </c>
      <c r="EA1" s="361">
        <v>45890.0</v>
      </c>
      <c r="EB1" s="361">
        <v>45891.0</v>
      </c>
      <c r="EC1" s="361">
        <v>45892.0</v>
      </c>
      <c r="ED1" s="361">
        <v>45893.0</v>
      </c>
      <c r="EE1" s="361">
        <v>45894.0</v>
      </c>
      <c r="EF1" s="361">
        <v>45895.0</v>
      </c>
      <c r="EG1" s="361">
        <v>45896.0</v>
      </c>
      <c r="EH1" s="361">
        <v>45897.0</v>
      </c>
      <c r="EI1" s="361">
        <v>45898.0</v>
      </c>
      <c r="EJ1" s="361">
        <v>45899.0</v>
      </c>
      <c r="EK1" s="361">
        <v>45900.0</v>
      </c>
      <c r="EL1" s="361">
        <v>45901.0</v>
      </c>
      <c r="EM1" s="361">
        <v>45902.0</v>
      </c>
      <c r="EN1" s="361">
        <v>45903.0</v>
      </c>
      <c r="EO1" s="361">
        <v>45904.0</v>
      </c>
      <c r="EP1" s="361">
        <v>45905.0</v>
      </c>
      <c r="EQ1" s="361">
        <v>45906.0</v>
      </c>
      <c r="ER1" s="361">
        <v>45907.0</v>
      </c>
      <c r="ES1" s="361">
        <v>45908.0</v>
      </c>
      <c r="ET1" s="361">
        <v>45909.0</v>
      </c>
      <c r="EU1" s="361">
        <v>45910.0</v>
      </c>
      <c r="EV1" s="361">
        <v>45911.0</v>
      </c>
      <c r="EW1" s="361">
        <v>45912.0</v>
      </c>
      <c r="EX1" s="361">
        <v>45913.0</v>
      </c>
      <c r="EY1" s="361">
        <v>45914.0</v>
      </c>
      <c r="EZ1" s="361">
        <v>45915.0</v>
      </c>
      <c r="FA1" s="361">
        <v>45916.0</v>
      </c>
      <c r="FB1" s="361">
        <v>45917.0</v>
      </c>
      <c r="FC1" s="361">
        <v>45918.0</v>
      </c>
      <c r="FD1" s="361">
        <v>45919.0</v>
      </c>
      <c r="FE1" s="361">
        <v>45920.0</v>
      </c>
      <c r="FF1" s="361">
        <v>45921.0</v>
      </c>
      <c r="FG1" s="361">
        <v>45922.0</v>
      </c>
      <c r="FH1" s="361">
        <v>45923.0</v>
      </c>
      <c r="FI1" s="361">
        <v>45924.0</v>
      </c>
      <c r="FJ1" s="361">
        <v>45925.0</v>
      </c>
      <c r="FK1" s="361">
        <v>45926.0</v>
      </c>
      <c r="FL1" s="361">
        <v>45927.0</v>
      </c>
      <c r="FM1" s="361">
        <v>45928.0</v>
      </c>
      <c r="FN1" s="361">
        <v>45929.0</v>
      </c>
      <c r="FO1" s="361">
        <v>45930.0</v>
      </c>
      <c r="FP1" s="361">
        <v>45931.0</v>
      </c>
      <c r="FQ1" s="361">
        <v>45932.0</v>
      </c>
      <c r="FR1" s="361">
        <v>45933.0</v>
      </c>
      <c r="FS1" s="361">
        <v>45934.0</v>
      </c>
      <c r="FT1" s="361">
        <v>45935.0</v>
      </c>
      <c r="FU1" s="361">
        <v>45936.0</v>
      </c>
      <c r="FV1" s="361">
        <v>45937.0</v>
      </c>
      <c r="FW1" s="361">
        <v>45938.0</v>
      </c>
      <c r="FX1" s="361">
        <v>45939.0</v>
      </c>
      <c r="FY1" s="361">
        <v>45940.0</v>
      </c>
      <c r="FZ1" s="361">
        <v>45941.0</v>
      </c>
      <c r="GA1" s="361">
        <v>45942.0</v>
      </c>
      <c r="GB1" s="361">
        <v>45943.0</v>
      </c>
      <c r="GC1" s="361">
        <v>45944.0</v>
      </c>
      <c r="GD1" s="361">
        <v>45945.0</v>
      </c>
      <c r="GE1" s="361">
        <v>45946.0</v>
      </c>
      <c r="GF1" s="361">
        <v>45947.0</v>
      </c>
      <c r="GG1" s="361">
        <v>45948.0</v>
      </c>
      <c r="GH1" s="361">
        <v>45949.0</v>
      </c>
      <c r="GI1" s="361">
        <v>45950.0</v>
      </c>
      <c r="GJ1" s="361">
        <v>45951.0</v>
      </c>
      <c r="GK1" s="361">
        <v>45952.0</v>
      </c>
      <c r="GL1" s="361">
        <v>45953.0</v>
      </c>
      <c r="GM1" s="361">
        <v>45954.0</v>
      </c>
      <c r="GN1" s="361">
        <v>45955.0</v>
      </c>
      <c r="GO1" s="361">
        <v>45956.0</v>
      </c>
      <c r="GP1" s="361">
        <v>45957.0</v>
      </c>
      <c r="GQ1" s="361">
        <v>45958.0</v>
      </c>
      <c r="GR1" s="361">
        <v>45959.0</v>
      </c>
      <c r="GS1" s="361">
        <v>45960.0</v>
      </c>
      <c r="GT1" s="361">
        <v>45961.0</v>
      </c>
      <c r="GU1" s="361">
        <v>45962.0</v>
      </c>
      <c r="GV1" s="361">
        <v>45963.0</v>
      </c>
      <c r="GW1" s="361">
        <v>45964.0</v>
      </c>
      <c r="GX1" s="361">
        <v>45965.0</v>
      </c>
      <c r="GY1" s="361">
        <v>45966.0</v>
      </c>
      <c r="GZ1" s="361">
        <v>45967.0</v>
      </c>
      <c r="HA1" s="361">
        <v>45968.0</v>
      </c>
      <c r="HB1" s="361">
        <v>45969.0</v>
      </c>
      <c r="HC1" s="361">
        <v>45970.0</v>
      </c>
      <c r="HD1" s="361">
        <v>45971.0</v>
      </c>
      <c r="HE1" s="361">
        <v>45972.0</v>
      </c>
      <c r="HF1" s="361">
        <v>45973.0</v>
      </c>
      <c r="HG1" s="361">
        <v>45974.0</v>
      </c>
      <c r="HH1" s="361">
        <v>45975.0</v>
      </c>
      <c r="HI1" s="361">
        <v>45976.0</v>
      </c>
      <c r="HJ1" s="361">
        <v>45977.0</v>
      </c>
      <c r="HK1" s="361">
        <v>45978.0</v>
      </c>
      <c r="HL1" s="361">
        <v>45979.0</v>
      </c>
      <c r="HM1" s="361">
        <v>45980.0</v>
      </c>
      <c r="HN1" s="361">
        <v>45981.0</v>
      </c>
      <c r="HO1" s="361">
        <v>45982.0</v>
      </c>
      <c r="HP1" s="361">
        <v>45983.0</v>
      </c>
      <c r="HQ1" s="361">
        <v>45984.0</v>
      </c>
      <c r="HR1" s="361">
        <v>45985.0</v>
      </c>
      <c r="HS1" s="361">
        <v>45986.0</v>
      </c>
      <c r="HT1" s="361">
        <v>45987.0</v>
      </c>
      <c r="HU1" s="361">
        <v>45988.0</v>
      </c>
      <c r="HV1" s="361">
        <v>45989.0</v>
      </c>
      <c r="HW1" s="361">
        <v>45990.0</v>
      </c>
      <c r="HX1" s="361">
        <v>45991.0</v>
      </c>
      <c r="HY1" s="361">
        <v>45992.0</v>
      </c>
      <c r="HZ1" s="361">
        <v>45993.0</v>
      </c>
      <c r="IA1" s="361">
        <v>45994.0</v>
      </c>
      <c r="IB1" s="361">
        <v>45995.0</v>
      </c>
    </row>
    <row r="2">
      <c r="A2" s="95" t="s">
        <v>129</v>
      </c>
      <c r="C2" s="96">
        <v>1.0</v>
      </c>
      <c r="D2" s="96">
        <v>1.0</v>
      </c>
      <c r="E2" s="99">
        <v>1.0</v>
      </c>
      <c r="F2" s="99">
        <v>1.0</v>
      </c>
      <c r="G2" s="99">
        <v>1.0</v>
      </c>
      <c r="H2" s="99">
        <v>1.0</v>
      </c>
      <c r="I2" s="99">
        <v>0.83</v>
      </c>
      <c r="J2" s="99">
        <v>1.0</v>
      </c>
      <c r="K2" s="99">
        <v>1.0</v>
      </c>
      <c r="L2" s="99">
        <v>0.92</v>
      </c>
      <c r="M2" s="99">
        <v>1.0</v>
      </c>
      <c r="N2" s="99">
        <v>0.93</v>
      </c>
      <c r="O2" s="99">
        <v>0.92</v>
      </c>
      <c r="P2" s="99">
        <v>1.0</v>
      </c>
      <c r="Q2" s="99">
        <v>0.92</v>
      </c>
      <c r="R2" s="99">
        <v>0.83</v>
      </c>
      <c r="S2" s="99">
        <v>1.0</v>
      </c>
      <c r="T2" s="99">
        <v>1.0</v>
      </c>
      <c r="U2" s="99">
        <v>1.0</v>
      </c>
      <c r="V2" s="99">
        <v>0.78</v>
      </c>
      <c r="W2" s="99">
        <v>0.94</v>
      </c>
      <c r="X2" s="99">
        <v>0.94</v>
      </c>
      <c r="Y2" s="99">
        <v>0.83</v>
      </c>
      <c r="Z2" s="99">
        <v>1.0</v>
      </c>
      <c r="AA2" s="99">
        <v>1.0</v>
      </c>
      <c r="AB2" s="99">
        <v>0.94</v>
      </c>
      <c r="AC2" s="99">
        <v>0.67</v>
      </c>
      <c r="AD2" s="99">
        <v>0.89</v>
      </c>
      <c r="AE2" s="99">
        <v>0.72</v>
      </c>
      <c r="AF2" s="99">
        <v>0.89</v>
      </c>
      <c r="AG2" s="99">
        <v>0.83</v>
      </c>
      <c r="AH2" s="99">
        <v>1.0</v>
      </c>
      <c r="AI2" s="99">
        <v>1.0</v>
      </c>
      <c r="AJ2" s="99">
        <v>0.9</v>
      </c>
      <c r="AK2" s="99">
        <v>0.89</v>
      </c>
      <c r="AL2" s="99">
        <v>1.0</v>
      </c>
      <c r="AM2" s="99">
        <v>0.89</v>
      </c>
      <c r="AN2" s="99">
        <v>0.88</v>
      </c>
      <c r="AO2" s="99">
        <v>0.88</v>
      </c>
      <c r="AP2" s="99">
        <v>0.88</v>
      </c>
      <c r="AQ2" s="99">
        <v>0.87</v>
      </c>
      <c r="AR2" s="99">
        <v>0.72</v>
      </c>
      <c r="AS2" s="99">
        <v>0.72</v>
      </c>
      <c r="AT2" s="99">
        <v>0.86</v>
      </c>
      <c r="AU2" s="99">
        <v>0.86</v>
      </c>
      <c r="AV2" s="99">
        <v>0.87</v>
      </c>
      <c r="AW2" s="99">
        <v>0.87</v>
      </c>
      <c r="AX2" s="99">
        <v>0.61</v>
      </c>
      <c r="AY2" s="99">
        <v>0.72</v>
      </c>
      <c r="AZ2" s="99">
        <v>0.72</v>
      </c>
      <c r="BA2" s="99">
        <v>0.76</v>
      </c>
      <c r="BB2" s="99">
        <v>0.94</v>
      </c>
      <c r="BC2" s="99">
        <v>1.0</v>
      </c>
      <c r="BD2" s="99">
        <v>1.0</v>
      </c>
      <c r="BE2" s="99">
        <v>1.0</v>
      </c>
      <c r="BF2" s="99">
        <v>0.89</v>
      </c>
      <c r="BG2" s="99">
        <v>0.78</v>
      </c>
      <c r="BH2" s="99">
        <v>0.94</v>
      </c>
      <c r="BI2" s="99">
        <v>0.89</v>
      </c>
      <c r="BJ2" s="99">
        <v>0.78</v>
      </c>
      <c r="BK2" s="99">
        <v>0.89</v>
      </c>
      <c r="BL2" s="99">
        <v>0.72</v>
      </c>
      <c r="BM2" s="99">
        <v>0.94</v>
      </c>
      <c r="BN2" s="99">
        <v>0.78</v>
      </c>
      <c r="BO2" s="99">
        <v>0.83</v>
      </c>
      <c r="BP2" s="99">
        <v>0.94</v>
      </c>
      <c r="BQ2" s="99">
        <v>0.89</v>
      </c>
      <c r="BR2" s="99">
        <v>0.83</v>
      </c>
      <c r="BS2" s="99">
        <v>0.5</v>
      </c>
      <c r="BT2" s="99">
        <v>0.56</v>
      </c>
      <c r="BU2" s="99">
        <v>0.94</v>
      </c>
      <c r="BV2" s="99">
        <v>0.89</v>
      </c>
      <c r="BW2" s="99">
        <v>0.72</v>
      </c>
      <c r="BX2" s="99">
        <v>0.89</v>
      </c>
      <c r="BY2" s="99">
        <v>0.94</v>
      </c>
      <c r="BZ2" s="99">
        <v>0.89</v>
      </c>
      <c r="CA2" s="99">
        <v>0.78</v>
      </c>
      <c r="CB2" s="99">
        <v>0.89</v>
      </c>
      <c r="CC2" s="99">
        <v>1.0</v>
      </c>
      <c r="CD2" s="99">
        <v>0.94</v>
      </c>
      <c r="CE2" s="99">
        <v>1.0</v>
      </c>
      <c r="CF2" s="99">
        <v>1.0</v>
      </c>
      <c r="CG2" s="99">
        <v>1.0</v>
      </c>
      <c r="CH2" s="99">
        <v>0.94</v>
      </c>
      <c r="CI2" s="99">
        <v>1.0</v>
      </c>
      <c r="CJ2" s="99">
        <v>1.0</v>
      </c>
      <c r="CK2" s="99">
        <v>0.94</v>
      </c>
      <c r="CL2" s="99">
        <v>1.0</v>
      </c>
      <c r="CM2" s="99">
        <v>1.0</v>
      </c>
      <c r="CN2" s="99">
        <v>0.72</v>
      </c>
      <c r="CO2" s="99">
        <v>0.78</v>
      </c>
      <c r="CP2" s="99">
        <v>0.89</v>
      </c>
      <c r="CQ2" s="99">
        <v>0.89</v>
      </c>
      <c r="CR2" s="99">
        <v>0.89</v>
      </c>
      <c r="CS2" s="99">
        <v>0.89</v>
      </c>
      <c r="CT2" s="99">
        <v>0.94</v>
      </c>
      <c r="CU2" s="99">
        <v>0.94</v>
      </c>
      <c r="CV2" s="99">
        <v>0.78</v>
      </c>
      <c r="CW2" s="99">
        <v>0.94</v>
      </c>
      <c r="CX2" s="99">
        <v>0.94</v>
      </c>
      <c r="CY2" s="99">
        <v>0.89</v>
      </c>
      <c r="CZ2" s="99">
        <v>1.0</v>
      </c>
      <c r="DA2" s="99">
        <v>1.0</v>
      </c>
      <c r="DB2" s="99">
        <v>0.83</v>
      </c>
      <c r="DC2" s="99">
        <v>0.84</v>
      </c>
      <c r="DD2" s="99">
        <v>1.0</v>
      </c>
      <c r="DE2" s="99">
        <v>1.0</v>
      </c>
      <c r="DF2" s="99">
        <v>0.78</v>
      </c>
      <c r="DG2" s="99">
        <v>1.0</v>
      </c>
      <c r="DH2" s="99">
        <v>1.0</v>
      </c>
      <c r="DI2" s="99">
        <v>0.78</v>
      </c>
      <c r="DJ2" s="99">
        <v>1.0</v>
      </c>
      <c r="DK2" s="99">
        <v>1.0</v>
      </c>
      <c r="DL2" s="99">
        <v>1.0</v>
      </c>
      <c r="DM2" s="99">
        <v>1.0</v>
      </c>
      <c r="DN2" s="99">
        <v>0.94</v>
      </c>
      <c r="DO2" s="99">
        <v>1.0</v>
      </c>
      <c r="DP2" s="99">
        <v>0.94</v>
      </c>
      <c r="DQ2" s="99">
        <v>0.89</v>
      </c>
      <c r="DR2" s="99">
        <v>1.0</v>
      </c>
      <c r="DS2" s="99">
        <v>0.89</v>
      </c>
      <c r="DT2" s="99">
        <v>0.89</v>
      </c>
      <c r="DU2" s="99">
        <v>1.0</v>
      </c>
      <c r="DV2" s="99">
        <v>1.0</v>
      </c>
      <c r="DW2" s="99">
        <v>0.78</v>
      </c>
      <c r="DX2" s="99">
        <v>0.83</v>
      </c>
      <c r="DY2" s="99">
        <v>1.0</v>
      </c>
      <c r="DZ2" s="99">
        <v>0.94</v>
      </c>
      <c r="EA2" s="99">
        <v>1.0</v>
      </c>
      <c r="EB2" s="99">
        <v>1.0</v>
      </c>
      <c r="EC2" s="99">
        <v>1.0</v>
      </c>
      <c r="ED2" s="99">
        <v>0.56</v>
      </c>
      <c r="EE2" s="99">
        <v>0.89</v>
      </c>
      <c r="EF2" s="99">
        <v>0.94</v>
      </c>
      <c r="EG2" s="99">
        <v>0.94</v>
      </c>
      <c r="EH2" s="99">
        <v>0.89</v>
      </c>
      <c r="EI2" s="99">
        <v>0.89</v>
      </c>
      <c r="EJ2" s="99">
        <v>1.0</v>
      </c>
      <c r="EK2" s="99">
        <v>0.44</v>
      </c>
      <c r="EL2" s="99">
        <v>0.5</v>
      </c>
      <c r="EM2" s="99">
        <v>0.61</v>
      </c>
      <c r="EN2" s="99">
        <v>0.61</v>
      </c>
      <c r="EO2" s="99">
        <v>0.67</v>
      </c>
      <c r="EP2" s="99">
        <v>0.78</v>
      </c>
      <c r="EQ2" s="99">
        <v>0.94</v>
      </c>
      <c r="ER2" s="99">
        <v>0.83</v>
      </c>
      <c r="ES2" s="99">
        <v>0.83</v>
      </c>
      <c r="ET2" s="99">
        <v>0.89</v>
      </c>
      <c r="EU2" s="99">
        <v>0.94</v>
      </c>
      <c r="EV2" s="99">
        <v>0.67</v>
      </c>
      <c r="EW2" s="99">
        <v>1.0</v>
      </c>
      <c r="EX2" s="99">
        <v>1.0</v>
      </c>
      <c r="EY2" s="99">
        <v>0.56</v>
      </c>
      <c r="EZ2" s="99">
        <v>0.5</v>
      </c>
      <c r="FA2" s="99">
        <v>0.89</v>
      </c>
      <c r="FB2" s="99">
        <v>0.67</v>
      </c>
      <c r="FC2" s="99">
        <v>0.83</v>
      </c>
      <c r="FD2" s="99">
        <v>0.89</v>
      </c>
      <c r="FE2" s="99">
        <v>1.0</v>
      </c>
      <c r="FF2" s="99">
        <v>0.56</v>
      </c>
      <c r="FG2" s="99">
        <v>0.83</v>
      </c>
      <c r="FH2" s="99">
        <v>0.78</v>
      </c>
      <c r="FI2" s="99">
        <v>0.83</v>
      </c>
      <c r="FJ2" s="99">
        <v>0.72</v>
      </c>
      <c r="FK2" s="99">
        <v>0.72</v>
      </c>
      <c r="FL2" s="99">
        <v>1.0</v>
      </c>
      <c r="FM2" s="99">
        <v>0.78</v>
      </c>
      <c r="FN2" s="99">
        <v>0.94</v>
      </c>
      <c r="FO2" s="99">
        <v>0.89</v>
      </c>
      <c r="FP2" s="99">
        <v>0.83</v>
      </c>
      <c r="FQ2" s="99">
        <v>1.0</v>
      </c>
      <c r="FR2" s="99">
        <v>1.0</v>
      </c>
      <c r="FS2" s="99">
        <v>1.0</v>
      </c>
      <c r="FT2" s="99">
        <v>0.72</v>
      </c>
      <c r="FU2" s="99">
        <v>0.64</v>
      </c>
      <c r="FV2" s="99">
        <v>0.75</v>
      </c>
      <c r="FW2" s="99">
        <v>0.67</v>
      </c>
      <c r="FX2" s="99">
        <v>0.56</v>
      </c>
      <c r="FY2" s="99">
        <v>0.75</v>
      </c>
      <c r="FZ2" s="99">
        <v>0.75</v>
      </c>
      <c r="GA2" s="99">
        <v>0.64</v>
      </c>
      <c r="GB2" s="99">
        <v>0.83</v>
      </c>
      <c r="GC2" s="99">
        <v>0.92</v>
      </c>
      <c r="GD2" s="99">
        <v>0.78</v>
      </c>
      <c r="GE2" s="99">
        <v>0.67</v>
      </c>
      <c r="GF2" s="99">
        <v>0.81</v>
      </c>
      <c r="GG2" s="99">
        <v>0.64</v>
      </c>
      <c r="GH2" s="99">
        <v>0.47</v>
      </c>
      <c r="GI2" s="99">
        <v>0.72</v>
      </c>
      <c r="GJ2" s="99">
        <v>0.75</v>
      </c>
      <c r="GK2" s="99">
        <v>0.67</v>
      </c>
      <c r="GL2" s="99">
        <v>0.67</v>
      </c>
      <c r="GM2" s="99">
        <v>0.67</v>
      </c>
      <c r="GN2" s="99">
        <v>1.0</v>
      </c>
      <c r="GO2" s="99">
        <v>0.83</v>
      </c>
      <c r="GP2" s="99">
        <v>1.0</v>
      </c>
      <c r="GQ2" s="99">
        <v>0.61</v>
      </c>
      <c r="GR2" s="99">
        <v>0.61</v>
      </c>
      <c r="GS2" s="99">
        <v>0.39</v>
      </c>
      <c r="GT2" s="99">
        <v>1.0</v>
      </c>
      <c r="GU2" s="99">
        <v>1.0</v>
      </c>
      <c r="GV2" s="99">
        <v>0.28</v>
      </c>
      <c r="GW2" s="99">
        <v>0.17</v>
      </c>
      <c r="GX2" s="99">
        <v>0.44</v>
      </c>
      <c r="GY2" s="99">
        <v>0.44</v>
      </c>
      <c r="GZ2" s="99">
        <v>0.39</v>
      </c>
      <c r="HA2" s="99">
        <v>0.67</v>
      </c>
      <c r="HB2" s="99">
        <v>0.83</v>
      </c>
      <c r="HC2" s="99">
        <v>0.33</v>
      </c>
      <c r="HD2" s="99">
        <v>0.39</v>
      </c>
      <c r="HE2" s="99">
        <v>0.56</v>
      </c>
      <c r="HF2" s="99">
        <v>0.61</v>
      </c>
      <c r="HG2" s="99">
        <v>0.5</v>
      </c>
      <c r="HH2" s="99">
        <v>0.78</v>
      </c>
      <c r="HI2" s="99">
        <v>0.78</v>
      </c>
      <c r="HJ2" s="99">
        <v>0.72</v>
      </c>
      <c r="HK2" s="99">
        <v>0.33</v>
      </c>
      <c r="HL2" s="99">
        <v>0.33</v>
      </c>
      <c r="HM2" s="99">
        <v>0.39</v>
      </c>
      <c r="HN2" s="99">
        <v>0.28</v>
      </c>
      <c r="HO2" s="99">
        <v>0.5</v>
      </c>
      <c r="HP2" s="99">
        <v>0.78</v>
      </c>
      <c r="HQ2" s="99">
        <v>0.44</v>
      </c>
      <c r="HR2" s="99">
        <v>0.56</v>
      </c>
      <c r="HS2" s="99">
        <v>0.56</v>
      </c>
      <c r="HT2" s="99">
        <v>0.56</v>
      </c>
      <c r="HU2" s="99">
        <v>0.5</v>
      </c>
      <c r="HV2" s="99">
        <v>0.5</v>
      </c>
      <c r="HW2" s="99">
        <v>0.5</v>
      </c>
      <c r="HX2" s="99">
        <v>0.67</v>
      </c>
      <c r="HY2" s="99"/>
      <c r="HZ2" s="99"/>
      <c r="IA2" s="99"/>
      <c r="IB2" s="99"/>
    </row>
    <row r="3">
      <c r="A3" s="95" t="s">
        <v>438</v>
      </c>
      <c r="C3" s="101">
        <v>2.0</v>
      </c>
      <c r="D3" s="101">
        <v>3.0</v>
      </c>
      <c r="E3" s="103">
        <v>3.0</v>
      </c>
      <c r="F3" s="103">
        <v>15.0</v>
      </c>
      <c r="G3" s="103">
        <v>4.0</v>
      </c>
      <c r="H3" s="103">
        <v>8.0</v>
      </c>
      <c r="I3" s="103">
        <v>14.0</v>
      </c>
      <c r="J3" s="103">
        <v>6.0</v>
      </c>
      <c r="K3" s="103">
        <v>4.0</v>
      </c>
      <c r="L3" s="103">
        <v>5.0</v>
      </c>
      <c r="M3" s="103">
        <v>6.0</v>
      </c>
      <c r="N3" s="103">
        <v>2.0</v>
      </c>
      <c r="O3" s="77">
        <v>3.0</v>
      </c>
      <c r="P3" s="77">
        <v>6.0</v>
      </c>
      <c r="Q3" s="77">
        <v>4.0</v>
      </c>
      <c r="R3" s="77">
        <v>10.0</v>
      </c>
      <c r="S3" s="77">
        <v>10.0</v>
      </c>
      <c r="T3" s="77">
        <v>8.0</v>
      </c>
      <c r="U3" s="77">
        <v>2.0</v>
      </c>
      <c r="V3" s="77">
        <v>5.0</v>
      </c>
      <c r="W3" s="77">
        <v>5.0</v>
      </c>
      <c r="X3" s="77">
        <v>1.0</v>
      </c>
      <c r="Y3" s="77">
        <v>4.0</v>
      </c>
      <c r="Z3" s="77">
        <v>6.0</v>
      </c>
      <c r="AA3" s="77">
        <v>7.0</v>
      </c>
      <c r="AB3" s="77">
        <v>4.0</v>
      </c>
      <c r="AC3" s="77">
        <v>1.0</v>
      </c>
      <c r="AD3" s="77">
        <v>6.0</v>
      </c>
      <c r="AE3" s="77">
        <v>0.0</v>
      </c>
      <c r="AF3" s="77">
        <v>4.0</v>
      </c>
      <c r="AG3" s="77">
        <v>2.0</v>
      </c>
      <c r="AH3" s="77">
        <v>9.0</v>
      </c>
      <c r="AI3" s="77">
        <v>5.0</v>
      </c>
      <c r="AJ3" s="77">
        <v>6.0</v>
      </c>
      <c r="AK3" s="77">
        <v>4.0</v>
      </c>
      <c r="AL3" s="77">
        <v>5.0</v>
      </c>
      <c r="AM3" s="77">
        <v>1.0</v>
      </c>
      <c r="AN3" s="77">
        <v>1.0</v>
      </c>
      <c r="AO3" s="77">
        <v>4.0</v>
      </c>
      <c r="AP3" s="77">
        <v>5.0</v>
      </c>
      <c r="AQ3" s="77">
        <v>1.0</v>
      </c>
      <c r="AR3" s="77">
        <v>3.0</v>
      </c>
      <c r="AS3" s="77">
        <v>2.0</v>
      </c>
      <c r="AT3" s="77">
        <v>3.0</v>
      </c>
      <c r="AU3" s="77">
        <v>8.0</v>
      </c>
      <c r="AV3" s="77">
        <v>2.0</v>
      </c>
      <c r="AW3" s="77">
        <v>11.0</v>
      </c>
      <c r="AX3" s="77">
        <v>3.0</v>
      </c>
      <c r="AY3" s="77">
        <v>5.0</v>
      </c>
      <c r="AZ3" s="77">
        <v>2.0</v>
      </c>
      <c r="BA3" s="77">
        <v>4.0</v>
      </c>
      <c r="BB3" s="77">
        <v>5.0</v>
      </c>
      <c r="BC3" s="77">
        <v>4.0</v>
      </c>
      <c r="BD3" s="77">
        <v>3.0</v>
      </c>
      <c r="BE3" s="77">
        <v>5.0</v>
      </c>
      <c r="BF3" s="77">
        <v>6.0</v>
      </c>
      <c r="BG3" s="77">
        <v>2.0</v>
      </c>
      <c r="BH3" s="77">
        <v>4.0</v>
      </c>
      <c r="BI3" s="77">
        <v>2.0</v>
      </c>
      <c r="BJ3" s="77">
        <v>2.0</v>
      </c>
      <c r="BK3" s="77">
        <v>4.0</v>
      </c>
      <c r="BL3" s="77">
        <v>3.0</v>
      </c>
      <c r="BM3" s="77">
        <v>9.0</v>
      </c>
      <c r="BN3" s="77">
        <v>2.0</v>
      </c>
      <c r="BO3" s="77">
        <v>5.0</v>
      </c>
      <c r="BP3" s="77">
        <v>6.0</v>
      </c>
      <c r="BQ3" s="77">
        <v>4.0</v>
      </c>
      <c r="BR3" s="77">
        <v>0.0</v>
      </c>
      <c r="BS3" s="77">
        <v>1.0</v>
      </c>
      <c r="BT3" s="77">
        <v>1.0</v>
      </c>
      <c r="BU3" s="77">
        <v>7.0</v>
      </c>
      <c r="BV3" s="77">
        <v>5.0</v>
      </c>
      <c r="BW3" s="77">
        <v>2.0</v>
      </c>
      <c r="BX3" s="77">
        <v>6.0</v>
      </c>
      <c r="BY3" s="77">
        <v>7.0</v>
      </c>
      <c r="BZ3" s="77">
        <v>5.0</v>
      </c>
      <c r="CA3" s="77">
        <v>9.0</v>
      </c>
      <c r="CB3" s="77">
        <v>2.0</v>
      </c>
      <c r="CC3" s="77">
        <v>3.0</v>
      </c>
      <c r="CD3" s="77">
        <v>3.0</v>
      </c>
      <c r="CE3" s="77">
        <v>15.0</v>
      </c>
      <c r="CF3" s="77">
        <v>4.0</v>
      </c>
      <c r="CG3" s="77">
        <v>10.0</v>
      </c>
      <c r="CH3" s="77">
        <v>9.0</v>
      </c>
      <c r="CI3" s="77">
        <v>10.0</v>
      </c>
      <c r="CJ3" s="77">
        <v>10.0</v>
      </c>
      <c r="CK3" s="77">
        <v>9.0</v>
      </c>
      <c r="CL3" s="77">
        <v>15.0</v>
      </c>
      <c r="CM3" s="77">
        <v>10.0</v>
      </c>
      <c r="CN3" s="77">
        <v>10.0</v>
      </c>
      <c r="CO3" s="77">
        <v>10.0</v>
      </c>
      <c r="CP3" s="77">
        <v>5.0</v>
      </c>
      <c r="CQ3" s="77">
        <v>6.0</v>
      </c>
      <c r="CR3" s="77">
        <v>3.0</v>
      </c>
      <c r="CS3" s="77">
        <v>7.0</v>
      </c>
      <c r="CT3" s="77">
        <v>3.0</v>
      </c>
      <c r="CU3" s="77">
        <v>4.0</v>
      </c>
      <c r="CV3" s="77">
        <v>4.0</v>
      </c>
      <c r="CW3" s="77">
        <v>6.0</v>
      </c>
      <c r="CX3" s="77">
        <v>6.0</v>
      </c>
      <c r="CY3" s="77">
        <v>5.0</v>
      </c>
      <c r="CZ3" s="77">
        <v>8.0</v>
      </c>
      <c r="DA3" s="77">
        <v>3.0</v>
      </c>
      <c r="DB3" s="77">
        <v>4.0</v>
      </c>
      <c r="DC3" s="77">
        <v>4.0</v>
      </c>
      <c r="DD3" s="77">
        <v>7.0</v>
      </c>
      <c r="DE3" s="77">
        <v>5.0</v>
      </c>
      <c r="DF3" s="77">
        <v>13.0</v>
      </c>
      <c r="DG3" s="77">
        <v>10.0</v>
      </c>
      <c r="DH3" s="77">
        <v>5.0</v>
      </c>
      <c r="DI3" s="77">
        <v>3.0</v>
      </c>
      <c r="DJ3" s="77">
        <v>6.0</v>
      </c>
      <c r="DK3" s="77">
        <v>1.0</v>
      </c>
      <c r="DL3" s="77">
        <v>3.0</v>
      </c>
      <c r="DM3" s="77">
        <v>8.0</v>
      </c>
      <c r="DN3" s="77">
        <v>8.0</v>
      </c>
      <c r="DO3" s="77">
        <v>7.0</v>
      </c>
      <c r="DP3" s="77">
        <v>7.0</v>
      </c>
      <c r="DQ3" s="77">
        <v>5.0</v>
      </c>
      <c r="DR3" s="77">
        <v>4.0</v>
      </c>
      <c r="DS3" s="77">
        <v>4.0</v>
      </c>
      <c r="DT3" s="77">
        <v>4.0</v>
      </c>
      <c r="DU3" s="77">
        <v>8.0</v>
      </c>
      <c r="DV3" s="77">
        <v>5.0</v>
      </c>
      <c r="DW3" s="77">
        <v>1.0</v>
      </c>
      <c r="DX3" s="77">
        <v>5.0</v>
      </c>
      <c r="DY3" s="77">
        <v>7.0</v>
      </c>
      <c r="DZ3" s="77">
        <v>6.0</v>
      </c>
      <c r="EA3" s="77">
        <v>5.0</v>
      </c>
      <c r="EB3" s="77">
        <v>5.0</v>
      </c>
      <c r="EC3" s="77">
        <v>4.0</v>
      </c>
      <c r="ED3" s="77">
        <v>1.0</v>
      </c>
      <c r="EE3" s="77">
        <v>8.0</v>
      </c>
      <c r="EF3" s="77">
        <v>7.0</v>
      </c>
      <c r="EG3" s="77">
        <v>4.0</v>
      </c>
      <c r="EH3" s="77">
        <v>7.0</v>
      </c>
      <c r="EI3" s="77">
        <v>7.0</v>
      </c>
      <c r="EJ3" s="77">
        <v>6.0</v>
      </c>
      <c r="EK3" s="77">
        <v>7.0</v>
      </c>
      <c r="EL3" s="77">
        <v>2.0</v>
      </c>
      <c r="EM3" s="77">
        <v>3.0</v>
      </c>
      <c r="EN3" s="77">
        <v>3.0</v>
      </c>
      <c r="EO3" s="77">
        <v>4.0</v>
      </c>
      <c r="EP3" s="77">
        <v>8.0</v>
      </c>
      <c r="EQ3" s="77">
        <v>9.0</v>
      </c>
      <c r="ER3" s="77">
        <v>7.0</v>
      </c>
      <c r="ES3" s="77">
        <v>5.0</v>
      </c>
      <c r="ET3" s="77">
        <v>5.0</v>
      </c>
      <c r="EU3" s="77">
        <v>6.0</v>
      </c>
      <c r="EV3" s="77">
        <v>2.0</v>
      </c>
      <c r="EW3" s="77">
        <v>9.0</v>
      </c>
      <c r="EX3" s="77">
        <v>6.0</v>
      </c>
      <c r="EY3" s="77">
        <v>8.0</v>
      </c>
      <c r="EZ3" s="77">
        <v>0.0</v>
      </c>
      <c r="FA3" s="77">
        <v>8.0</v>
      </c>
      <c r="FB3" s="77">
        <v>4.0</v>
      </c>
      <c r="FC3" s="77">
        <v>8.0</v>
      </c>
      <c r="FD3" s="77">
        <v>7.0</v>
      </c>
      <c r="FE3" s="77">
        <v>8.0</v>
      </c>
      <c r="FF3" s="77">
        <v>1.0</v>
      </c>
      <c r="FG3" s="77">
        <v>6.0</v>
      </c>
      <c r="FH3" s="77">
        <v>3.0</v>
      </c>
      <c r="FI3" s="77">
        <v>6.0</v>
      </c>
      <c r="FJ3" s="77">
        <v>5.0</v>
      </c>
      <c r="FK3" s="77">
        <v>5.0</v>
      </c>
      <c r="FL3" s="77">
        <v>6.0</v>
      </c>
      <c r="FM3" s="77">
        <v>6.0</v>
      </c>
      <c r="FN3" s="77">
        <v>5.0</v>
      </c>
      <c r="FO3" s="77">
        <v>3.0</v>
      </c>
      <c r="FP3" s="77">
        <v>4.0</v>
      </c>
      <c r="FQ3" s="77">
        <v>8.0</v>
      </c>
      <c r="FR3" s="77">
        <v>6.0</v>
      </c>
      <c r="FS3" s="77">
        <v>6.0</v>
      </c>
      <c r="FT3" s="77">
        <v>5.0</v>
      </c>
      <c r="FU3" s="77">
        <v>5.0</v>
      </c>
      <c r="FV3" s="77">
        <v>5.0</v>
      </c>
      <c r="FW3" s="77">
        <v>5.0</v>
      </c>
      <c r="FX3" s="77">
        <v>5.0</v>
      </c>
      <c r="FY3" s="77">
        <v>5.0</v>
      </c>
      <c r="FZ3" s="77">
        <v>11.0</v>
      </c>
      <c r="GA3" s="77">
        <v>8.0</v>
      </c>
      <c r="GB3" s="77">
        <v>7.0</v>
      </c>
      <c r="GC3" s="77">
        <v>6.0</v>
      </c>
      <c r="GD3" s="77">
        <v>5.0</v>
      </c>
      <c r="GE3" s="77">
        <v>8.0</v>
      </c>
      <c r="GF3" s="77">
        <v>7.0</v>
      </c>
      <c r="GG3" s="77">
        <v>11.0</v>
      </c>
      <c r="GH3" s="77">
        <v>4.0</v>
      </c>
      <c r="GI3" s="77">
        <v>6.0</v>
      </c>
      <c r="GJ3" s="77">
        <v>7.0</v>
      </c>
      <c r="GK3" s="77">
        <v>6.0</v>
      </c>
      <c r="GL3" s="77">
        <v>6.0</v>
      </c>
      <c r="GM3" s="77">
        <v>7.0</v>
      </c>
      <c r="GN3" s="77">
        <v>9.0</v>
      </c>
      <c r="GO3" s="77">
        <v>7.0</v>
      </c>
      <c r="GP3" s="77">
        <v>10.0</v>
      </c>
      <c r="GQ3" s="77">
        <v>6.0</v>
      </c>
      <c r="GR3" s="77">
        <v>6.0</v>
      </c>
      <c r="GS3" s="77">
        <v>3.0</v>
      </c>
      <c r="GT3" s="77">
        <v>16.0</v>
      </c>
      <c r="GU3" s="77">
        <v>7.0</v>
      </c>
      <c r="GV3" s="77">
        <v>4.0</v>
      </c>
      <c r="GW3" s="77">
        <v>1.0</v>
      </c>
      <c r="GX3" s="77">
        <v>5.0</v>
      </c>
      <c r="GY3" s="77">
        <v>6.0</v>
      </c>
      <c r="GZ3" s="77">
        <v>2.0</v>
      </c>
      <c r="HA3" s="77">
        <v>10.0</v>
      </c>
      <c r="HB3" s="77">
        <v>12.0</v>
      </c>
      <c r="HC3" s="77">
        <v>4.0</v>
      </c>
      <c r="HD3" s="77">
        <v>1.0</v>
      </c>
      <c r="HE3" s="77">
        <v>5.0</v>
      </c>
      <c r="HF3" s="77">
        <v>3.0</v>
      </c>
      <c r="HG3" s="77">
        <v>1.0</v>
      </c>
      <c r="HH3" s="77">
        <v>8.0</v>
      </c>
      <c r="HI3" s="77">
        <v>4.0</v>
      </c>
      <c r="HJ3" s="77">
        <v>6.0</v>
      </c>
      <c r="HK3" s="77">
        <v>2.0</v>
      </c>
      <c r="HL3" s="77">
        <v>2.0</v>
      </c>
      <c r="HM3" s="77">
        <v>3.0</v>
      </c>
      <c r="HN3" s="77">
        <v>1.0</v>
      </c>
      <c r="HO3" s="77">
        <v>5.0</v>
      </c>
      <c r="HP3" s="77">
        <v>10.0</v>
      </c>
      <c r="HQ3" s="77">
        <v>4.0</v>
      </c>
      <c r="HR3" s="77">
        <v>5.0</v>
      </c>
      <c r="HS3" s="77">
        <v>2.0</v>
      </c>
      <c r="HT3" s="77">
        <v>3.0</v>
      </c>
      <c r="HU3" s="77">
        <v>2.0</v>
      </c>
      <c r="HV3" s="77">
        <v>3.0</v>
      </c>
      <c r="HW3" s="77">
        <v>14.0</v>
      </c>
      <c r="HX3" s="77">
        <v>8.0</v>
      </c>
      <c r="HY3" s="77"/>
      <c r="HZ3" s="77"/>
      <c r="IA3" s="77"/>
      <c r="IB3" s="77"/>
    </row>
    <row r="4">
      <c r="A4" s="95" t="s">
        <v>439</v>
      </c>
      <c r="C4" s="101">
        <v>18.0</v>
      </c>
      <c r="D4" s="101">
        <v>18.0</v>
      </c>
      <c r="E4" s="103">
        <v>18.0</v>
      </c>
      <c r="F4" s="103">
        <v>18.0</v>
      </c>
      <c r="G4" s="103">
        <v>18.0</v>
      </c>
      <c r="H4" s="103">
        <v>18.0</v>
      </c>
      <c r="I4" s="103">
        <v>15.0</v>
      </c>
      <c r="J4" s="103">
        <v>18.0</v>
      </c>
      <c r="K4" s="103">
        <v>18.0</v>
      </c>
      <c r="L4" s="103">
        <v>16.0</v>
      </c>
      <c r="M4" s="103">
        <v>18.0</v>
      </c>
      <c r="N4" s="103">
        <v>17.0</v>
      </c>
      <c r="O4" s="77">
        <v>15.0</v>
      </c>
      <c r="P4" s="77">
        <v>18.0</v>
      </c>
      <c r="Q4" s="77">
        <v>17.0</v>
      </c>
      <c r="R4" s="77">
        <v>15.0</v>
      </c>
      <c r="S4" s="77">
        <v>18.0</v>
      </c>
      <c r="T4" s="77">
        <v>18.0</v>
      </c>
      <c r="U4" s="77">
        <v>18.0</v>
      </c>
      <c r="V4" s="77">
        <v>14.0</v>
      </c>
      <c r="W4" s="77">
        <v>17.0</v>
      </c>
      <c r="X4" s="77">
        <v>17.0</v>
      </c>
      <c r="Y4" s="77">
        <v>15.0</v>
      </c>
      <c r="Z4" s="77">
        <v>18.0</v>
      </c>
      <c r="AA4" s="77">
        <v>18.0</v>
      </c>
      <c r="AB4" s="77">
        <v>17.0</v>
      </c>
      <c r="AC4" s="77">
        <v>12.0</v>
      </c>
      <c r="AD4" s="77">
        <v>16.0</v>
      </c>
      <c r="AE4" s="77">
        <v>13.0</v>
      </c>
      <c r="AF4" s="77">
        <v>16.0</v>
      </c>
      <c r="AG4" s="77">
        <v>15.0</v>
      </c>
      <c r="AH4" s="77">
        <v>18.0</v>
      </c>
      <c r="AI4" s="77">
        <v>18.0</v>
      </c>
      <c r="AJ4" s="77">
        <v>15.0</v>
      </c>
      <c r="AK4" s="77">
        <v>13.0</v>
      </c>
      <c r="AL4" s="77">
        <v>18.0</v>
      </c>
      <c r="AM4" s="77">
        <v>13.0</v>
      </c>
      <c r="AN4" s="77">
        <v>13.0</v>
      </c>
      <c r="AO4" s="77">
        <v>14.0</v>
      </c>
      <c r="AP4" s="77">
        <v>18.0</v>
      </c>
      <c r="AQ4" s="77">
        <v>11.0</v>
      </c>
      <c r="AR4" s="77">
        <v>12.0</v>
      </c>
      <c r="AS4" s="77">
        <v>13.0</v>
      </c>
      <c r="AT4" s="77">
        <v>14.0</v>
      </c>
      <c r="AU4" s="77">
        <v>18.0</v>
      </c>
      <c r="AV4" s="77">
        <v>18.0</v>
      </c>
      <c r="AW4" s="77">
        <v>18.0</v>
      </c>
      <c r="AX4" s="77">
        <v>7.0</v>
      </c>
      <c r="AY4" s="77">
        <v>16.0</v>
      </c>
      <c r="AZ4" s="77">
        <v>13.0</v>
      </c>
      <c r="BA4" s="77">
        <v>16.0</v>
      </c>
      <c r="BB4" s="77">
        <v>17.0</v>
      </c>
      <c r="BC4" s="77">
        <v>18.0</v>
      </c>
      <c r="BD4" s="77">
        <v>18.0</v>
      </c>
      <c r="BE4" s="77">
        <v>18.0</v>
      </c>
      <c r="BF4" s="77">
        <v>16.0</v>
      </c>
      <c r="BG4" s="77">
        <v>14.0</v>
      </c>
      <c r="BH4" s="77">
        <v>17.0</v>
      </c>
      <c r="BI4" s="77">
        <v>16.0</v>
      </c>
      <c r="BJ4" s="77">
        <v>14.0</v>
      </c>
      <c r="BK4" s="77">
        <v>16.0</v>
      </c>
      <c r="BL4" s="77">
        <v>13.0</v>
      </c>
      <c r="BM4" s="77">
        <v>17.0</v>
      </c>
      <c r="BN4" s="77">
        <v>14.0</v>
      </c>
      <c r="BO4" s="77">
        <v>16.0</v>
      </c>
      <c r="BP4" s="77">
        <v>17.0</v>
      </c>
      <c r="BQ4" s="77">
        <v>16.0</v>
      </c>
      <c r="BR4" s="77">
        <v>15.0</v>
      </c>
      <c r="BS4" s="77">
        <v>9.0</v>
      </c>
      <c r="BT4" s="77">
        <v>10.0</v>
      </c>
      <c r="BU4" s="77">
        <v>17.0</v>
      </c>
      <c r="BV4" s="77">
        <v>16.0</v>
      </c>
      <c r="BW4" s="77">
        <v>13.0</v>
      </c>
      <c r="BX4" s="77">
        <v>16.0</v>
      </c>
      <c r="BY4" s="77">
        <v>17.0</v>
      </c>
      <c r="BZ4" s="77">
        <v>16.0</v>
      </c>
      <c r="CA4" s="77">
        <v>14.0</v>
      </c>
      <c r="CB4" s="77">
        <v>16.0</v>
      </c>
      <c r="CC4" s="77">
        <v>18.0</v>
      </c>
      <c r="CD4" s="77">
        <v>17.0</v>
      </c>
      <c r="CE4" s="77">
        <v>18.0</v>
      </c>
      <c r="CF4" s="77">
        <v>18.0</v>
      </c>
      <c r="CG4" s="77">
        <v>18.0</v>
      </c>
      <c r="CH4" s="77">
        <v>17.0</v>
      </c>
      <c r="CI4" s="77">
        <v>18.0</v>
      </c>
      <c r="CJ4" s="77">
        <v>18.0</v>
      </c>
      <c r="CK4" s="77">
        <v>17.0</v>
      </c>
      <c r="CL4" s="77">
        <v>18.0</v>
      </c>
      <c r="CM4" s="77">
        <v>18.0</v>
      </c>
      <c r="CN4" s="77">
        <v>13.0</v>
      </c>
      <c r="CO4" s="77">
        <v>13.0</v>
      </c>
      <c r="CP4" s="77">
        <v>16.0</v>
      </c>
      <c r="CQ4" s="77">
        <v>16.0</v>
      </c>
      <c r="CR4" s="77">
        <v>16.0</v>
      </c>
      <c r="CS4" s="77">
        <v>16.0</v>
      </c>
      <c r="CT4" s="77">
        <v>17.0</v>
      </c>
      <c r="CU4" s="77">
        <v>17.0</v>
      </c>
      <c r="CV4" s="77">
        <v>14.0</v>
      </c>
      <c r="CW4" s="77">
        <v>17.0</v>
      </c>
      <c r="CX4" s="77">
        <v>17.0</v>
      </c>
      <c r="CY4" s="77">
        <v>16.0</v>
      </c>
      <c r="CZ4" s="77">
        <v>18.0</v>
      </c>
      <c r="DA4" s="77">
        <v>18.0</v>
      </c>
      <c r="DB4" s="77">
        <v>15.0</v>
      </c>
      <c r="DC4" s="77">
        <v>17.0</v>
      </c>
      <c r="DD4" s="77">
        <v>18.0</v>
      </c>
      <c r="DE4" s="77">
        <v>18.0</v>
      </c>
      <c r="DF4" s="77">
        <v>14.0</v>
      </c>
      <c r="DG4" s="77">
        <v>18.0</v>
      </c>
      <c r="DH4" s="77">
        <v>18.0</v>
      </c>
      <c r="DI4" s="77">
        <v>14.0</v>
      </c>
      <c r="DJ4" s="77">
        <v>18.0</v>
      </c>
      <c r="DK4" s="77">
        <v>18.0</v>
      </c>
      <c r="DL4" s="77">
        <v>18.0</v>
      </c>
      <c r="DM4" s="77">
        <v>18.0</v>
      </c>
      <c r="DN4" s="77">
        <v>17.0</v>
      </c>
      <c r="DO4" s="77">
        <v>18.0</v>
      </c>
      <c r="DP4" s="77">
        <v>17.0</v>
      </c>
      <c r="DQ4" s="77">
        <v>16.0</v>
      </c>
      <c r="DR4" s="77">
        <v>18.0</v>
      </c>
      <c r="DS4" s="77">
        <v>16.0</v>
      </c>
      <c r="DT4" s="77">
        <v>16.0</v>
      </c>
      <c r="DU4" s="77">
        <v>16.0</v>
      </c>
      <c r="DV4" s="77">
        <v>18.0</v>
      </c>
      <c r="DW4" s="77">
        <v>14.0</v>
      </c>
      <c r="DX4" s="77">
        <v>15.0</v>
      </c>
      <c r="DY4" s="77">
        <v>18.0</v>
      </c>
      <c r="DZ4" s="77">
        <v>17.0</v>
      </c>
      <c r="EA4" s="77">
        <v>18.0</v>
      </c>
      <c r="EB4" s="77">
        <v>18.0</v>
      </c>
      <c r="EC4" s="77">
        <v>18.0</v>
      </c>
      <c r="ED4" s="77">
        <v>9.0</v>
      </c>
      <c r="EE4" s="77">
        <v>16.0</v>
      </c>
      <c r="EF4" s="77">
        <v>17.0</v>
      </c>
      <c r="EG4" s="77">
        <v>17.0</v>
      </c>
      <c r="EH4" s="77">
        <v>16.0</v>
      </c>
      <c r="EI4" s="77">
        <v>16.0</v>
      </c>
      <c r="EJ4" s="77">
        <v>18.0</v>
      </c>
      <c r="EK4" s="77">
        <v>8.0</v>
      </c>
      <c r="EL4" s="77">
        <v>9.0</v>
      </c>
      <c r="EM4" s="77">
        <v>11.0</v>
      </c>
      <c r="EN4" s="77">
        <v>11.0</v>
      </c>
      <c r="EO4" s="77">
        <v>12.0</v>
      </c>
      <c r="EP4" s="77">
        <v>14.0</v>
      </c>
      <c r="EQ4" s="77">
        <v>17.0</v>
      </c>
      <c r="ER4" s="77">
        <v>15.0</v>
      </c>
      <c r="ES4" s="77">
        <v>15.0</v>
      </c>
      <c r="ET4" s="77">
        <v>16.0</v>
      </c>
      <c r="EU4" s="77">
        <v>17.0</v>
      </c>
      <c r="EV4" s="77">
        <v>12.0</v>
      </c>
      <c r="EW4" s="77">
        <v>18.0</v>
      </c>
      <c r="EX4" s="77">
        <v>18.0</v>
      </c>
      <c r="EY4" s="77">
        <v>10.0</v>
      </c>
      <c r="EZ4" s="77">
        <v>9.0</v>
      </c>
      <c r="FA4" s="77">
        <v>16.0</v>
      </c>
      <c r="FB4" s="77">
        <v>13.0</v>
      </c>
      <c r="FC4" s="77">
        <v>15.0</v>
      </c>
      <c r="FD4" s="77">
        <v>16.0</v>
      </c>
      <c r="FE4" s="77">
        <v>18.0</v>
      </c>
      <c r="FF4" s="77">
        <v>10.0</v>
      </c>
      <c r="FG4" s="77">
        <v>15.0</v>
      </c>
      <c r="FH4" s="77">
        <v>15.0</v>
      </c>
      <c r="FI4" s="77">
        <v>15.0</v>
      </c>
      <c r="FJ4" s="77">
        <v>13.0</v>
      </c>
      <c r="FK4" s="77">
        <v>13.0</v>
      </c>
      <c r="FL4" s="77">
        <v>18.0</v>
      </c>
      <c r="FM4" s="77">
        <v>14.0</v>
      </c>
      <c r="FN4" s="77">
        <v>17.0</v>
      </c>
      <c r="FO4" s="77">
        <v>17.0</v>
      </c>
      <c r="FP4" s="77">
        <v>15.0</v>
      </c>
      <c r="FQ4" s="77">
        <v>18.0</v>
      </c>
      <c r="FR4" s="77">
        <v>18.0</v>
      </c>
      <c r="FS4" s="77">
        <v>18.0</v>
      </c>
      <c r="FT4" s="77">
        <v>13.0</v>
      </c>
      <c r="FU4" s="77">
        <v>10.0</v>
      </c>
      <c r="FV4" s="77">
        <v>13.0</v>
      </c>
      <c r="FW4" s="77">
        <v>15.0</v>
      </c>
      <c r="FX4" s="77">
        <v>10.0</v>
      </c>
      <c r="FY4" s="77">
        <v>10.0</v>
      </c>
      <c r="FZ4" s="77">
        <v>17.0</v>
      </c>
      <c r="GA4" s="77">
        <v>10.0</v>
      </c>
      <c r="GB4" s="77">
        <v>13.0</v>
      </c>
      <c r="GC4" s="77">
        <v>17.0</v>
      </c>
      <c r="GD4" s="77">
        <v>16.0</v>
      </c>
      <c r="GE4" s="77">
        <v>12.0</v>
      </c>
      <c r="GF4" s="77">
        <v>12.0</v>
      </c>
      <c r="GG4" s="77">
        <v>17.0</v>
      </c>
      <c r="GH4" s="77">
        <v>6.0</v>
      </c>
      <c r="GI4" s="77">
        <v>11.0</v>
      </c>
      <c r="GJ4" s="77">
        <v>16.0</v>
      </c>
      <c r="GK4" s="77">
        <v>12.0</v>
      </c>
      <c r="GL4" s="77">
        <v>12.0</v>
      </c>
      <c r="GM4" s="77">
        <v>12.0</v>
      </c>
      <c r="GN4" s="77">
        <v>18.0</v>
      </c>
      <c r="GO4" s="77">
        <v>15.0</v>
      </c>
      <c r="GP4" s="77">
        <v>18.0</v>
      </c>
      <c r="GQ4" s="77">
        <v>11.0</v>
      </c>
      <c r="GR4" s="77">
        <v>7.0</v>
      </c>
      <c r="GS4" s="77">
        <v>11.0</v>
      </c>
      <c r="GT4" s="77">
        <v>18.0</v>
      </c>
      <c r="GU4" s="77">
        <v>18.0</v>
      </c>
      <c r="GV4" s="77">
        <v>5.0</v>
      </c>
      <c r="GW4" s="77">
        <v>3.0</v>
      </c>
      <c r="GX4" s="77">
        <v>8.0</v>
      </c>
      <c r="GY4" s="77">
        <v>8.0</v>
      </c>
      <c r="GZ4" s="77">
        <v>7.0</v>
      </c>
      <c r="HA4" s="77">
        <v>12.0</v>
      </c>
      <c r="HB4" s="77">
        <v>15.0</v>
      </c>
      <c r="HC4" s="77">
        <v>6.0</v>
      </c>
      <c r="HD4" s="77">
        <v>7.0</v>
      </c>
      <c r="HE4" s="77">
        <v>10.0</v>
      </c>
      <c r="HF4" s="77">
        <v>11.0</v>
      </c>
      <c r="HG4" s="77">
        <v>9.0</v>
      </c>
      <c r="HH4" s="77">
        <v>14.0</v>
      </c>
      <c r="HI4" s="77">
        <v>14.0</v>
      </c>
      <c r="HJ4" s="77">
        <v>13.0</v>
      </c>
      <c r="HK4" s="77">
        <v>6.0</v>
      </c>
      <c r="HL4" s="77">
        <v>6.0</v>
      </c>
      <c r="HM4" s="77">
        <v>7.0</v>
      </c>
      <c r="HN4" s="77">
        <v>5.0</v>
      </c>
      <c r="HO4" s="77">
        <v>9.0</v>
      </c>
      <c r="HP4" s="77">
        <v>14.0</v>
      </c>
      <c r="HQ4" s="77">
        <v>8.0</v>
      </c>
      <c r="HR4" s="77">
        <v>10.0</v>
      </c>
      <c r="HS4" s="77">
        <v>10.0</v>
      </c>
      <c r="HT4" s="77">
        <v>10.0</v>
      </c>
      <c r="HU4" s="77">
        <v>9.0</v>
      </c>
      <c r="HV4" s="77">
        <v>9.0</v>
      </c>
      <c r="HW4" s="77">
        <v>18.0</v>
      </c>
      <c r="HX4" s="77">
        <v>11.0</v>
      </c>
      <c r="HY4" s="77"/>
      <c r="HZ4" s="77"/>
      <c r="IA4" s="77"/>
      <c r="IB4" s="77"/>
    </row>
    <row r="5">
      <c r="A5" s="95" t="s">
        <v>440</v>
      </c>
      <c r="C5" s="101">
        <v>41.0</v>
      </c>
      <c r="D5" s="101">
        <v>46.0</v>
      </c>
      <c r="E5" s="103">
        <v>57.0</v>
      </c>
      <c r="F5" s="103">
        <v>80.0</v>
      </c>
      <c r="G5" s="103">
        <v>57.0</v>
      </c>
      <c r="H5" s="103">
        <v>74.0</v>
      </c>
      <c r="I5" s="103">
        <v>80.0</v>
      </c>
      <c r="J5" s="103">
        <v>47.0</v>
      </c>
      <c r="K5" s="103">
        <v>54.0</v>
      </c>
      <c r="L5" s="103">
        <v>57.0</v>
      </c>
      <c r="M5" s="103">
        <v>48.0</v>
      </c>
      <c r="N5" s="103">
        <v>48.0</v>
      </c>
      <c r="O5" s="77">
        <v>46.0</v>
      </c>
      <c r="P5" s="77">
        <v>46.0</v>
      </c>
      <c r="Q5" s="77">
        <v>58.0</v>
      </c>
      <c r="R5" s="77">
        <v>56.0</v>
      </c>
      <c r="S5" s="77">
        <v>58.0</v>
      </c>
      <c r="T5" s="77">
        <v>72.0</v>
      </c>
      <c r="U5" s="77">
        <v>59.0</v>
      </c>
      <c r="V5" s="77">
        <v>68.0</v>
      </c>
      <c r="W5" s="77">
        <v>42.0</v>
      </c>
      <c r="X5" s="77">
        <v>41.0</v>
      </c>
      <c r="Y5" s="77">
        <v>49.0</v>
      </c>
      <c r="Z5" s="77">
        <v>50.0</v>
      </c>
      <c r="AA5" s="77">
        <v>59.0</v>
      </c>
      <c r="AB5" s="77">
        <v>52.0</v>
      </c>
      <c r="AC5" s="77">
        <v>39.0</v>
      </c>
      <c r="AD5" s="77">
        <v>37.0</v>
      </c>
      <c r="AE5" s="77">
        <v>43.0</v>
      </c>
      <c r="AF5" s="77">
        <v>35.0</v>
      </c>
      <c r="AG5" s="77">
        <v>44.0</v>
      </c>
      <c r="AH5" s="77">
        <v>62.0</v>
      </c>
      <c r="AI5" s="77">
        <v>66.0</v>
      </c>
      <c r="AJ5" s="77">
        <v>68.0</v>
      </c>
      <c r="AK5" s="77">
        <v>42.0</v>
      </c>
      <c r="AL5" s="77">
        <v>38.0</v>
      </c>
      <c r="AM5" s="77">
        <v>40.0</v>
      </c>
      <c r="AN5" s="77">
        <v>30.0</v>
      </c>
      <c r="AO5" s="77">
        <v>42.0</v>
      </c>
      <c r="AP5" s="77">
        <v>50.0</v>
      </c>
      <c r="AQ5" s="77">
        <v>48.0</v>
      </c>
      <c r="AR5" s="77">
        <v>29.0</v>
      </c>
      <c r="AS5" s="77">
        <v>31.0</v>
      </c>
      <c r="AT5" s="77">
        <v>41.0</v>
      </c>
      <c r="AU5" s="77">
        <v>64.0</v>
      </c>
      <c r="AV5" s="77">
        <v>55.0</v>
      </c>
      <c r="AW5" s="77">
        <v>69.0</v>
      </c>
      <c r="AX5" s="77">
        <v>51.0</v>
      </c>
      <c r="AY5" s="77">
        <v>22.0</v>
      </c>
      <c r="AZ5" s="77">
        <v>27.0</v>
      </c>
      <c r="BA5" s="77">
        <v>33.0</v>
      </c>
      <c r="BB5" s="77">
        <v>47.0</v>
      </c>
      <c r="BC5" s="77">
        <v>41.0</v>
      </c>
      <c r="BD5" s="77">
        <v>47.0</v>
      </c>
      <c r="BE5" s="77">
        <v>54.0</v>
      </c>
      <c r="BF5" s="77">
        <v>50.0</v>
      </c>
      <c r="BG5" s="77">
        <v>25.0</v>
      </c>
      <c r="BH5" s="77">
        <v>27.0</v>
      </c>
      <c r="BI5" s="77">
        <v>32.0</v>
      </c>
      <c r="BJ5" s="77">
        <v>27.0</v>
      </c>
      <c r="BK5" s="77">
        <v>37.0</v>
      </c>
      <c r="BL5" s="77">
        <v>44.0</v>
      </c>
      <c r="BM5" s="77">
        <v>46.0</v>
      </c>
      <c r="BN5" s="77">
        <v>35.0</v>
      </c>
      <c r="BO5" s="77">
        <v>35.0</v>
      </c>
      <c r="BP5" s="77">
        <v>40.0</v>
      </c>
      <c r="BQ5" s="77">
        <v>44.0</v>
      </c>
      <c r="BR5" s="77">
        <v>36.0</v>
      </c>
      <c r="BS5" s="77">
        <v>35.0</v>
      </c>
      <c r="BT5" s="77">
        <v>12.0</v>
      </c>
      <c r="BU5" s="77">
        <v>24.0</v>
      </c>
      <c r="BV5" s="77">
        <v>40.0</v>
      </c>
      <c r="BW5" s="77">
        <v>33.0</v>
      </c>
      <c r="BX5" s="77">
        <v>37.0</v>
      </c>
      <c r="BY5" s="77">
        <v>52.0</v>
      </c>
      <c r="BZ5" s="77">
        <v>37.0</v>
      </c>
      <c r="CA5" s="77">
        <v>31.0</v>
      </c>
      <c r="CB5" s="77">
        <v>33.0</v>
      </c>
      <c r="CC5" s="77">
        <v>32.0</v>
      </c>
      <c r="CD5" s="77">
        <v>41.0</v>
      </c>
      <c r="CE5" s="77">
        <v>65.0</v>
      </c>
      <c r="CF5" s="77">
        <v>56.0</v>
      </c>
      <c r="CG5" s="77">
        <v>77.0</v>
      </c>
      <c r="CH5" s="77">
        <v>67.0</v>
      </c>
      <c r="CI5" s="77">
        <v>69.0</v>
      </c>
      <c r="CJ5" s="77">
        <v>71.0</v>
      </c>
      <c r="CK5" s="77">
        <v>65.0</v>
      </c>
      <c r="CL5" s="77">
        <v>80.0</v>
      </c>
      <c r="CM5" s="77">
        <v>74.0</v>
      </c>
      <c r="CN5" s="77">
        <v>64.0</v>
      </c>
      <c r="CO5" s="77">
        <v>40.0</v>
      </c>
      <c r="CP5" s="77">
        <v>50.0</v>
      </c>
      <c r="CQ5" s="77">
        <v>43.0</v>
      </c>
      <c r="CR5" s="77">
        <v>43.0</v>
      </c>
      <c r="CS5" s="77">
        <v>56.0</v>
      </c>
      <c r="CT5" s="77">
        <v>43.0</v>
      </c>
      <c r="CU5" s="77">
        <v>52.0</v>
      </c>
      <c r="CV5" s="77">
        <v>53.0</v>
      </c>
      <c r="CW5" s="77">
        <v>39.0</v>
      </c>
      <c r="CX5" s="77">
        <v>51.0</v>
      </c>
      <c r="CY5" s="77">
        <v>58.0</v>
      </c>
      <c r="CZ5" s="77">
        <v>63.0</v>
      </c>
      <c r="DA5" s="77">
        <v>52.0</v>
      </c>
      <c r="DB5" s="77">
        <v>51.0</v>
      </c>
      <c r="DC5" s="77">
        <v>43.0</v>
      </c>
      <c r="DD5" s="77">
        <v>56.0</v>
      </c>
      <c r="DE5" s="77">
        <v>49.0</v>
      </c>
      <c r="DF5" s="77">
        <v>59.0</v>
      </c>
      <c r="DG5" s="77">
        <v>55.0</v>
      </c>
      <c r="DH5" s="77">
        <v>57.0</v>
      </c>
      <c r="DI5" s="77">
        <v>52.0</v>
      </c>
      <c r="DJ5" s="77">
        <v>47.0</v>
      </c>
      <c r="DK5" s="77">
        <v>45.0</v>
      </c>
      <c r="DL5" s="77">
        <v>46.0</v>
      </c>
      <c r="DM5" s="77">
        <v>64.0</v>
      </c>
      <c r="DN5" s="77">
        <v>60.0</v>
      </c>
      <c r="DO5" s="77">
        <v>54.0</v>
      </c>
      <c r="DP5" s="77">
        <v>60.0</v>
      </c>
      <c r="DQ5" s="77">
        <v>55.0</v>
      </c>
      <c r="DR5" s="77">
        <v>55.0</v>
      </c>
      <c r="DS5" s="77">
        <v>63.0</v>
      </c>
      <c r="DT5" s="77">
        <v>58.0</v>
      </c>
      <c r="DU5" s="77">
        <v>53.0</v>
      </c>
      <c r="DV5" s="77">
        <v>55.0</v>
      </c>
      <c r="DW5" s="77">
        <v>48.0</v>
      </c>
      <c r="DX5" s="77">
        <v>54.0</v>
      </c>
      <c r="DY5" s="77">
        <v>58.0</v>
      </c>
      <c r="DZ5" s="77">
        <v>60.0</v>
      </c>
      <c r="EA5" s="77">
        <v>57.0</v>
      </c>
      <c r="EB5" s="77">
        <v>56.0</v>
      </c>
      <c r="EC5" s="77">
        <v>52.0</v>
      </c>
      <c r="ED5" s="77">
        <v>43.0</v>
      </c>
      <c r="EE5" s="77">
        <v>37.0</v>
      </c>
      <c r="EF5" s="77">
        <v>51.0</v>
      </c>
      <c r="EG5" s="77">
        <v>44.0</v>
      </c>
      <c r="EH5" s="77">
        <v>55.0</v>
      </c>
      <c r="EI5" s="77">
        <v>57.0</v>
      </c>
      <c r="EJ5" s="77">
        <v>51.0</v>
      </c>
      <c r="EK5" s="77">
        <v>50.0</v>
      </c>
      <c r="EL5" s="77">
        <v>15.0</v>
      </c>
      <c r="EM5" s="77">
        <v>19.0</v>
      </c>
      <c r="EN5" s="77">
        <v>25.0</v>
      </c>
      <c r="EO5" s="77">
        <v>29.0</v>
      </c>
      <c r="EP5" s="77">
        <v>39.0</v>
      </c>
      <c r="EQ5" s="77">
        <v>52.0</v>
      </c>
      <c r="ER5" s="77">
        <v>57.0</v>
      </c>
      <c r="ES5" s="77">
        <v>39.0</v>
      </c>
      <c r="ET5" s="77">
        <v>35.0</v>
      </c>
      <c r="EU5" s="77">
        <v>40.0</v>
      </c>
      <c r="EV5" s="77">
        <v>34.0</v>
      </c>
      <c r="EW5" s="77">
        <v>42.0</v>
      </c>
      <c r="EX5" s="77">
        <v>53.0</v>
      </c>
      <c r="EY5" s="77">
        <v>49.0</v>
      </c>
      <c r="EZ5" s="77">
        <v>18.0</v>
      </c>
      <c r="FA5" s="77">
        <v>31.0</v>
      </c>
      <c r="FB5" s="77">
        <v>36.0</v>
      </c>
      <c r="FC5" s="77">
        <v>34.0</v>
      </c>
      <c r="FD5" s="77">
        <v>46.0</v>
      </c>
      <c r="FE5" s="77">
        <v>59.0</v>
      </c>
      <c r="FF5" s="77">
        <v>47.0</v>
      </c>
      <c r="FG5" s="77">
        <v>32.0</v>
      </c>
      <c r="FH5" s="77">
        <v>35.0</v>
      </c>
      <c r="FI5" s="77">
        <v>39.0</v>
      </c>
      <c r="FJ5" s="77">
        <v>34.0</v>
      </c>
      <c r="FK5" s="77">
        <v>37.0</v>
      </c>
      <c r="FL5" s="77">
        <v>45.0</v>
      </c>
      <c r="FM5" s="77">
        <v>51.0</v>
      </c>
      <c r="FN5" s="77">
        <v>34.0</v>
      </c>
      <c r="FO5" s="77">
        <v>37.0</v>
      </c>
      <c r="FP5" s="77">
        <v>40.0</v>
      </c>
      <c r="FQ5" s="77">
        <v>48.0</v>
      </c>
      <c r="FR5" s="77">
        <v>55.0</v>
      </c>
      <c r="FS5" s="77">
        <v>58.0</v>
      </c>
      <c r="FT5" s="77">
        <v>62.0</v>
      </c>
      <c r="FU5" s="77">
        <v>40.0</v>
      </c>
      <c r="FV5" s="77">
        <v>30.0</v>
      </c>
      <c r="FW5" s="77">
        <v>37.0</v>
      </c>
      <c r="FX5" s="77">
        <v>50.0</v>
      </c>
      <c r="FY5" s="77">
        <v>42.0</v>
      </c>
      <c r="FZ5" s="77">
        <v>49.0</v>
      </c>
      <c r="GA5" s="77">
        <v>66.0</v>
      </c>
      <c r="GB5" s="77">
        <v>50.0</v>
      </c>
      <c r="GC5" s="77">
        <v>49.0</v>
      </c>
      <c r="GD5" s="77">
        <v>54.0</v>
      </c>
      <c r="GE5" s="77">
        <v>60.0</v>
      </c>
      <c r="GF5" s="77">
        <v>46.0</v>
      </c>
      <c r="GG5" s="77">
        <v>54.0</v>
      </c>
      <c r="GH5" s="77">
        <v>52.0</v>
      </c>
      <c r="GI5" s="77">
        <v>27.0</v>
      </c>
      <c r="GJ5" s="77">
        <v>38.0</v>
      </c>
      <c r="GK5" s="77">
        <v>45.0</v>
      </c>
      <c r="GL5" s="77">
        <v>42.0</v>
      </c>
      <c r="GM5" s="77">
        <v>51.0</v>
      </c>
      <c r="GN5" s="77">
        <v>52.0</v>
      </c>
      <c r="GO5" s="77">
        <v>64.0</v>
      </c>
      <c r="GP5" s="77">
        <v>62.0</v>
      </c>
      <c r="GQ5" s="77">
        <v>60.0</v>
      </c>
      <c r="GR5" s="77">
        <v>43.0</v>
      </c>
      <c r="GS5" s="77">
        <v>38.0</v>
      </c>
      <c r="GT5" s="77">
        <v>59.0</v>
      </c>
      <c r="GU5" s="77">
        <v>66.0</v>
      </c>
      <c r="GV5" s="77">
        <v>59.0</v>
      </c>
      <c r="GW5" s="77">
        <v>16.0</v>
      </c>
      <c r="GX5" s="77">
        <v>18.0</v>
      </c>
      <c r="GY5" s="77">
        <v>27.0</v>
      </c>
      <c r="GZ5" s="77">
        <v>18.0</v>
      </c>
      <c r="HA5" s="77">
        <v>35.0</v>
      </c>
      <c r="HB5" s="77">
        <v>54.0</v>
      </c>
      <c r="HC5" s="77">
        <v>40.0</v>
      </c>
      <c r="HD5" s="77">
        <v>9.0</v>
      </c>
      <c r="HE5" s="77">
        <v>19.0</v>
      </c>
      <c r="HF5" s="77">
        <v>19.0</v>
      </c>
      <c r="HG5" s="77">
        <v>17.0</v>
      </c>
      <c r="HH5" s="77">
        <v>33.0</v>
      </c>
      <c r="HI5" s="77">
        <v>41.0</v>
      </c>
      <c r="HJ5" s="77">
        <v>46.0</v>
      </c>
      <c r="HK5" s="77">
        <v>13.0</v>
      </c>
      <c r="HL5" s="77">
        <v>11.0</v>
      </c>
      <c r="HM5" s="77">
        <v>13.0</v>
      </c>
      <c r="HN5" s="77">
        <v>11.0</v>
      </c>
      <c r="HO5" s="77">
        <v>16.0</v>
      </c>
      <c r="HP5" s="77">
        <v>38.0</v>
      </c>
      <c r="HQ5" s="77">
        <v>36.0</v>
      </c>
      <c r="HR5" s="77">
        <v>19.0</v>
      </c>
      <c r="HS5" s="77">
        <v>15.0</v>
      </c>
      <c r="HT5" s="77">
        <v>16.0</v>
      </c>
      <c r="HU5" s="77">
        <v>16.0</v>
      </c>
      <c r="HV5" s="77">
        <v>18.0</v>
      </c>
      <c r="HW5" s="77">
        <v>52.0</v>
      </c>
      <c r="HX5" s="77">
        <v>55.0</v>
      </c>
      <c r="HY5" s="77"/>
      <c r="HZ5" s="77"/>
      <c r="IA5" s="77"/>
      <c r="IB5" s="77"/>
    </row>
    <row r="6">
      <c r="A6" s="115" t="s">
        <v>146</v>
      </c>
      <c r="B6" s="49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363"/>
      <c r="AY6" s="363"/>
      <c r="AZ6" s="363"/>
      <c r="BA6" s="363"/>
      <c r="BB6" s="363"/>
      <c r="BC6" s="363"/>
      <c r="BD6" s="363"/>
      <c r="BE6" s="363"/>
      <c r="BF6" s="363"/>
      <c r="BG6" s="363"/>
      <c r="BH6" s="363"/>
      <c r="BI6" s="363"/>
      <c r="BJ6" s="363"/>
      <c r="BK6" s="363"/>
      <c r="BL6" s="363"/>
      <c r="BM6" s="363"/>
      <c r="BN6" s="363"/>
      <c r="BO6" s="363"/>
      <c r="BP6" s="363"/>
      <c r="BQ6" s="363"/>
      <c r="BR6" s="363"/>
      <c r="BS6" s="363"/>
      <c r="BT6" s="363"/>
      <c r="BU6" s="363"/>
      <c r="BV6" s="363"/>
      <c r="BW6" s="363"/>
      <c r="BX6" s="363"/>
      <c r="BY6" s="363"/>
      <c r="BZ6" s="363"/>
      <c r="CA6" s="363"/>
      <c r="CB6" s="363"/>
      <c r="CC6" s="363"/>
      <c r="CD6" s="363"/>
      <c r="CE6" s="363"/>
      <c r="CF6" s="363"/>
      <c r="CG6" s="363"/>
      <c r="CH6" s="363"/>
      <c r="CI6" s="363"/>
      <c r="CJ6" s="363"/>
      <c r="CK6" s="363"/>
      <c r="CL6" s="363"/>
      <c r="CM6" s="363"/>
      <c r="CN6" s="363"/>
      <c r="CO6" s="363"/>
      <c r="CP6" s="363"/>
      <c r="CQ6" s="363"/>
      <c r="CR6" s="363"/>
      <c r="CS6" s="363"/>
      <c r="CT6" s="363"/>
      <c r="CU6" s="363"/>
      <c r="CV6" s="363"/>
      <c r="CW6" s="363"/>
      <c r="CX6" s="363"/>
      <c r="CY6" s="363"/>
      <c r="CZ6" s="363"/>
      <c r="DA6" s="363"/>
      <c r="DB6" s="363"/>
      <c r="DC6" s="363"/>
      <c r="DD6" s="363"/>
      <c r="DE6" s="363"/>
      <c r="DF6" s="363"/>
      <c r="DG6" s="363"/>
      <c r="DH6" s="363"/>
      <c r="DI6" s="363"/>
      <c r="DJ6" s="363"/>
      <c r="DK6" s="363"/>
      <c r="DL6" s="363"/>
      <c r="DM6" s="363"/>
      <c r="DN6" s="363"/>
      <c r="DO6" s="363"/>
      <c r="DP6" s="363"/>
      <c r="DQ6" s="363"/>
      <c r="DR6" s="363"/>
      <c r="DS6" s="363"/>
      <c r="DT6" s="363"/>
      <c r="DU6" s="363"/>
      <c r="DV6" s="363"/>
      <c r="DW6" s="363"/>
      <c r="DX6" s="363"/>
      <c r="DY6" s="363"/>
      <c r="DZ6" s="363"/>
      <c r="EA6" s="363"/>
      <c r="EB6" s="363"/>
      <c r="EC6" s="363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363"/>
      <c r="FN6" s="363"/>
      <c r="FO6" s="363"/>
      <c r="FP6" s="363"/>
      <c r="FQ6" s="363"/>
      <c r="FR6" s="363"/>
      <c r="FS6" s="363"/>
      <c r="FT6" s="363"/>
      <c r="FU6" s="363"/>
      <c r="FV6" s="363"/>
      <c r="FW6" s="363"/>
      <c r="FX6" s="363"/>
      <c r="FY6" s="363"/>
      <c r="FZ6" s="363"/>
      <c r="GA6" s="363"/>
      <c r="GB6" s="363"/>
      <c r="GC6" s="363"/>
      <c r="GD6" s="363"/>
      <c r="GE6" s="363"/>
      <c r="GF6" s="363"/>
      <c r="GG6" s="363"/>
      <c r="GH6" s="363"/>
      <c r="GI6" s="363"/>
      <c r="GJ6" s="363"/>
      <c r="GK6" s="363"/>
      <c r="GL6" s="363"/>
      <c r="GM6" s="363"/>
      <c r="GN6" s="363"/>
      <c r="GO6" s="363"/>
      <c r="GP6" s="363"/>
      <c r="GQ6" s="363"/>
      <c r="GR6" s="363"/>
      <c r="GS6" s="363"/>
      <c r="GT6" s="363"/>
      <c r="GU6" s="363"/>
      <c r="GV6" s="363"/>
      <c r="GW6" s="363"/>
      <c r="GX6" s="363"/>
      <c r="GY6" s="363"/>
      <c r="GZ6" s="363"/>
      <c r="HA6" s="363"/>
      <c r="HB6" s="363"/>
      <c r="HC6" s="363"/>
      <c r="HD6" s="363"/>
      <c r="HE6" s="363"/>
      <c r="HF6" s="363"/>
      <c r="HG6" s="363"/>
      <c r="HH6" s="363"/>
      <c r="HI6" s="363"/>
      <c r="HJ6" s="363"/>
      <c r="HK6" s="363"/>
      <c r="HL6" s="363"/>
      <c r="HM6" s="363"/>
      <c r="HN6" s="363"/>
      <c r="HO6" s="363"/>
      <c r="HP6" s="363"/>
      <c r="HQ6" s="363"/>
      <c r="HR6" s="363"/>
      <c r="HS6" s="363"/>
      <c r="HT6" s="363"/>
      <c r="HU6" s="363"/>
      <c r="HV6" s="363"/>
      <c r="HW6" s="363"/>
      <c r="HX6" s="363"/>
      <c r="HY6" s="363"/>
      <c r="HZ6" s="363"/>
      <c r="IA6" s="363"/>
      <c r="IB6" s="363"/>
    </row>
    <row r="7">
      <c r="A7" s="126" t="s">
        <v>441</v>
      </c>
      <c r="B7" s="123">
        <v>290316.0</v>
      </c>
      <c r="C7" s="123">
        <v>290480.0</v>
      </c>
      <c r="D7" s="123">
        <v>290636.0</v>
      </c>
      <c r="E7" s="123">
        <v>290873.0</v>
      </c>
      <c r="F7" s="123">
        <v>290957.0</v>
      </c>
      <c r="G7" s="123">
        <v>291157.0</v>
      </c>
      <c r="H7" s="123">
        <v>291308.0</v>
      </c>
      <c r="I7" s="123">
        <v>291437.0</v>
      </c>
      <c r="J7" s="123">
        <v>291583.0</v>
      </c>
      <c r="K7" s="123">
        <v>291743.0</v>
      </c>
      <c r="L7" s="123">
        <v>291889.0</v>
      </c>
      <c r="M7" s="123">
        <v>292042.0</v>
      </c>
      <c r="N7" s="123">
        <v>292202.0</v>
      </c>
      <c r="O7" s="3">
        <v>292377.0</v>
      </c>
      <c r="P7" s="3">
        <v>292532.0</v>
      </c>
      <c r="Q7" s="3">
        <v>292701.0</v>
      </c>
      <c r="R7" s="3">
        <v>292860.0</v>
      </c>
      <c r="S7" s="3">
        <v>293008.0</v>
      </c>
      <c r="T7" s="3">
        <v>293135.0</v>
      </c>
      <c r="U7" s="3">
        <v>293263.0</v>
      </c>
      <c r="V7" s="3">
        <v>293435.0</v>
      </c>
      <c r="W7" s="3">
        <v>293606.0</v>
      </c>
      <c r="X7" s="3">
        <v>293765.0</v>
      </c>
      <c r="Y7" s="3">
        <v>293925.0</v>
      </c>
      <c r="Z7" s="3">
        <v>294152.0</v>
      </c>
      <c r="AA7" s="3">
        <v>294246.0</v>
      </c>
      <c r="AB7" s="3">
        <v>294406.0</v>
      </c>
      <c r="AC7" s="3">
        <v>294562.0</v>
      </c>
      <c r="AD7" s="3">
        <v>294745.0</v>
      </c>
      <c r="AE7" s="3">
        <v>294882.0</v>
      </c>
      <c r="AF7" s="3">
        <v>295016.0</v>
      </c>
      <c r="AG7" s="3">
        <v>295164.0</v>
      </c>
      <c r="AH7" s="3">
        <v>295300.0</v>
      </c>
      <c r="AI7" s="3">
        <v>295433.0</v>
      </c>
      <c r="AJ7" s="3">
        <v>295616.0</v>
      </c>
      <c r="AK7" s="3">
        <v>295732.0</v>
      </c>
      <c r="AL7" s="3">
        <v>295890.0</v>
      </c>
      <c r="AM7" s="3">
        <v>296028.0</v>
      </c>
      <c r="AN7" s="3">
        <v>296163.0</v>
      </c>
      <c r="AO7" s="3">
        <v>296323.0</v>
      </c>
      <c r="AP7" s="3">
        <v>296504.0</v>
      </c>
      <c r="AQ7" s="3">
        <v>296593.0</v>
      </c>
      <c r="AR7" s="3">
        <v>296730.0</v>
      </c>
      <c r="AS7" s="3">
        <v>296836.0</v>
      </c>
      <c r="AT7" s="3">
        <v>296982.0</v>
      </c>
      <c r="AU7" s="3">
        <v>297116.0</v>
      </c>
      <c r="AV7" s="3">
        <v>297226.0</v>
      </c>
      <c r="AW7" s="3">
        <v>297324.0</v>
      </c>
      <c r="AX7" s="3">
        <v>297438.0</v>
      </c>
      <c r="AY7" s="3">
        <v>297543.0</v>
      </c>
      <c r="AZ7" s="3">
        <v>297645.0</v>
      </c>
      <c r="BA7" s="3">
        <v>297732.0</v>
      </c>
      <c r="BB7" s="3">
        <v>297847.0</v>
      </c>
      <c r="BC7" s="3">
        <v>297955.0</v>
      </c>
      <c r="BD7" s="3">
        <v>298084.0</v>
      </c>
      <c r="BE7" s="3">
        <v>298206.0</v>
      </c>
      <c r="BF7" s="3">
        <v>298333.0</v>
      </c>
      <c r="BG7" s="3">
        <v>298422.0</v>
      </c>
      <c r="BH7" s="3">
        <v>298565.0</v>
      </c>
      <c r="BI7" s="3">
        <v>298697.0</v>
      </c>
      <c r="BJ7" s="3">
        <v>298793.0</v>
      </c>
      <c r="BK7" s="3">
        <v>298882.0</v>
      </c>
      <c r="BL7" s="3">
        <v>298990.0</v>
      </c>
      <c r="BM7" s="3">
        <v>299152.0</v>
      </c>
      <c r="BN7" s="3">
        <v>299283.0</v>
      </c>
      <c r="BO7" s="3">
        <v>299418.0</v>
      </c>
      <c r="BP7" s="3">
        <v>299542.0</v>
      </c>
      <c r="BQ7" s="3">
        <v>299656.0</v>
      </c>
      <c r="BR7" s="3">
        <v>299778.0</v>
      </c>
      <c r="BS7" s="3">
        <v>299892.0</v>
      </c>
      <c r="BT7" s="3">
        <v>299999.0</v>
      </c>
      <c r="BU7" s="3">
        <v>300120.0</v>
      </c>
      <c r="BV7" s="3">
        <v>300223.0</v>
      </c>
      <c r="BW7" s="3">
        <v>300313.0</v>
      </c>
      <c r="BX7" s="3">
        <v>300465.0</v>
      </c>
      <c r="BY7" s="3">
        <v>300542.0</v>
      </c>
      <c r="BZ7" s="3">
        <v>300664.0</v>
      </c>
      <c r="CA7" s="3">
        <v>300807.0</v>
      </c>
      <c r="CB7" s="3">
        <v>300961.0</v>
      </c>
      <c r="CC7" s="3">
        <v>301062.0</v>
      </c>
      <c r="CD7" s="3">
        <v>301156.0</v>
      </c>
      <c r="CE7" s="3">
        <v>301305.0</v>
      </c>
      <c r="CF7" s="3">
        <v>301420.0</v>
      </c>
      <c r="CG7" s="3">
        <v>301596.0</v>
      </c>
      <c r="CH7" s="3">
        <v>301738.0</v>
      </c>
      <c r="CI7" s="3">
        <v>301856.0</v>
      </c>
      <c r="CJ7" s="3">
        <v>302084.0</v>
      </c>
      <c r="CK7" s="3">
        <v>302190.0</v>
      </c>
      <c r="CL7" s="3">
        <v>302336.0</v>
      </c>
      <c r="CM7" s="3">
        <v>302490.0</v>
      </c>
      <c r="CN7" s="3">
        <v>302673.0</v>
      </c>
      <c r="CO7" s="3">
        <v>302773.0</v>
      </c>
      <c r="CP7" s="3">
        <v>302951.0</v>
      </c>
      <c r="CQ7" s="3">
        <v>303030.0</v>
      </c>
      <c r="CR7" s="3">
        <v>303160.0</v>
      </c>
      <c r="CS7" s="3">
        <v>303261.0</v>
      </c>
      <c r="CT7" s="3">
        <v>303419.0</v>
      </c>
      <c r="CU7" s="3">
        <v>303593.0</v>
      </c>
      <c r="CV7" s="3">
        <v>303674.0</v>
      </c>
      <c r="CW7" s="3">
        <v>303805.0</v>
      </c>
      <c r="CX7" s="3">
        <v>303986.0</v>
      </c>
      <c r="CY7" s="3">
        <v>304157.0</v>
      </c>
      <c r="CZ7" s="3">
        <v>304247.0</v>
      </c>
      <c r="DA7" s="3">
        <v>304369.0</v>
      </c>
      <c r="DB7" s="3">
        <v>304534.0</v>
      </c>
      <c r="DC7" s="3">
        <v>304696.0</v>
      </c>
      <c r="DD7" s="3">
        <v>304825.0</v>
      </c>
      <c r="DE7" s="3">
        <v>304962.0</v>
      </c>
      <c r="DF7" s="3">
        <v>305137.0</v>
      </c>
      <c r="DG7" s="3">
        <v>305196.0</v>
      </c>
      <c r="DH7" s="3">
        <v>305373.0</v>
      </c>
      <c r="DI7" s="3">
        <v>305526.0</v>
      </c>
      <c r="DJ7" s="3">
        <v>305685.0</v>
      </c>
      <c r="DK7" s="3">
        <v>305828.0</v>
      </c>
      <c r="DL7" s="3">
        <v>305983.0</v>
      </c>
      <c r="DM7" s="3">
        <v>306123.0</v>
      </c>
      <c r="DN7" s="3">
        <v>306276.0</v>
      </c>
      <c r="DO7" s="3">
        <v>306396.0</v>
      </c>
      <c r="DP7" s="3">
        <v>306569.0</v>
      </c>
      <c r="DQ7" s="3">
        <v>306734.0</v>
      </c>
      <c r="DR7" s="3">
        <v>306887.0</v>
      </c>
      <c r="DS7" s="3">
        <v>307002.0</v>
      </c>
      <c r="DT7" s="3">
        <v>307179.0</v>
      </c>
      <c r="DU7" s="3">
        <v>307272.0</v>
      </c>
      <c r="DV7" s="3">
        <v>307429.0</v>
      </c>
      <c r="DW7" s="3">
        <v>307542.0</v>
      </c>
      <c r="DX7" s="3">
        <v>307712.0</v>
      </c>
      <c r="DY7" s="3">
        <v>307880.0</v>
      </c>
      <c r="DZ7" s="3">
        <v>308010.0</v>
      </c>
      <c r="EA7" s="3">
        <v>308163.0</v>
      </c>
      <c r="EB7" s="3">
        <v>308267.0</v>
      </c>
      <c r="EC7" s="3">
        <v>308368.0</v>
      </c>
      <c r="ED7" s="3">
        <v>308543.0</v>
      </c>
      <c r="EE7" s="3">
        <v>308786.0</v>
      </c>
      <c r="EF7" s="3">
        <v>308892.0</v>
      </c>
      <c r="EG7" s="3">
        <v>309020.0</v>
      </c>
      <c r="EH7" s="3">
        <v>309168.0</v>
      </c>
      <c r="EI7" s="3">
        <v>309331.0</v>
      </c>
      <c r="EJ7" s="3">
        <v>309485.0</v>
      </c>
      <c r="EK7" s="3">
        <v>309554.0</v>
      </c>
      <c r="EL7" s="3">
        <v>309657.0</v>
      </c>
      <c r="EM7" s="3">
        <v>309784.0</v>
      </c>
      <c r="EN7" s="3">
        <v>309886.0</v>
      </c>
      <c r="EO7" s="3">
        <v>310001.0</v>
      </c>
      <c r="EP7" s="3">
        <v>310129.0</v>
      </c>
      <c r="EQ7" s="3">
        <v>310236.0</v>
      </c>
      <c r="ER7" s="3">
        <v>310360.0</v>
      </c>
      <c r="ES7" s="3">
        <v>310469.0</v>
      </c>
      <c r="ET7" s="3">
        <v>310609.0</v>
      </c>
      <c r="EU7" s="3">
        <v>310755.0</v>
      </c>
      <c r="EV7" s="3">
        <v>310877.0</v>
      </c>
      <c r="EW7" s="3">
        <v>311002.0</v>
      </c>
      <c r="EX7" s="3">
        <v>311132.0</v>
      </c>
      <c r="EY7" s="3">
        <v>311269.0</v>
      </c>
      <c r="EZ7" s="3">
        <v>311400.0</v>
      </c>
      <c r="FA7" s="3">
        <v>311506.0</v>
      </c>
      <c r="FB7" s="3">
        <v>311609.0</v>
      </c>
      <c r="FC7" s="3">
        <v>311756.0</v>
      </c>
      <c r="FD7" s="3">
        <v>311883.0</v>
      </c>
      <c r="FE7" s="3">
        <v>312017.0</v>
      </c>
      <c r="FF7" s="3">
        <v>312151.0</v>
      </c>
      <c r="FG7" s="3">
        <v>312268.0</v>
      </c>
      <c r="FH7" s="3">
        <v>312414.0</v>
      </c>
      <c r="FI7" s="3">
        <v>312544.0</v>
      </c>
      <c r="FJ7" s="3">
        <v>312672.0</v>
      </c>
      <c r="FK7" s="3">
        <v>312811.0</v>
      </c>
      <c r="FL7" s="3">
        <v>313090.0</v>
      </c>
      <c r="FM7" s="3">
        <v>313231.0</v>
      </c>
      <c r="FN7" s="3">
        <v>313529.0</v>
      </c>
      <c r="FO7" s="3">
        <v>313666.0</v>
      </c>
      <c r="FP7" s="3">
        <v>313789.0</v>
      </c>
      <c r="FQ7" s="3">
        <v>313942.0</v>
      </c>
      <c r="FR7" s="3">
        <v>314087.0</v>
      </c>
      <c r="FS7" s="3">
        <v>314182.0</v>
      </c>
      <c r="FT7" s="3">
        <v>314298.0</v>
      </c>
      <c r="FU7" s="3">
        <v>314389.0</v>
      </c>
      <c r="FV7" s="3">
        <v>314435.0</v>
      </c>
      <c r="FW7" s="3">
        <v>314495.0</v>
      </c>
      <c r="FX7" s="3">
        <v>314642.0</v>
      </c>
      <c r="FY7" s="3">
        <v>314788.0</v>
      </c>
      <c r="FZ7" s="3">
        <v>314962.0</v>
      </c>
      <c r="GA7" s="3">
        <v>315114.0</v>
      </c>
      <c r="GB7" s="3">
        <v>315255.0</v>
      </c>
      <c r="GC7" s="3">
        <v>315579.0</v>
      </c>
      <c r="GD7" s="3">
        <v>315666.0</v>
      </c>
      <c r="GE7" s="3">
        <v>315736.0</v>
      </c>
      <c r="GF7" s="3">
        <v>315896.0</v>
      </c>
      <c r="GG7" s="3">
        <v>316050.0</v>
      </c>
      <c r="GH7" s="3">
        <v>316193.0</v>
      </c>
      <c r="GI7" s="3">
        <v>316339.0</v>
      </c>
      <c r="GJ7" s="3">
        <v>316499.0</v>
      </c>
      <c r="GK7" s="3">
        <v>316634.0</v>
      </c>
      <c r="GL7" s="3">
        <v>316755.0</v>
      </c>
      <c r="GM7" s="3">
        <v>316926.0</v>
      </c>
      <c r="GN7" s="3">
        <v>317106.0</v>
      </c>
      <c r="GO7" s="3">
        <v>317290.0</v>
      </c>
      <c r="GP7" s="3">
        <v>317461.0</v>
      </c>
      <c r="GQ7" s="3">
        <v>317524.0</v>
      </c>
      <c r="GR7" s="3">
        <v>317622.0</v>
      </c>
      <c r="GS7" s="3">
        <v>317677.0</v>
      </c>
      <c r="GT7" s="3">
        <v>185.0</v>
      </c>
      <c r="GU7" s="3">
        <v>366.0</v>
      </c>
      <c r="GV7" s="3">
        <v>468.0</v>
      </c>
      <c r="GW7" s="3">
        <v>559.0</v>
      </c>
      <c r="GX7" s="3">
        <v>689.0</v>
      </c>
      <c r="GY7" s="3">
        <v>859.0</v>
      </c>
      <c r="GZ7" s="3">
        <v>1020.0</v>
      </c>
      <c r="HA7" s="3">
        <v>1180.0</v>
      </c>
      <c r="HB7" s="3">
        <v>1360.0</v>
      </c>
      <c r="HC7" s="3">
        <v>1490.0</v>
      </c>
      <c r="HD7" s="3">
        <v>1621.0</v>
      </c>
      <c r="HE7" s="3">
        <v>1757.0</v>
      </c>
      <c r="HF7" s="3">
        <v>1919.0</v>
      </c>
      <c r="HG7" s="3">
        <v>2079.0</v>
      </c>
      <c r="HH7" s="3">
        <v>2270.0</v>
      </c>
      <c r="HI7" s="3">
        <v>2469.0</v>
      </c>
      <c r="HJ7" s="3">
        <v>2678.0</v>
      </c>
      <c r="HK7" s="3">
        <v>2814.0</v>
      </c>
      <c r="HL7" s="3">
        <v>2952.0</v>
      </c>
      <c r="HM7" s="3">
        <v>3081.0</v>
      </c>
      <c r="HN7" s="3">
        <v>3202.0</v>
      </c>
      <c r="HO7" s="3">
        <v>3342.0</v>
      </c>
      <c r="HP7" s="3">
        <v>3492.0</v>
      </c>
      <c r="HQ7" s="3">
        <v>3600.0</v>
      </c>
      <c r="HR7" s="3">
        <v>3736.0</v>
      </c>
      <c r="HS7" s="3">
        <v>3885.0</v>
      </c>
      <c r="HT7" s="3">
        <v>4002.0</v>
      </c>
      <c r="HU7" s="3">
        <v>4165.0</v>
      </c>
      <c r="HV7" s="3">
        <v>4345.0</v>
      </c>
      <c r="HW7" s="3">
        <v>4469.0</v>
      </c>
      <c r="HX7" s="3">
        <v>4604.0</v>
      </c>
      <c r="HY7" s="3"/>
      <c r="HZ7" s="3"/>
      <c r="IA7" s="3"/>
      <c r="IB7" s="3"/>
    </row>
    <row r="8">
      <c r="A8" s="364" t="s">
        <v>148</v>
      </c>
      <c r="B8" s="365"/>
      <c r="C8" s="366">
        <f t="shared" ref="C8:GS8" si="1">C7-B7</f>
        <v>164</v>
      </c>
      <c r="D8" s="366">
        <f t="shared" si="1"/>
        <v>156</v>
      </c>
      <c r="E8" s="366">
        <f t="shared" si="1"/>
        <v>237</v>
      </c>
      <c r="F8" s="366">
        <f t="shared" si="1"/>
        <v>84</v>
      </c>
      <c r="G8" s="366">
        <f t="shared" si="1"/>
        <v>200</v>
      </c>
      <c r="H8" s="366">
        <f t="shared" si="1"/>
        <v>151</v>
      </c>
      <c r="I8" s="366">
        <f t="shared" si="1"/>
        <v>129</v>
      </c>
      <c r="J8" s="366">
        <f t="shared" si="1"/>
        <v>146</v>
      </c>
      <c r="K8" s="366">
        <f t="shared" si="1"/>
        <v>160</v>
      </c>
      <c r="L8" s="366">
        <f t="shared" si="1"/>
        <v>146</v>
      </c>
      <c r="M8" s="366">
        <f t="shared" si="1"/>
        <v>153</v>
      </c>
      <c r="N8" s="366">
        <f t="shared" si="1"/>
        <v>160</v>
      </c>
      <c r="O8" s="366">
        <f t="shared" si="1"/>
        <v>175</v>
      </c>
      <c r="P8" s="366">
        <f t="shared" si="1"/>
        <v>155</v>
      </c>
      <c r="Q8" s="366">
        <f t="shared" si="1"/>
        <v>169</v>
      </c>
      <c r="R8" s="366">
        <f t="shared" si="1"/>
        <v>159</v>
      </c>
      <c r="S8" s="366">
        <f t="shared" si="1"/>
        <v>148</v>
      </c>
      <c r="T8" s="366">
        <f t="shared" si="1"/>
        <v>127</v>
      </c>
      <c r="U8" s="366">
        <f t="shared" si="1"/>
        <v>128</v>
      </c>
      <c r="V8" s="366">
        <f t="shared" si="1"/>
        <v>172</v>
      </c>
      <c r="W8" s="366">
        <f t="shared" si="1"/>
        <v>171</v>
      </c>
      <c r="X8" s="366">
        <f t="shared" si="1"/>
        <v>159</v>
      </c>
      <c r="Y8" s="366">
        <f t="shared" si="1"/>
        <v>160</v>
      </c>
      <c r="Z8" s="366">
        <f t="shared" si="1"/>
        <v>227</v>
      </c>
      <c r="AA8" s="366">
        <f t="shared" si="1"/>
        <v>94</v>
      </c>
      <c r="AB8" s="366">
        <f t="shared" si="1"/>
        <v>160</v>
      </c>
      <c r="AC8" s="366">
        <f t="shared" si="1"/>
        <v>156</v>
      </c>
      <c r="AD8" s="366">
        <f t="shared" si="1"/>
        <v>183</v>
      </c>
      <c r="AE8" s="366">
        <f t="shared" si="1"/>
        <v>137</v>
      </c>
      <c r="AF8" s="366">
        <f t="shared" si="1"/>
        <v>134</v>
      </c>
      <c r="AG8" s="366">
        <f t="shared" si="1"/>
        <v>148</v>
      </c>
      <c r="AH8" s="366">
        <f t="shared" si="1"/>
        <v>136</v>
      </c>
      <c r="AI8" s="366">
        <f t="shared" si="1"/>
        <v>133</v>
      </c>
      <c r="AJ8" s="366">
        <f t="shared" si="1"/>
        <v>183</v>
      </c>
      <c r="AK8" s="366">
        <f t="shared" si="1"/>
        <v>116</v>
      </c>
      <c r="AL8" s="366">
        <f t="shared" si="1"/>
        <v>158</v>
      </c>
      <c r="AM8" s="366">
        <f t="shared" si="1"/>
        <v>138</v>
      </c>
      <c r="AN8" s="366">
        <f t="shared" si="1"/>
        <v>135</v>
      </c>
      <c r="AO8" s="366">
        <f t="shared" si="1"/>
        <v>160</v>
      </c>
      <c r="AP8" s="366">
        <f t="shared" si="1"/>
        <v>181</v>
      </c>
      <c r="AQ8" s="366">
        <f t="shared" si="1"/>
        <v>89</v>
      </c>
      <c r="AR8" s="366">
        <f t="shared" si="1"/>
        <v>137</v>
      </c>
      <c r="AS8" s="366">
        <f t="shared" si="1"/>
        <v>106</v>
      </c>
      <c r="AT8" s="366">
        <f t="shared" si="1"/>
        <v>146</v>
      </c>
      <c r="AU8" s="366">
        <f t="shared" si="1"/>
        <v>134</v>
      </c>
      <c r="AV8" s="366">
        <f t="shared" si="1"/>
        <v>110</v>
      </c>
      <c r="AW8" s="366">
        <f t="shared" si="1"/>
        <v>98</v>
      </c>
      <c r="AX8" s="366">
        <f t="shared" si="1"/>
        <v>114</v>
      </c>
      <c r="AY8" s="366">
        <f t="shared" si="1"/>
        <v>105</v>
      </c>
      <c r="AZ8" s="366">
        <f t="shared" si="1"/>
        <v>102</v>
      </c>
      <c r="BA8" s="366">
        <f t="shared" si="1"/>
        <v>87</v>
      </c>
      <c r="BB8" s="366">
        <f t="shared" si="1"/>
        <v>115</v>
      </c>
      <c r="BC8" s="366">
        <f t="shared" si="1"/>
        <v>108</v>
      </c>
      <c r="BD8" s="366">
        <f t="shared" si="1"/>
        <v>129</v>
      </c>
      <c r="BE8" s="366">
        <f t="shared" si="1"/>
        <v>122</v>
      </c>
      <c r="BF8" s="366">
        <f t="shared" si="1"/>
        <v>127</v>
      </c>
      <c r="BG8" s="366">
        <f t="shared" si="1"/>
        <v>89</v>
      </c>
      <c r="BH8" s="366">
        <f t="shared" si="1"/>
        <v>143</v>
      </c>
      <c r="BI8" s="366">
        <f t="shared" si="1"/>
        <v>132</v>
      </c>
      <c r="BJ8" s="366">
        <f t="shared" si="1"/>
        <v>96</v>
      </c>
      <c r="BK8" s="366">
        <f t="shared" si="1"/>
        <v>89</v>
      </c>
      <c r="BL8" s="366">
        <f t="shared" si="1"/>
        <v>108</v>
      </c>
      <c r="BM8" s="366">
        <f t="shared" si="1"/>
        <v>162</v>
      </c>
      <c r="BN8" s="366">
        <f t="shared" si="1"/>
        <v>131</v>
      </c>
      <c r="BO8" s="366">
        <f t="shared" si="1"/>
        <v>135</v>
      </c>
      <c r="BP8" s="366">
        <f t="shared" si="1"/>
        <v>124</v>
      </c>
      <c r="BQ8" s="366">
        <f t="shared" si="1"/>
        <v>114</v>
      </c>
      <c r="BR8" s="366">
        <f t="shared" si="1"/>
        <v>122</v>
      </c>
      <c r="BS8" s="366">
        <f t="shared" si="1"/>
        <v>114</v>
      </c>
      <c r="BT8" s="366">
        <f t="shared" si="1"/>
        <v>107</v>
      </c>
      <c r="BU8" s="366">
        <f t="shared" si="1"/>
        <v>121</v>
      </c>
      <c r="BV8" s="366">
        <f t="shared" si="1"/>
        <v>103</v>
      </c>
      <c r="BW8" s="366">
        <f t="shared" si="1"/>
        <v>90</v>
      </c>
      <c r="BX8" s="366">
        <f t="shared" si="1"/>
        <v>152</v>
      </c>
      <c r="BY8" s="366">
        <f t="shared" si="1"/>
        <v>77</v>
      </c>
      <c r="BZ8" s="366">
        <f t="shared" si="1"/>
        <v>122</v>
      </c>
      <c r="CA8" s="366">
        <f t="shared" si="1"/>
        <v>143</v>
      </c>
      <c r="CB8" s="366">
        <f t="shared" si="1"/>
        <v>154</v>
      </c>
      <c r="CC8" s="366">
        <f t="shared" si="1"/>
        <v>101</v>
      </c>
      <c r="CD8" s="366">
        <f t="shared" si="1"/>
        <v>94</v>
      </c>
      <c r="CE8" s="366">
        <f t="shared" si="1"/>
        <v>149</v>
      </c>
      <c r="CF8" s="366">
        <f t="shared" si="1"/>
        <v>115</v>
      </c>
      <c r="CG8" s="366">
        <f t="shared" si="1"/>
        <v>176</v>
      </c>
      <c r="CH8" s="366">
        <f t="shared" si="1"/>
        <v>142</v>
      </c>
      <c r="CI8" s="366">
        <f t="shared" si="1"/>
        <v>118</v>
      </c>
      <c r="CJ8" s="366">
        <f t="shared" si="1"/>
        <v>228</v>
      </c>
      <c r="CK8" s="366">
        <f t="shared" si="1"/>
        <v>106</v>
      </c>
      <c r="CL8" s="366">
        <f t="shared" si="1"/>
        <v>146</v>
      </c>
      <c r="CM8" s="366">
        <f t="shared" si="1"/>
        <v>154</v>
      </c>
      <c r="CN8" s="366">
        <f t="shared" si="1"/>
        <v>183</v>
      </c>
      <c r="CO8" s="366">
        <f t="shared" si="1"/>
        <v>100</v>
      </c>
      <c r="CP8" s="366">
        <f t="shared" si="1"/>
        <v>178</v>
      </c>
      <c r="CQ8" s="366">
        <f t="shared" si="1"/>
        <v>79</v>
      </c>
      <c r="CR8" s="366">
        <f t="shared" si="1"/>
        <v>130</v>
      </c>
      <c r="CS8" s="366">
        <f t="shared" si="1"/>
        <v>101</v>
      </c>
      <c r="CT8" s="366">
        <f t="shared" si="1"/>
        <v>158</v>
      </c>
      <c r="CU8" s="366">
        <f t="shared" si="1"/>
        <v>174</v>
      </c>
      <c r="CV8" s="366">
        <f t="shared" si="1"/>
        <v>81</v>
      </c>
      <c r="CW8" s="366">
        <f t="shared" si="1"/>
        <v>131</v>
      </c>
      <c r="CX8" s="366">
        <f t="shared" si="1"/>
        <v>181</v>
      </c>
      <c r="CY8" s="366">
        <f t="shared" si="1"/>
        <v>171</v>
      </c>
      <c r="CZ8" s="366">
        <f t="shared" si="1"/>
        <v>90</v>
      </c>
      <c r="DA8" s="366">
        <f t="shared" si="1"/>
        <v>122</v>
      </c>
      <c r="DB8" s="366">
        <f t="shared" si="1"/>
        <v>165</v>
      </c>
      <c r="DC8" s="366">
        <f t="shared" si="1"/>
        <v>162</v>
      </c>
      <c r="DD8" s="366">
        <f t="shared" si="1"/>
        <v>129</v>
      </c>
      <c r="DE8" s="366">
        <f t="shared" si="1"/>
        <v>137</v>
      </c>
      <c r="DF8" s="366">
        <f t="shared" si="1"/>
        <v>175</v>
      </c>
      <c r="DG8" s="366">
        <f t="shared" si="1"/>
        <v>59</v>
      </c>
      <c r="DH8" s="366">
        <f t="shared" si="1"/>
        <v>177</v>
      </c>
      <c r="DI8" s="366">
        <f t="shared" si="1"/>
        <v>153</v>
      </c>
      <c r="DJ8" s="366">
        <f t="shared" si="1"/>
        <v>159</v>
      </c>
      <c r="DK8" s="366">
        <f t="shared" si="1"/>
        <v>143</v>
      </c>
      <c r="DL8" s="366">
        <f t="shared" si="1"/>
        <v>155</v>
      </c>
      <c r="DM8" s="366">
        <f t="shared" si="1"/>
        <v>140</v>
      </c>
      <c r="DN8" s="366">
        <f t="shared" si="1"/>
        <v>153</v>
      </c>
      <c r="DO8" s="366">
        <f t="shared" si="1"/>
        <v>120</v>
      </c>
      <c r="DP8" s="366">
        <f t="shared" si="1"/>
        <v>173</v>
      </c>
      <c r="DQ8" s="366">
        <f t="shared" si="1"/>
        <v>165</v>
      </c>
      <c r="DR8" s="366">
        <f t="shared" si="1"/>
        <v>153</v>
      </c>
      <c r="DS8" s="366">
        <f t="shared" si="1"/>
        <v>115</v>
      </c>
      <c r="DT8" s="366">
        <f t="shared" si="1"/>
        <v>177</v>
      </c>
      <c r="DU8" s="366">
        <f t="shared" si="1"/>
        <v>93</v>
      </c>
      <c r="DV8" s="366">
        <f t="shared" si="1"/>
        <v>157</v>
      </c>
      <c r="DW8" s="366">
        <f t="shared" si="1"/>
        <v>113</v>
      </c>
      <c r="DX8" s="366">
        <f t="shared" si="1"/>
        <v>170</v>
      </c>
      <c r="DY8" s="366">
        <f t="shared" si="1"/>
        <v>168</v>
      </c>
      <c r="DZ8" s="366">
        <f t="shared" si="1"/>
        <v>130</v>
      </c>
      <c r="EA8" s="366">
        <f t="shared" si="1"/>
        <v>153</v>
      </c>
      <c r="EB8" s="366">
        <f t="shared" si="1"/>
        <v>104</v>
      </c>
      <c r="EC8" s="366">
        <f t="shared" si="1"/>
        <v>101</v>
      </c>
      <c r="ED8" s="366">
        <f t="shared" si="1"/>
        <v>175</v>
      </c>
      <c r="EE8" s="366">
        <f t="shared" si="1"/>
        <v>243</v>
      </c>
      <c r="EF8" s="366">
        <f t="shared" si="1"/>
        <v>106</v>
      </c>
      <c r="EG8" s="366">
        <f t="shared" si="1"/>
        <v>128</v>
      </c>
      <c r="EH8" s="366">
        <f t="shared" si="1"/>
        <v>148</v>
      </c>
      <c r="EI8" s="366">
        <f t="shared" si="1"/>
        <v>163</v>
      </c>
      <c r="EJ8" s="366">
        <f t="shared" si="1"/>
        <v>154</v>
      </c>
      <c r="EK8" s="366">
        <f t="shared" si="1"/>
        <v>69</v>
      </c>
      <c r="EL8" s="366">
        <f t="shared" si="1"/>
        <v>103</v>
      </c>
      <c r="EM8" s="366">
        <f t="shared" si="1"/>
        <v>127</v>
      </c>
      <c r="EN8" s="366">
        <f t="shared" si="1"/>
        <v>102</v>
      </c>
      <c r="EO8" s="366">
        <f t="shared" si="1"/>
        <v>115</v>
      </c>
      <c r="EP8" s="366">
        <f t="shared" si="1"/>
        <v>128</v>
      </c>
      <c r="EQ8" s="366">
        <f t="shared" si="1"/>
        <v>107</v>
      </c>
      <c r="ER8" s="366">
        <f t="shared" si="1"/>
        <v>124</v>
      </c>
      <c r="ES8" s="366">
        <f t="shared" si="1"/>
        <v>109</v>
      </c>
      <c r="ET8" s="366">
        <f t="shared" si="1"/>
        <v>140</v>
      </c>
      <c r="EU8" s="366">
        <f t="shared" si="1"/>
        <v>146</v>
      </c>
      <c r="EV8" s="366">
        <f t="shared" si="1"/>
        <v>122</v>
      </c>
      <c r="EW8" s="366">
        <f t="shared" si="1"/>
        <v>125</v>
      </c>
      <c r="EX8" s="366">
        <f t="shared" si="1"/>
        <v>130</v>
      </c>
      <c r="EY8" s="366">
        <f t="shared" si="1"/>
        <v>137</v>
      </c>
      <c r="EZ8" s="366">
        <f t="shared" si="1"/>
        <v>131</v>
      </c>
      <c r="FA8" s="366">
        <f t="shared" si="1"/>
        <v>106</v>
      </c>
      <c r="FB8" s="366">
        <f t="shared" si="1"/>
        <v>103</v>
      </c>
      <c r="FC8" s="366">
        <f t="shared" si="1"/>
        <v>147</v>
      </c>
      <c r="FD8" s="366">
        <f t="shared" si="1"/>
        <v>127</v>
      </c>
      <c r="FE8" s="366">
        <f t="shared" si="1"/>
        <v>134</v>
      </c>
      <c r="FF8" s="366">
        <f t="shared" si="1"/>
        <v>134</v>
      </c>
      <c r="FG8" s="366">
        <f t="shared" si="1"/>
        <v>117</v>
      </c>
      <c r="FH8" s="366">
        <f t="shared" si="1"/>
        <v>146</v>
      </c>
      <c r="FI8" s="366">
        <f t="shared" si="1"/>
        <v>130</v>
      </c>
      <c r="FJ8" s="366">
        <f t="shared" si="1"/>
        <v>128</v>
      </c>
      <c r="FK8" s="366">
        <f t="shared" si="1"/>
        <v>139</v>
      </c>
      <c r="FL8" s="366">
        <f t="shared" si="1"/>
        <v>279</v>
      </c>
      <c r="FM8" s="366">
        <f t="shared" si="1"/>
        <v>141</v>
      </c>
      <c r="FN8" s="366">
        <f t="shared" si="1"/>
        <v>298</v>
      </c>
      <c r="FO8" s="366">
        <f t="shared" si="1"/>
        <v>137</v>
      </c>
      <c r="FP8" s="366">
        <f t="shared" si="1"/>
        <v>123</v>
      </c>
      <c r="FQ8" s="366">
        <f t="shared" si="1"/>
        <v>153</v>
      </c>
      <c r="FR8" s="366">
        <f t="shared" si="1"/>
        <v>145</v>
      </c>
      <c r="FS8" s="366">
        <f t="shared" si="1"/>
        <v>95</v>
      </c>
      <c r="FT8" s="366">
        <f t="shared" si="1"/>
        <v>116</v>
      </c>
      <c r="FU8" s="366">
        <f t="shared" si="1"/>
        <v>91</v>
      </c>
      <c r="FV8" s="366">
        <f t="shared" si="1"/>
        <v>46</v>
      </c>
      <c r="FW8" s="366">
        <f t="shared" si="1"/>
        <v>60</v>
      </c>
      <c r="FX8" s="366">
        <f t="shared" si="1"/>
        <v>147</v>
      </c>
      <c r="FY8" s="366">
        <f t="shared" si="1"/>
        <v>146</v>
      </c>
      <c r="FZ8" s="366">
        <f t="shared" si="1"/>
        <v>174</v>
      </c>
      <c r="GA8" s="366">
        <f t="shared" si="1"/>
        <v>152</v>
      </c>
      <c r="GB8" s="366">
        <f t="shared" si="1"/>
        <v>141</v>
      </c>
      <c r="GC8" s="366">
        <f t="shared" si="1"/>
        <v>324</v>
      </c>
      <c r="GD8" s="366">
        <f t="shared" si="1"/>
        <v>87</v>
      </c>
      <c r="GE8" s="366">
        <f t="shared" si="1"/>
        <v>70</v>
      </c>
      <c r="GF8" s="366">
        <f t="shared" si="1"/>
        <v>160</v>
      </c>
      <c r="GG8" s="366">
        <f t="shared" si="1"/>
        <v>154</v>
      </c>
      <c r="GH8" s="366">
        <f t="shared" si="1"/>
        <v>143</v>
      </c>
      <c r="GI8" s="366">
        <f t="shared" si="1"/>
        <v>146</v>
      </c>
      <c r="GJ8" s="366">
        <f t="shared" si="1"/>
        <v>160</v>
      </c>
      <c r="GK8" s="366">
        <f t="shared" si="1"/>
        <v>135</v>
      </c>
      <c r="GL8" s="366">
        <f t="shared" si="1"/>
        <v>121</v>
      </c>
      <c r="GM8" s="366">
        <f t="shared" si="1"/>
        <v>171</v>
      </c>
      <c r="GN8" s="366">
        <f t="shared" si="1"/>
        <v>180</v>
      </c>
      <c r="GO8" s="366">
        <f t="shared" si="1"/>
        <v>184</v>
      </c>
      <c r="GP8" s="366">
        <f t="shared" si="1"/>
        <v>171</v>
      </c>
      <c r="GQ8" s="366">
        <f t="shared" si="1"/>
        <v>63</v>
      </c>
      <c r="GR8" s="366">
        <f t="shared" si="1"/>
        <v>98</v>
      </c>
      <c r="GS8" s="366">
        <f t="shared" si="1"/>
        <v>55</v>
      </c>
      <c r="GT8" s="366">
        <v>185.0</v>
      </c>
      <c r="GU8" s="366">
        <f t="shared" ref="GU8:HZ8" si="2">GU7-GT7</f>
        <v>181</v>
      </c>
      <c r="GV8" s="366">
        <f t="shared" si="2"/>
        <v>102</v>
      </c>
      <c r="GW8" s="366">
        <f t="shared" si="2"/>
        <v>91</v>
      </c>
      <c r="GX8" s="366">
        <f t="shared" si="2"/>
        <v>130</v>
      </c>
      <c r="GY8" s="366">
        <f t="shared" si="2"/>
        <v>170</v>
      </c>
      <c r="GZ8" s="366">
        <f t="shared" si="2"/>
        <v>161</v>
      </c>
      <c r="HA8" s="366">
        <f t="shared" si="2"/>
        <v>160</v>
      </c>
      <c r="HB8" s="366">
        <f t="shared" si="2"/>
        <v>180</v>
      </c>
      <c r="HC8" s="366">
        <f t="shared" si="2"/>
        <v>130</v>
      </c>
      <c r="HD8" s="366">
        <f t="shared" si="2"/>
        <v>131</v>
      </c>
      <c r="HE8" s="366">
        <f t="shared" si="2"/>
        <v>136</v>
      </c>
      <c r="HF8" s="366">
        <f t="shared" si="2"/>
        <v>162</v>
      </c>
      <c r="HG8" s="366">
        <f t="shared" si="2"/>
        <v>160</v>
      </c>
      <c r="HH8" s="366">
        <f t="shared" si="2"/>
        <v>191</v>
      </c>
      <c r="HI8" s="366">
        <f t="shared" si="2"/>
        <v>199</v>
      </c>
      <c r="HJ8" s="366">
        <f t="shared" si="2"/>
        <v>209</v>
      </c>
      <c r="HK8" s="366">
        <f t="shared" si="2"/>
        <v>136</v>
      </c>
      <c r="HL8" s="366">
        <f t="shared" si="2"/>
        <v>138</v>
      </c>
      <c r="HM8" s="366">
        <f t="shared" si="2"/>
        <v>129</v>
      </c>
      <c r="HN8" s="366">
        <f t="shared" si="2"/>
        <v>121</v>
      </c>
      <c r="HO8" s="366">
        <f t="shared" si="2"/>
        <v>140</v>
      </c>
      <c r="HP8" s="366">
        <f t="shared" si="2"/>
        <v>150</v>
      </c>
      <c r="HQ8" s="366">
        <f t="shared" si="2"/>
        <v>108</v>
      </c>
      <c r="HR8" s="366">
        <f t="shared" si="2"/>
        <v>136</v>
      </c>
      <c r="HS8" s="366">
        <f t="shared" si="2"/>
        <v>149</v>
      </c>
      <c r="HT8" s="366">
        <f t="shared" si="2"/>
        <v>117</v>
      </c>
      <c r="HU8" s="366">
        <f t="shared" si="2"/>
        <v>163</v>
      </c>
      <c r="HV8" s="366">
        <f t="shared" si="2"/>
        <v>180</v>
      </c>
      <c r="HW8" s="366">
        <f t="shared" si="2"/>
        <v>124</v>
      </c>
      <c r="HX8" s="366">
        <f t="shared" si="2"/>
        <v>135</v>
      </c>
      <c r="HY8" s="366">
        <f t="shared" si="2"/>
        <v>-4604</v>
      </c>
      <c r="HZ8" s="366">
        <f t="shared" si="2"/>
        <v>0</v>
      </c>
      <c r="IA8" s="366"/>
      <c r="IB8" s="366"/>
    </row>
    <row r="9">
      <c r="A9" s="126" t="s">
        <v>442</v>
      </c>
      <c r="B9" s="130">
        <v>1714.0</v>
      </c>
      <c r="C9" s="130">
        <v>1721.0</v>
      </c>
      <c r="D9" s="130">
        <v>1735.0</v>
      </c>
      <c r="E9" s="124">
        <v>1745.0</v>
      </c>
      <c r="F9" s="124">
        <v>1747.0</v>
      </c>
      <c r="G9" s="124">
        <v>1755.0</v>
      </c>
      <c r="H9" s="124">
        <v>1761.0</v>
      </c>
      <c r="I9" s="124">
        <v>1765.0</v>
      </c>
      <c r="J9" s="124">
        <v>1781.0</v>
      </c>
      <c r="K9" s="124">
        <v>1791.0</v>
      </c>
      <c r="L9" s="124">
        <v>1800.0</v>
      </c>
      <c r="M9" s="124">
        <v>1809.0</v>
      </c>
      <c r="N9" s="124">
        <v>1822.0</v>
      </c>
      <c r="O9" s="15">
        <v>1836.0</v>
      </c>
      <c r="P9" s="15">
        <v>1854.0</v>
      </c>
      <c r="Q9" s="15">
        <v>1873.0</v>
      </c>
      <c r="R9" s="15">
        <v>1890.0</v>
      </c>
      <c r="S9" s="15">
        <v>1901.0</v>
      </c>
      <c r="T9" s="15">
        <v>1928.0</v>
      </c>
      <c r="U9" s="15">
        <v>1940.0</v>
      </c>
      <c r="V9" s="15">
        <v>1959.0</v>
      </c>
      <c r="W9" s="15">
        <v>1979.0</v>
      </c>
      <c r="X9" s="15">
        <v>1999.0</v>
      </c>
      <c r="Y9" s="15">
        <v>2016.0</v>
      </c>
      <c r="Z9" s="15">
        <v>2040.0</v>
      </c>
      <c r="AA9" s="15">
        <v>2046.0</v>
      </c>
      <c r="AB9" s="15">
        <v>2051.0</v>
      </c>
      <c r="AC9" s="15">
        <v>2056.0</v>
      </c>
      <c r="AD9" s="15">
        <v>2066.0</v>
      </c>
      <c r="AE9" s="15">
        <v>2072.0</v>
      </c>
      <c r="AF9" s="15">
        <v>2080.0</v>
      </c>
      <c r="AG9" s="15">
        <v>2089.0</v>
      </c>
      <c r="AH9" s="15">
        <v>2096.0</v>
      </c>
      <c r="AI9" s="15">
        <v>2101.0</v>
      </c>
      <c r="AJ9" s="15">
        <v>2110.0</v>
      </c>
      <c r="AK9" s="15">
        <v>2117.0</v>
      </c>
      <c r="AL9" s="15">
        <v>2122.0</v>
      </c>
      <c r="AM9" s="15">
        <v>2133.0</v>
      </c>
      <c r="AN9" s="15">
        <v>2143.0</v>
      </c>
      <c r="AO9" s="15">
        <v>2149.0</v>
      </c>
      <c r="AP9" s="15">
        <v>2157.0</v>
      </c>
      <c r="AQ9" s="15">
        <v>2161.0</v>
      </c>
      <c r="AR9" s="15">
        <v>2174.0</v>
      </c>
      <c r="AS9" s="15">
        <v>2179.0</v>
      </c>
      <c r="AT9" s="15">
        <v>2188.0</v>
      </c>
      <c r="AU9" s="15">
        <v>2196.0</v>
      </c>
      <c r="AV9" s="15">
        <v>2203.0</v>
      </c>
      <c r="AW9" s="15">
        <v>2209.0</v>
      </c>
      <c r="AX9" s="15">
        <v>2217.0</v>
      </c>
      <c r="AY9" s="15">
        <v>2225.0</v>
      </c>
      <c r="AZ9" s="15">
        <v>2234.0</v>
      </c>
      <c r="BA9" s="15">
        <v>2242.0</v>
      </c>
      <c r="BB9" s="15">
        <v>2251.0</v>
      </c>
      <c r="BC9" s="15">
        <v>2259.0</v>
      </c>
      <c r="BD9" s="15">
        <v>2265.0</v>
      </c>
      <c r="BE9" s="15">
        <v>2271.0</v>
      </c>
      <c r="BF9" s="15">
        <v>2279.0</v>
      </c>
      <c r="BG9" s="15">
        <v>2285.0</v>
      </c>
      <c r="BH9" s="15">
        <v>2295.0</v>
      </c>
      <c r="BI9" s="15">
        <v>2301.0</v>
      </c>
      <c r="BJ9" s="15">
        <v>2311.0</v>
      </c>
      <c r="BK9" s="15">
        <v>2317.0</v>
      </c>
      <c r="BL9" s="15">
        <v>2325.0</v>
      </c>
      <c r="BM9" s="15">
        <v>2335.0</v>
      </c>
      <c r="BN9" s="15">
        <v>2342.0</v>
      </c>
      <c r="BO9" s="15">
        <v>2349.0</v>
      </c>
      <c r="BP9" s="15">
        <v>2358.0</v>
      </c>
      <c r="BQ9" s="15">
        <v>2364.0</v>
      </c>
      <c r="BR9" s="15">
        <v>2372.0</v>
      </c>
      <c r="BS9" s="15">
        <v>2379.0</v>
      </c>
      <c r="BT9" s="15">
        <v>2386.0</v>
      </c>
      <c r="BU9" s="15">
        <v>2392.0</v>
      </c>
      <c r="BV9" s="15">
        <v>2400.0</v>
      </c>
      <c r="BW9" s="15">
        <v>2407.0</v>
      </c>
      <c r="BX9" s="15">
        <v>2411.0</v>
      </c>
      <c r="BY9" s="15">
        <v>2423.0</v>
      </c>
      <c r="BZ9" s="15">
        <v>2428.0</v>
      </c>
      <c r="CA9" s="15">
        <v>2436.0</v>
      </c>
      <c r="CB9" s="15">
        <v>2444.0</v>
      </c>
      <c r="CC9" s="15">
        <v>2449.0</v>
      </c>
      <c r="CD9" s="15">
        <v>2456.0</v>
      </c>
      <c r="CE9" s="15">
        <v>2462.0</v>
      </c>
      <c r="CF9" s="15">
        <v>2470.0</v>
      </c>
      <c r="CG9" s="15">
        <v>2474.0</v>
      </c>
      <c r="CH9" s="15">
        <v>2484.0</v>
      </c>
      <c r="CI9" s="15">
        <v>2491.0</v>
      </c>
      <c r="CJ9" s="15">
        <v>2500.0</v>
      </c>
      <c r="CK9" s="15">
        <v>2520.0</v>
      </c>
      <c r="CL9" s="15">
        <v>2523.0</v>
      </c>
      <c r="CM9" s="15">
        <v>2525.0</v>
      </c>
      <c r="CN9" s="15">
        <v>2527.0</v>
      </c>
      <c r="CO9" s="15">
        <v>2533.0</v>
      </c>
      <c r="CP9" s="15">
        <v>2545.0</v>
      </c>
      <c r="CQ9" s="15">
        <v>2550.0</v>
      </c>
      <c r="CR9" s="15">
        <v>2558.0</v>
      </c>
      <c r="CS9" s="15">
        <v>2567.0</v>
      </c>
      <c r="CT9" s="15">
        <v>2574.0</v>
      </c>
      <c r="CU9" s="15">
        <v>2582.0</v>
      </c>
      <c r="CV9" s="15">
        <v>2587.0</v>
      </c>
      <c r="CW9" s="15">
        <v>2595.0</v>
      </c>
      <c r="CX9" s="15">
        <v>2602.0</v>
      </c>
      <c r="CY9" s="15">
        <v>2609.0</v>
      </c>
      <c r="CZ9" s="15">
        <v>2615.0</v>
      </c>
      <c r="DA9" s="15">
        <v>2622.0</v>
      </c>
      <c r="DB9" s="15">
        <v>2628.0</v>
      </c>
      <c r="DC9" s="15">
        <v>2636.0</v>
      </c>
      <c r="DD9" s="15">
        <v>2642.0</v>
      </c>
      <c r="DE9" s="15">
        <v>2648.0</v>
      </c>
      <c r="DF9" s="15">
        <v>2658.0</v>
      </c>
      <c r="DG9" s="15">
        <v>2662.0</v>
      </c>
      <c r="DH9" s="15">
        <v>2668.0</v>
      </c>
      <c r="DI9" s="15">
        <v>2672.0</v>
      </c>
      <c r="DJ9" s="15">
        <v>2677.0</v>
      </c>
      <c r="DK9" s="15">
        <v>2682.0</v>
      </c>
      <c r="DL9" s="15">
        <v>2687.0</v>
      </c>
      <c r="DM9" s="15">
        <v>2691.0</v>
      </c>
      <c r="DN9" s="15">
        <v>2696.0</v>
      </c>
      <c r="DO9" s="15">
        <v>2703.0</v>
      </c>
      <c r="DP9" s="15">
        <v>2708.0</v>
      </c>
      <c r="DQ9" s="15">
        <v>2715.0</v>
      </c>
      <c r="DR9" s="15">
        <v>2722.0</v>
      </c>
      <c r="DS9" s="15">
        <v>2731.0</v>
      </c>
      <c r="DT9" s="15">
        <v>2738.0</v>
      </c>
      <c r="DU9" s="15">
        <v>2743.0</v>
      </c>
      <c r="DV9" s="15">
        <v>2751.0</v>
      </c>
      <c r="DW9" s="15">
        <v>2756.0</v>
      </c>
      <c r="DX9" s="15">
        <v>2763.0</v>
      </c>
      <c r="DY9" s="15">
        <v>2769.0</v>
      </c>
      <c r="DZ9" s="15">
        <v>2776.0</v>
      </c>
      <c r="EA9" s="15">
        <v>2782.0</v>
      </c>
      <c r="EB9" s="15">
        <v>2790.0</v>
      </c>
      <c r="EC9" s="15">
        <v>2792.0</v>
      </c>
      <c r="ED9" s="15">
        <v>2797.0</v>
      </c>
      <c r="EE9" s="15">
        <v>2807.0</v>
      </c>
      <c r="EF9" s="15">
        <v>2811.0</v>
      </c>
      <c r="EG9" s="15">
        <v>2817.0</v>
      </c>
      <c r="EH9" s="15">
        <v>2823.0</v>
      </c>
      <c r="EI9" s="15">
        <v>2827.0</v>
      </c>
      <c r="EJ9" s="15">
        <v>2831.0</v>
      </c>
      <c r="EK9" s="15">
        <v>2834.0</v>
      </c>
      <c r="EL9" s="15">
        <v>2839.0</v>
      </c>
      <c r="EM9" s="15">
        <v>2847.0</v>
      </c>
      <c r="EN9" s="15">
        <v>2853.0</v>
      </c>
      <c r="EO9" s="15">
        <v>2863.0</v>
      </c>
      <c r="EP9" s="15">
        <v>2866.0</v>
      </c>
      <c r="EQ9" s="15">
        <v>2870.0</v>
      </c>
      <c r="ER9" s="15">
        <v>2873.0</v>
      </c>
      <c r="ES9" s="15">
        <v>2886.0</v>
      </c>
      <c r="ET9" s="15">
        <v>2890.0</v>
      </c>
      <c r="EU9" s="15">
        <v>2894.0</v>
      </c>
      <c r="EV9" s="15">
        <v>2898.0</v>
      </c>
      <c r="EW9" s="15">
        <v>2906.0</v>
      </c>
      <c r="EX9" s="15">
        <v>2911.0</v>
      </c>
      <c r="EY9" s="15">
        <v>2914.0</v>
      </c>
      <c r="EZ9" s="15">
        <v>2920.0</v>
      </c>
      <c r="FA9" s="15">
        <v>2927.0</v>
      </c>
      <c r="FB9" s="15">
        <v>2933.0</v>
      </c>
      <c r="FC9" s="15">
        <v>2939.0</v>
      </c>
      <c r="FD9" s="15">
        <v>2945.0</v>
      </c>
      <c r="FE9" s="15">
        <v>2949.0</v>
      </c>
      <c r="FF9" s="15">
        <v>2953.0</v>
      </c>
      <c r="FG9" s="15">
        <v>2962.0</v>
      </c>
      <c r="FH9" s="15">
        <v>2965.0</v>
      </c>
      <c r="FI9" s="15">
        <v>2973.0</v>
      </c>
      <c r="FJ9" s="15">
        <v>2980.0</v>
      </c>
      <c r="FK9" s="15">
        <v>2989.0</v>
      </c>
      <c r="FL9" s="15">
        <v>2998.0</v>
      </c>
      <c r="FM9" s="15">
        <v>3003.0</v>
      </c>
      <c r="FN9" s="15">
        <v>3015.0</v>
      </c>
      <c r="FO9" s="15">
        <v>3020.0</v>
      </c>
      <c r="FP9" s="15">
        <v>3028.0</v>
      </c>
      <c r="FQ9" s="15">
        <v>3034.0</v>
      </c>
      <c r="FR9" s="15">
        <v>3040.0</v>
      </c>
      <c r="FS9" s="15">
        <v>3047.0</v>
      </c>
      <c r="FT9" s="15">
        <v>3051.0</v>
      </c>
      <c r="FU9" s="15">
        <v>3057.0</v>
      </c>
      <c r="FV9" s="15">
        <v>3062.0</v>
      </c>
      <c r="FW9" s="15">
        <v>3065.0</v>
      </c>
      <c r="FX9" s="15">
        <v>3074.0</v>
      </c>
      <c r="FY9" s="15">
        <v>3081.0</v>
      </c>
      <c r="FZ9" s="15">
        <v>3086.0</v>
      </c>
      <c r="GA9" s="15">
        <v>3092.0</v>
      </c>
      <c r="GB9" s="15">
        <v>3100.0</v>
      </c>
      <c r="GC9" s="15">
        <v>3116.0</v>
      </c>
      <c r="GD9" s="15">
        <v>3120.0</v>
      </c>
      <c r="GE9" s="15">
        <v>3124.0</v>
      </c>
      <c r="GF9" s="15">
        <v>3134.0</v>
      </c>
      <c r="GG9" s="15">
        <v>3138.0</v>
      </c>
      <c r="GH9" s="15">
        <v>3145.0</v>
      </c>
      <c r="GI9" s="15">
        <v>3151.0</v>
      </c>
      <c r="GJ9" s="15">
        <v>3159.0</v>
      </c>
      <c r="GK9" s="15">
        <v>3165.0</v>
      </c>
      <c r="GL9" s="15">
        <v>3168.0</v>
      </c>
      <c r="GM9" s="15">
        <v>3175.0</v>
      </c>
      <c r="GN9" s="15">
        <v>3180.0</v>
      </c>
      <c r="GO9" s="15">
        <v>3187.0</v>
      </c>
      <c r="GP9" s="15">
        <v>3195.0</v>
      </c>
      <c r="GQ9" s="15">
        <v>3200.0</v>
      </c>
      <c r="GR9" s="15">
        <v>3210.0</v>
      </c>
      <c r="GS9" s="15">
        <v>3220.0</v>
      </c>
      <c r="GT9" s="15">
        <v>3226.0</v>
      </c>
      <c r="GU9" s="15">
        <v>3235.0</v>
      </c>
      <c r="GV9" s="15">
        <v>3241.0</v>
      </c>
      <c r="GW9" s="15">
        <v>3243.0</v>
      </c>
      <c r="GX9" s="15">
        <v>3253.0</v>
      </c>
      <c r="GY9" s="15">
        <v>3263.0</v>
      </c>
      <c r="GZ9" s="15">
        <v>3266.0</v>
      </c>
      <c r="HA9" s="15">
        <v>3270.0</v>
      </c>
      <c r="HB9" s="15">
        <v>3275.0</v>
      </c>
      <c r="HC9" s="15">
        <v>3277.0</v>
      </c>
      <c r="HD9" s="15">
        <v>3281.0</v>
      </c>
      <c r="HE9" s="15">
        <v>3287.0</v>
      </c>
      <c r="HF9" s="15">
        <v>3296.0</v>
      </c>
      <c r="HG9" s="15">
        <v>3302.0</v>
      </c>
      <c r="HH9" s="15">
        <v>3310.0</v>
      </c>
      <c r="HI9" s="15">
        <v>3320.0</v>
      </c>
      <c r="HJ9" s="15">
        <v>3327.0</v>
      </c>
      <c r="HK9" s="15">
        <v>3334.0</v>
      </c>
      <c r="HL9" s="15">
        <v>3345.0</v>
      </c>
      <c r="HM9" s="15">
        <v>3351.0</v>
      </c>
      <c r="HN9" s="15">
        <v>3356.0</v>
      </c>
      <c r="HO9" s="15">
        <v>3363.0</v>
      </c>
      <c r="HP9" s="15">
        <v>3370.0</v>
      </c>
      <c r="HQ9" s="15">
        <v>3376.0</v>
      </c>
      <c r="HR9" s="15">
        <v>3381.0</v>
      </c>
      <c r="HS9" s="15">
        <v>3388.0</v>
      </c>
      <c r="HT9" s="15">
        <v>3392.0</v>
      </c>
      <c r="HU9" s="15">
        <v>3395.0</v>
      </c>
      <c r="HV9" s="15">
        <v>3401.0</v>
      </c>
      <c r="HW9" s="15">
        <v>3405.0</v>
      </c>
      <c r="HX9" s="15">
        <v>3409.0</v>
      </c>
      <c r="HY9" s="15"/>
      <c r="HZ9" s="15"/>
      <c r="IA9" s="15"/>
      <c r="IB9" s="15"/>
    </row>
    <row r="10">
      <c r="A10" s="132" t="s">
        <v>355</v>
      </c>
      <c r="B10" s="130">
        <v>785.0</v>
      </c>
      <c r="C10" s="133">
        <v>786.0</v>
      </c>
      <c r="D10" s="133">
        <v>794.0</v>
      </c>
      <c r="E10" s="128">
        <v>797.0</v>
      </c>
      <c r="F10" s="128">
        <v>798.0</v>
      </c>
      <c r="G10" s="128">
        <v>800.0</v>
      </c>
      <c r="H10" s="128">
        <v>801.0</v>
      </c>
      <c r="I10" s="128">
        <v>803.0</v>
      </c>
      <c r="J10" s="128">
        <v>814.0</v>
      </c>
      <c r="K10" s="128">
        <v>818.0</v>
      </c>
      <c r="L10" s="128">
        <v>822.0</v>
      </c>
      <c r="M10" s="128">
        <v>826.0</v>
      </c>
      <c r="N10" s="128">
        <v>834.0</v>
      </c>
      <c r="O10" s="367">
        <v>845.0</v>
      </c>
      <c r="P10" s="367">
        <v>859.0</v>
      </c>
      <c r="Q10" s="367">
        <v>872.0</v>
      </c>
      <c r="R10" s="367">
        <v>884.0</v>
      </c>
      <c r="S10" s="367">
        <v>890.0</v>
      </c>
      <c r="T10" s="367">
        <v>912.0</v>
      </c>
      <c r="U10" s="367">
        <v>920.0</v>
      </c>
      <c r="V10" s="367">
        <v>934.0</v>
      </c>
      <c r="W10" s="367">
        <v>948.0</v>
      </c>
      <c r="X10" s="367">
        <v>962.0</v>
      </c>
      <c r="Y10" s="367">
        <v>973.0</v>
      </c>
      <c r="Z10" s="367">
        <v>990.0</v>
      </c>
      <c r="AA10" s="367">
        <v>994.0</v>
      </c>
      <c r="AB10" s="367">
        <v>995.0</v>
      </c>
      <c r="AC10" s="367">
        <v>996.0</v>
      </c>
      <c r="AD10" s="367">
        <v>998.0</v>
      </c>
      <c r="AE10" s="367">
        <v>1000.0</v>
      </c>
      <c r="AF10" s="367">
        <v>1001.0</v>
      </c>
      <c r="AG10" s="367">
        <v>1005.0</v>
      </c>
      <c r="AH10" s="367">
        <v>1008.0</v>
      </c>
      <c r="AI10" s="367">
        <v>1009.0</v>
      </c>
      <c r="AJ10" s="367">
        <v>1012.0</v>
      </c>
      <c r="AK10" s="367">
        <v>1013.0</v>
      </c>
      <c r="AL10" s="367">
        <v>1015.0</v>
      </c>
      <c r="AM10" s="367">
        <v>1019.0</v>
      </c>
      <c r="AN10" s="367">
        <v>1021.0</v>
      </c>
      <c r="AO10" s="367">
        <v>1023.0</v>
      </c>
      <c r="AP10" s="367">
        <v>1025.0</v>
      </c>
      <c r="AQ10" s="367">
        <v>1026.0</v>
      </c>
      <c r="AR10" s="367">
        <v>1029.0</v>
      </c>
      <c r="AS10" s="367">
        <v>1030.0</v>
      </c>
      <c r="AT10" s="367">
        <v>1032.0</v>
      </c>
      <c r="AU10" s="367">
        <v>1034.0</v>
      </c>
      <c r="AV10" s="367">
        <v>1036.0</v>
      </c>
      <c r="AW10" s="367">
        <v>1037.0</v>
      </c>
      <c r="AX10" s="367">
        <v>1038.0</v>
      </c>
      <c r="AY10" s="367">
        <v>1040.0</v>
      </c>
      <c r="AZ10" s="367">
        <v>1043.0</v>
      </c>
      <c r="BA10" s="367">
        <v>1044.0</v>
      </c>
      <c r="BB10" s="367">
        <v>1046.0</v>
      </c>
      <c r="BC10" s="367">
        <v>1047.0</v>
      </c>
      <c r="BD10" s="367">
        <v>1049.0</v>
      </c>
      <c r="BE10" s="367">
        <v>1050.0</v>
      </c>
      <c r="BF10" s="367">
        <v>1052.0</v>
      </c>
      <c r="BG10" s="367">
        <v>1054.0</v>
      </c>
      <c r="BH10" s="367">
        <v>1056.0</v>
      </c>
      <c r="BI10" s="367">
        <v>1057.0</v>
      </c>
      <c r="BJ10" s="367">
        <v>1061.0</v>
      </c>
      <c r="BK10" s="367">
        <v>1062.0</v>
      </c>
      <c r="BL10" s="367">
        <v>1064.0</v>
      </c>
      <c r="BM10" s="367">
        <v>1065.0</v>
      </c>
      <c r="BN10" s="367">
        <v>1066.0</v>
      </c>
      <c r="BO10" s="367">
        <v>1067.0</v>
      </c>
      <c r="BP10" s="367">
        <v>1069.0</v>
      </c>
      <c r="BQ10" s="367">
        <v>1071.0</v>
      </c>
      <c r="BR10" s="367">
        <v>1072.0</v>
      </c>
      <c r="BS10" s="367">
        <v>1073.0</v>
      </c>
      <c r="BT10" s="367">
        <v>1074.0</v>
      </c>
      <c r="BU10" s="367">
        <v>1075.0</v>
      </c>
      <c r="BV10" s="367">
        <v>1075.0</v>
      </c>
      <c r="BW10" s="367">
        <v>1078.0</v>
      </c>
      <c r="BX10" s="367">
        <v>1079.0</v>
      </c>
      <c r="BY10" s="367">
        <v>1080.0</v>
      </c>
      <c r="BZ10" s="367">
        <v>1082.0</v>
      </c>
      <c r="CA10" s="367">
        <v>1084.0</v>
      </c>
      <c r="CB10" s="367">
        <v>1085.0</v>
      </c>
      <c r="CC10" s="367">
        <v>1087.0</v>
      </c>
      <c r="CD10" s="367">
        <v>1090.0</v>
      </c>
      <c r="CE10" s="367">
        <v>1093.0</v>
      </c>
      <c r="CF10" s="367">
        <v>1095.0</v>
      </c>
      <c r="CG10" s="367">
        <v>1096.0</v>
      </c>
      <c r="CH10" s="367">
        <v>1100.0</v>
      </c>
      <c r="CI10" s="367">
        <v>1102.0</v>
      </c>
      <c r="CJ10" s="367">
        <v>1106.0</v>
      </c>
      <c r="CK10" s="367">
        <v>1110.0</v>
      </c>
      <c r="CL10" s="367">
        <v>1111.0</v>
      </c>
      <c r="CM10" s="367">
        <v>1112.0</v>
      </c>
      <c r="CN10" s="367">
        <v>1113.0</v>
      </c>
      <c r="CO10" s="367">
        <v>1114.0</v>
      </c>
      <c r="CP10" s="367">
        <v>1116.0</v>
      </c>
      <c r="CQ10" s="367">
        <v>1117.0</v>
      </c>
      <c r="CR10" s="367">
        <v>1118.0</v>
      </c>
      <c r="CS10" s="367">
        <v>1121.0</v>
      </c>
      <c r="CT10" s="367">
        <v>1122.0</v>
      </c>
      <c r="CU10" s="367">
        <v>1124.0</v>
      </c>
      <c r="CV10" s="367">
        <v>1125.0</v>
      </c>
      <c r="CW10" s="367">
        <v>1126.0</v>
      </c>
      <c r="CX10" s="367">
        <v>1127.0</v>
      </c>
      <c r="CY10" s="367">
        <v>1129.0</v>
      </c>
      <c r="CZ10" s="367">
        <v>1130.0</v>
      </c>
      <c r="DA10" s="367">
        <v>1131.0</v>
      </c>
      <c r="DB10" s="367">
        <v>1133.0</v>
      </c>
      <c r="DC10" s="367">
        <v>1135.0</v>
      </c>
      <c r="DD10" s="367">
        <v>1136.0</v>
      </c>
      <c r="DE10" s="367">
        <v>1138.0</v>
      </c>
      <c r="DF10" s="367">
        <v>1140.0</v>
      </c>
      <c r="DG10" s="367">
        <v>1141.0</v>
      </c>
      <c r="DH10" s="367">
        <v>1142.0</v>
      </c>
      <c r="DI10" s="367">
        <v>1143.0</v>
      </c>
      <c r="DJ10" s="367">
        <v>1144.0</v>
      </c>
      <c r="DK10" s="367">
        <v>1146.0</v>
      </c>
      <c r="DL10" s="367">
        <v>1147.0</v>
      </c>
      <c r="DM10" s="367">
        <v>1148.0</v>
      </c>
      <c r="DN10" s="367">
        <v>1149.0</v>
      </c>
      <c r="DO10" s="367">
        <v>1151.0</v>
      </c>
      <c r="DP10" s="367">
        <v>1152.0</v>
      </c>
      <c r="DQ10" s="367">
        <v>1154.0</v>
      </c>
      <c r="DR10" s="367">
        <v>1156.0</v>
      </c>
      <c r="DS10" s="367">
        <v>1158.0</v>
      </c>
      <c r="DT10" s="367">
        <v>1161.0</v>
      </c>
      <c r="DU10" s="367">
        <v>1163.0</v>
      </c>
      <c r="DV10" s="367">
        <v>1165.0</v>
      </c>
      <c r="DW10" s="367">
        <v>1167.0</v>
      </c>
      <c r="DX10" s="367">
        <v>1168.0</v>
      </c>
      <c r="DY10" s="367">
        <v>1170.0</v>
      </c>
      <c r="DZ10" s="367">
        <v>1173.0</v>
      </c>
      <c r="EA10" s="367">
        <v>1175.0</v>
      </c>
      <c r="EB10" s="367">
        <v>1178.0</v>
      </c>
      <c r="EC10" s="367">
        <v>1179.0</v>
      </c>
      <c r="ED10" s="367">
        <v>1181.0</v>
      </c>
      <c r="EE10" s="367">
        <v>1183.0</v>
      </c>
      <c r="EF10" s="367">
        <v>1185.0</v>
      </c>
      <c r="EG10" s="367">
        <v>1187.0</v>
      </c>
      <c r="EH10" s="367">
        <v>1189.0</v>
      </c>
      <c r="EI10" s="367">
        <v>1190.0</v>
      </c>
      <c r="EJ10" s="367">
        <v>1191.0</v>
      </c>
      <c r="EK10" s="367">
        <v>1192.0</v>
      </c>
      <c r="EL10" s="367">
        <v>1193.0</v>
      </c>
      <c r="EM10" s="367">
        <v>1195.0</v>
      </c>
      <c r="EN10" s="367">
        <v>1196.0</v>
      </c>
      <c r="EO10" s="367">
        <v>1198.0</v>
      </c>
      <c r="EP10" s="367">
        <v>1199.0</v>
      </c>
      <c r="EQ10" s="367">
        <v>1200.0</v>
      </c>
      <c r="ER10" s="367">
        <v>1201.0</v>
      </c>
      <c r="ES10" s="367">
        <v>1206.0</v>
      </c>
      <c r="ET10" s="367">
        <v>1208.0</v>
      </c>
      <c r="EU10" s="367">
        <v>1210.0</v>
      </c>
      <c r="EV10" s="367">
        <v>1211.0</v>
      </c>
      <c r="EW10" s="367">
        <v>1214.0</v>
      </c>
      <c r="EX10" s="367">
        <v>1216.0</v>
      </c>
      <c r="EY10" s="367">
        <v>1217.0</v>
      </c>
      <c r="EZ10" s="367">
        <v>1219.0</v>
      </c>
      <c r="FA10" s="367">
        <v>1221.0</v>
      </c>
      <c r="FB10" s="367">
        <v>1222.0</v>
      </c>
      <c r="FC10" s="367">
        <v>1224.0</v>
      </c>
      <c r="FD10" s="367">
        <v>1225.0</v>
      </c>
      <c r="FE10" s="367">
        <v>1226.0</v>
      </c>
      <c r="FF10" s="367">
        <v>1227.0</v>
      </c>
      <c r="FG10" s="367">
        <v>1231.0</v>
      </c>
      <c r="FH10" s="367">
        <v>1232.0</v>
      </c>
      <c r="FI10" s="367">
        <v>1235.0</v>
      </c>
      <c r="FJ10" s="367">
        <v>1239.0</v>
      </c>
      <c r="FK10" s="367">
        <v>1243.0</v>
      </c>
      <c r="FL10" s="367">
        <v>1246.0</v>
      </c>
      <c r="FM10" s="367">
        <v>1247.0</v>
      </c>
      <c r="FN10" s="367">
        <v>1250.0</v>
      </c>
      <c r="FO10" s="367">
        <v>1251.0</v>
      </c>
      <c r="FP10" s="367">
        <v>1254.0</v>
      </c>
      <c r="FQ10" s="367">
        <v>1256.0</v>
      </c>
      <c r="FR10" s="367">
        <v>1259.0</v>
      </c>
      <c r="FS10" s="367">
        <v>1260.0</v>
      </c>
      <c r="FT10" s="367">
        <v>1261.0</v>
      </c>
      <c r="FU10" s="367">
        <v>1264.0</v>
      </c>
      <c r="FV10" s="367">
        <v>1268.0</v>
      </c>
      <c r="FW10" s="367">
        <v>1270.0</v>
      </c>
      <c r="FX10" s="367">
        <v>1275.0</v>
      </c>
      <c r="FY10" s="367">
        <v>1279.0</v>
      </c>
      <c r="FZ10" s="367">
        <v>1282.0</v>
      </c>
      <c r="GA10" s="367">
        <v>1284.0</v>
      </c>
      <c r="GB10" s="367">
        <v>1288.0</v>
      </c>
      <c r="GC10" s="367">
        <v>1291.0</v>
      </c>
      <c r="GD10" s="367">
        <v>1294.0</v>
      </c>
      <c r="GE10" s="367">
        <v>1298.0</v>
      </c>
      <c r="GF10" s="367">
        <v>1302.0</v>
      </c>
      <c r="GG10" s="367">
        <v>1305.0</v>
      </c>
      <c r="GH10" s="367">
        <v>1308.0</v>
      </c>
      <c r="GI10" s="367">
        <v>1311.0</v>
      </c>
      <c r="GJ10" s="367">
        <v>1314.0</v>
      </c>
      <c r="GK10" s="367">
        <v>1316.0</v>
      </c>
      <c r="GL10" s="367">
        <v>1320.0</v>
      </c>
      <c r="GM10" s="367">
        <v>1324.0</v>
      </c>
      <c r="GN10" s="367">
        <v>1326.0</v>
      </c>
      <c r="GO10" s="367">
        <v>1329.0</v>
      </c>
      <c r="GP10" s="367">
        <v>1331.0</v>
      </c>
      <c r="GQ10" s="367">
        <v>1333.0</v>
      </c>
      <c r="GR10" s="367">
        <v>1334.0</v>
      </c>
      <c r="GS10" s="367">
        <v>1340.0</v>
      </c>
      <c r="GT10" s="367">
        <v>1342.0</v>
      </c>
      <c r="GU10" s="367">
        <v>1344.0</v>
      </c>
      <c r="GV10" s="367">
        <v>1345.0</v>
      </c>
      <c r="GW10" s="367">
        <v>1347.0</v>
      </c>
      <c r="GX10" s="367">
        <v>1350.0</v>
      </c>
      <c r="GY10" s="367">
        <v>1354.0</v>
      </c>
      <c r="GZ10" s="367">
        <v>1355.0</v>
      </c>
      <c r="HA10" s="367">
        <v>1357.0</v>
      </c>
      <c r="HB10" s="367">
        <v>1358.0</v>
      </c>
      <c r="HC10" s="367">
        <v>1359.0</v>
      </c>
      <c r="HD10" s="367">
        <v>1360.0</v>
      </c>
      <c r="HE10" s="367">
        <v>1362.0</v>
      </c>
      <c r="HF10" s="367">
        <v>1364.0</v>
      </c>
      <c r="HG10" s="367">
        <v>1366.0</v>
      </c>
      <c r="HH10" s="367">
        <v>1370.0</v>
      </c>
      <c r="HI10" s="367">
        <v>1375.0</v>
      </c>
      <c r="HJ10" s="367">
        <v>1378.0</v>
      </c>
      <c r="HK10" s="367">
        <v>1381.0</v>
      </c>
      <c r="HL10" s="367">
        <v>1384.0</v>
      </c>
      <c r="HM10" s="367">
        <v>1388.0</v>
      </c>
      <c r="HN10" s="367">
        <v>1392.0</v>
      </c>
      <c r="HO10" s="367">
        <v>1395.0</v>
      </c>
      <c r="HP10" s="367">
        <v>1397.0</v>
      </c>
      <c r="HQ10" s="367">
        <v>1399.0</v>
      </c>
      <c r="HR10" s="367">
        <v>1401.0</v>
      </c>
      <c r="HS10" s="367">
        <v>1402.0</v>
      </c>
      <c r="HT10" s="367">
        <v>1403.0</v>
      </c>
      <c r="HU10" s="367">
        <v>1404.0</v>
      </c>
      <c r="HV10" s="367">
        <v>1405.0</v>
      </c>
      <c r="HW10" s="367">
        <v>1406.0</v>
      </c>
      <c r="HX10" s="367">
        <v>1408.0</v>
      </c>
      <c r="HY10" s="367"/>
      <c r="HZ10" s="367"/>
      <c r="IA10" s="367"/>
      <c r="IB10" s="367"/>
    </row>
    <row r="11">
      <c r="A11" s="132" t="s">
        <v>152</v>
      </c>
      <c r="B11" s="49"/>
      <c r="C11" s="133">
        <f t="shared" ref="C11:IB11" si="3">C10-B10</f>
        <v>1</v>
      </c>
      <c r="D11" s="133">
        <f t="shared" si="3"/>
        <v>8</v>
      </c>
      <c r="E11" s="133">
        <f t="shared" si="3"/>
        <v>3</v>
      </c>
      <c r="F11" s="133">
        <f t="shared" si="3"/>
        <v>1</v>
      </c>
      <c r="G11" s="133">
        <f t="shared" si="3"/>
        <v>2</v>
      </c>
      <c r="H11" s="133">
        <f t="shared" si="3"/>
        <v>1</v>
      </c>
      <c r="I11" s="133">
        <f t="shared" si="3"/>
        <v>2</v>
      </c>
      <c r="J11" s="133">
        <f t="shared" si="3"/>
        <v>11</v>
      </c>
      <c r="K11" s="133">
        <f t="shared" si="3"/>
        <v>4</v>
      </c>
      <c r="L11" s="133">
        <f t="shared" si="3"/>
        <v>4</v>
      </c>
      <c r="M11" s="133">
        <f t="shared" si="3"/>
        <v>4</v>
      </c>
      <c r="N11" s="133">
        <f t="shared" si="3"/>
        <v>8</v>
      </c>
      <c r="O11" s="133">
        <f t="shared" si="3"/>
        <v>11</v>
      </c>
      <c r="P11" s="133">
        <f t="shared" si="3"/>
        <v>14</v>
      </c>
      <c r="Q11" s="133">
        <f t="shared" si="3"/>
        <v>13</v>
      </c>
      <c r="R11" s="133">
        <f t="shared" si="3"/>
        <v>12</v>
      </c>
      <c r="S11" s="133">
        <f t="shared" si="3"/>
        <v>6</v>
      </c>
      <c r="T11" s="133">
        <f t="shared" si="3"/>
        <v>22</v>
      </c>
      <c r="U11" s="133">
        <f t="shared" si="3"/>
        <v>8</v>
      </c>
      <c r="V11" s="133">
        <f t="shared" si="3"/>
        <v>14</v>
      </c>
      <c r="W11" s="133">
        <f t="shared" si="3"/>
        <v>14</v>
      </c>
      <c r="X11" s="133">
        <f t="shared" si="3"/>
        <v>14</v>
      </c>
      <c r="Y11" s="133">
        <f t="shared" si="3"/>
        <v>11</v>
      </c>
      <c r="Z11" s="133">
        <f t="shared" si="3"/>
        <v>17</v>
      </c>
      <c r="AA11" s="133">
        <f t="shared" si="3"/>
        <v>4</v>
      </c>
      <c r="AB11" s="133">
        <f t="shared" si="3"/>
        <v>1</v>
      </c>
      <c r="AC11" s="133">
        <f t="shared" si="3"/>
        <v>1</v>
      </c>
      <c r="AD11" s="133">
        <f t="shared" si="3"/>
        <v>2</v>
      </c>
      <c r="AE11" s="133">
        <f t="shared" si="3"/>
        <v>2</v>
      </c>
      <c r="AF11" s="133">
        <f t="shared" si="3"/>
        <v>1</v>
      </c>
      <c r="AG11" s="133">
        <f t="shared" si="3"/>
        <v>4</v>
      </c>
      <c r="AH11" s="133">
        <f t="shared" si="3"/>
        <v>3</v>
      </c>
      <c r="AI11" s="133">
        <f t="shared" si="3"/>
        <v>1</v>
      </c>
      <c r="AJ11" s="133">
        <f t="shared" si="3"/>
        <v>3</v>
      </c>
      <c r="AK11" s="133">
        <f t="shared" si="3"/>
        <v>1</v>
      </c>
      <c r="AL11" s="133">
        <f t="shared" si="3"/>
        <v>2</v>
      </c>
      <c r="AM11" s="133">
        <f t="shared" si="3"/>
        <v>4</v>
      </c>
      <c r="AN11" s="133">
        <f t="shared" si="3"/>
        <v>2</v>
      </c>
      <c r="AO11" s="133">
        <f t="shared" si="3"/>
        <v>2</v>
      </c>
      <c r="AP11" s="133">
        <f t="shared" si="3"/>
        <v>2</v>
      </c>
      <c r="AQ11" s="133">
        <f t="shared" si="3"/>
        <v>1</v>
      </c>
      <c r="AR11" s="133">
        <f t="shared" si="3"/>
        <v>3</v>
      </c>
      <c r="AS11" s="133">
        <f t="shared" si="3"/>
        <v>1</v>
      </c>
      <c r="AT11" s="133">
        <f t="shared" si="3"/>
        <v>2</v>
      </c>
      <c r="AU11" s="133">
        <f t="shared" si="3"/>
        <v>2</v>
      </c>
      <c r="AV11" s="133">
        <f t="shared" si="3"/>
        <v>2</v>
      </c>
      <c r="AW11" s="133">
        <f t="shared" si="3"/>
        <v>1</v>
      </c>
      <c r="AX11" s="133">
        <f t="shared" si="3"/>
        <v>1</v>
      </c>
      <c r="AY11" s="133">
        <f t="shared" si="3"/>
        <v>2</v>
      </c>
      <c r="AZ11" s="133">
        <f t="shared" si="3"/>
        <v>3</v>
      </c>
      <c r="BA11" s="133">
        <f t="shared" si="3"/>
        <v>1</v>
      </c>
      <c r="BB11" s="133">
        <f t="shared" si="3"/>
        <v>2</v>
      </c>
      <c r="BC11" s="133">
        <f t="shared" si="3"/>
        <v>1</v>
      </c>
      <c r="BD11" s="133">
        <f t="shared" si="3"/>
        <v>2</v>
      </c>
      <c r="BE11" s="133">
        <f t="shared" si="3"/>
        <v>1</v>
      </c>
      <c r="BF11" s="133">
        <f t="shared" si="3"/>
        <v>2</v>
      </c>
      <c r="BG11" s="133">
        <f t="shared" si="3"/>
        <v>2</v>
      </c>
      <c r="BH11" s="133">
        <f t="shared" si="3"/>
        <v>2</v>
      </c>
      <c r="BI11" s="133">
        <f t="shared" si="3"/>
        <v>1</v>
      </c>
      <c r="BJ11" s="133">
        <f t="shared" si="3"/>
        <v>4</v>
      </c>
      <c r="BK11" s="133">
        <f t="shared" si="3"/>
        <v>1</v>
      </c>
      <c r="BL11" s="133">
        <f t="shared" si="3"/>
        <v>2</v>
      </c>
      <c r="BM11" s="133">
        <f t="shared" si="3"/>
        <v>1</v>
      </c>
      <c r="BN11" s="133">
        <f t="shared" si="3"/>
        <v>1</v>
      </c>
      <c r="BO11" s="133">
        <f t="shared" si="3"/>
        <v>1</v>
      </c>
      <c r="BP11" s="133">
        <f t="shared" si="3"/>
        <v>2</v>
      </c>
      <c r="BQ11" s="133">
        <f t="shared" si="3"/>
        <v>2</v>
      </c>
      <c r="BR11" s="133">
        <f t="shared" si="3"/>
        <v>1</v>
      </c>
      <c r="BS11" s="133">
        <f t="shared" si="3"/>
        <v>1</v>
      </c>
      <c r="BT11" s="133">
        <f t="shared" si="3"/>
        <v>1</v>
      </c>
      <c r="BU11" s="133">
        <f t="shared" si="3"/>
        <v>1</v>
      </c>
      <c r="BV11" s="133">
        <f t="shared" si="3"/>
        <v>0</v>
      </c>
      <c r="BW11" s="133">
        <f t="shared" si="3"/>
        <v>3</v>
      </c>
      <c r="BX11" s="133">
        <f t="shared" si="3"/>
        <v>1</v>
      </c>
      <c r="BY11" s="133">
        <f t="shared" si="3"/>
        <v>1</v>
      </c>
      <c r="BZ11" s="133">
        <f t="shared" si="3"/>
        <v>2</v>
      </c>
      <c r="CA11" s="133">
        <f t="shared" si="3"/>
        <v>2</v>
      </c>
      <c r="CB11" s="133">
        <f t="shared" si="3"/>
        <v>1</v>
      </c>
      <c r="CC11" s="133">
        <f t="shared" si="3"/>
        <v>2</v>
      </c>
      <c r="CD11" s="133">
        <f t="shared" si="3"/>
        <v>3</v>
      </c>
      <c r="CE11" s="133">
        <f t="shared" si="3"/>
        <v>3</v>
      </c>
      <c r="CF11" s="133">
        <f t="shared" si="3"/>
        <v>2</v>
      </c>
      <c r="CG11" s="133">
        <f t="shared" si="3"/>
        <v>1</v>
      </c>
      <c r="CH11" s="133">
        <f t="shared" si="3"/>
        <v>4</v>
      </c>
      <c r="CI11" s="133">
        <f t="shared" si="3"/>
        <v>2</v>
      </c>
      <c r="CJ11" s="133">
        <f t="shared" si="3"/>
        <v>4</v>
      </c>
      <c r="CK11" s="133">
        <f t="shared" si="3"/>
        <v>4</v>
      </c>
      <c r="CL11" s="133">
        <f t="shared" si="3"/>
        <v>1</v>
      </c>
      <c r="CM11" s="133">
        <f t="shared" si="3"/>
        <v>1</v>
      </c>
      <c r="CN11" s="133">
        <f t="shared" si="3"/>
        <v>1</v>
      </c>
      <c r="CO11" s="133">
        <f t="shared" si="3"/>
        <v>1</v>
      </c>
      <c r="CP11" s="133">
        <f t="shared" si="3"/>
        <v>2</v>
      </c>
      <c r="CQ11" s="133">
        <f t="shared" si="3"/>
        <v>1</v>
      </c>
      <c r="CR11" s="133">
        <f t="shared" si="3"/>
        <v>1</v>
      </c>
      <c r="CS11" s="133">
        <f t="shared" si="3"/>
        <v>3</v>
      </c>
      <c r="CT11" s="133">
        <f t="shared" si="3"/>
        <v>1</v>
      </c>
      <c r="CU11" s="133">
        <f t="shared" si="3"/>
        <v>2</v>
      </c>
      <c r="CV11" s="133">
        <f t="shared" si="3"/>
        <v>1</v>
      </c>
      <c r="CW11" s="133">
        <f t="shared" si="3"/>
        <v>1</v>
      </c>
      <c r="CX11" s="133">
        <f t="shared" si="3"/>
        <v>1</v>
      </c>
      <c r="CY11" s="133">
        <f t="shared" si="3"/>
        <v>2</v>
      </c>
      <c r="CZ11" s="133">
        <f t="shared" si="3"/>
        <v>1</v>
      </c>
      <c r="DA11" s="133">
        <f t="shared" si="3"/>
        <v>1</v>
      </c>
      <c r="DB11" s="133">
        <f t="shared" si="3"/>
        <v>2</v>
      </c>
      <c r="DC11" s="133">
        <f t="shared" si="3"/>
        <v>2</v>
      </c>
      <c r="DD11" s="133">
        <f t="shared" si="3"/>
        <v>1</v>
      </c>
      <c r="DE11" s="133">
        <f t="shared" si="3"/>
        <v>2</v>
      </c>
      <c r="DF11" s="133">
        <f t="shared" si="3"/>
        <v>2</v>
      </c>
      <c r="DG11" s="133">
        <f t="shared" si="3"/>
        <v>1</v>
      </c>
      <c r="DH11" s="133">
        <f t="shared" si="3"/>
        <v>1</v>
      </c>
      <c r="DI11" s="133">
        <f t="shared" si="3"/>
        <v>1</v>
      </c>
      <c r="DJ11" s="133">
        <f t="shared" si="3"/>
        <v>1</v>
      </c>
      <c r="DK11" s="133">
        <f t="shared" si="3"/>
        <v>2</v>
      </c>
      <c r="DL11" s="133">
        <f t="shared" si="3"/>
        <v>1</v>
      </c>
      <c r="DM11" s="133">
        <f t="shared" si="3"/>
        <v>1</v>
      </c>
      <c r="DN11" s="133">
        <f t="shared" si="3"/>
        <v>1</v>
      </c>
      <c r="DO11" s="133">
        <f t="shared" si="3"/>
        <v>2</v>
      </c>
      <c r="DP11" s="133">
        <f t="shared" si="3"/>
        <v>1</v>
      </c>
      <c r="DQ11" s="133">
        <f t="shared" si="3"/>
        <v>2</v>
      </c>
      <c r="DR11" s="133">
        <f t="shared" si="3"/>
        <v>2</v>
      </c>
      <c r="DS11" s="133">
        <f t="shared" si="3"/>
        <v>2</v>
      </c>
      <c r="DT11" s="133">
        <f t="shared" si="3"/>
        <v>3</v>
      </c>
      <c r="DU11" s="133">
        <f t="shared" si="3"/>
        <v>2</v>
      </c>
      <c r="DV11" s="133">
        <f t="shared" si="3"/>
        <v>2</v>
      </c>
      <c r="DW11" s="133">
        <f t="shared" si="3"/>
        <v>2</v>
      </c>
      <c r="DX11" s="133">
        <f t="shared" si="3"/>
        <v>1</v>
      </c>
      <c r="DY11" s="133">
        <f t="shared" si="3"/>
        <v>2</v>
      </c>
      <c r="DZ11" s="133">
        <f t="shared" si="3"/>
        <v>3</v>
      </c>
      <c r="EA11" s="133">
        <f t="shared" si="3"/>
        <v>2</v>
      </c>
      <c r="EB11" s="133">
        <f t="shared" si="3"/>
        <v>3</v>
      </c>
      <c r="EC11" s="133">
        <f t="shared" si="3"/>
        <v>1</v>
      </c>
      <c r="ED11" s="133">
        <f t="shared" si="3"/>
        <v>2</v>
      </c>
      <c r="EE11" s="133">
        <f t="shared" si="3"/>
        <v>2</v>
      </c>
      <c r="EF11" s="133">
        <f t="shared" si="3"/>
        <v>2</v>
      </c>
      <c r="EG11" s="133">
        <f t="shared" si="3"/>
        <v>2</v>
      </c>
      <c r="EH11" s="133">
        <f t="shared" si="3"/>
        <v>2</v>
      </c>
      <c r="EI11" s="133">
        <f t="shared" si="3"/>
        <v>1</v>
      </c>
      <c r="EJ11" s="133">
        <f t="shared" si="3"/>
        <v>1</v>
      </c>
      <c r="EK11" s="133">
        <f t="shared" si="3"/>
        <v>1</v>
      </c>
      <c r="EL11" s="133">
        <f t="shared" si="3"/>
        <v>1</v>
      </c>
      <c r="EM11" s="133">
        <f t="shared" si="3"/>
        <v>2</v>
      </c>
      <c r="EN11" s="133">
        <f t="shared" si="3"/>
        <v>1</v>
      </c>
      <c r="EO11" s="133">
        <f t="shared" si="3"/>
        <v>2</v>
      </c>
      <c r="EP11" s="133">
        <f t="shared" si="3"/>
        <v>1</v>
      </c>
      <c r="EQ11" s="133">
        <f t="shared" si="3"/>
        <v>1</v>
      </c>
      <c r="ER11" s="133">
        <f t="shared" si="3"/>
        <v>1</v>
      </c>
      <c r="ES11" s="133">
        <f t="shared" si="3"/>
        <v>5</v>
      </c>
      <c r="ET11" s="133">
        <f t="shared" si="3"/>
        <v>2</v>
      </c>
      <c r="EU11" s="133">
        <f t="shared" si="3"/>
        <v>2</v>
      </c>
      <c r="EV11" s="133">
        <f t="shared" si="3"/>
        <v>1</v>
      </c>
      <c r="EW11" s="133">
        <f t="shared" si="3"/>
        <v>3</v>
      </c>
      <c r="EX11" s="133">
        <f t="shared" si="3"/>
        <v>2</v>
      </c>
      <c r="EY11" s="133">
        <f t="shared" si="3"/>
        <v>1</v>
      </c>
      <c r="EZ11" s="133">
        <f t="shared" si="3"/>
        <v>2</v>
      </c>
      <c r="FA11" s="133">
        <f t="shared" si="3"/>
        <v>2</v>
      </c>
      <c r="FB11" s="133">
        <f t="shared" si="3"/>
        <v>1</v>
      </c>
      <c r="FC11" s="133">
        <f t="shared" si="3"/>
        <v>2</v>
      </c>
      <c r="FD11" s="133">
        <f t="shared" si="3"/>
        <v>1</v>
      </c>
      <c r="FE11" s="133">
        <f t="shared" si="3"/>
        <v>1</v>
      </c>
      <c r="FF11" s="133">
        <f t="shared" si="3"/>
        <v>1</v>
      </c>
      <c r="FG11" s="133">
        <f t="shared" si="3"/>
        <v>4</v>
      </c>
      <c r="FH11" s="133">
        <f t="shared" si="3"/>
        <v>1</v>
      </c>
      <c r="FI11" s="133">
        <f t="shared" si="3"/>
        <v>3</v>
      </c>
      <c r="FJ11" s="133">
        <f t="shared" si="3"/>
        <v>4</v>
      </c>
      <c r="FK11" s="133">
        <f t="shared" si="3"/>
        <v>4</v>
      </c>
      <c r="FL11" s="133">
        <f t="shared" si="3"/>
        <v>3</v>
      </c>
      <c r="FM11" s="133">
        <f t="shared" si="3"/>
        <v>1</v>
      </c>
      <c r="FN11" s="133">
        <f t="shared" si="3"/>
        <v>3</v>
      </c>
      <c r="FO11" s="133">
        <f t="shared" si="3"/>
        <v>1</v>
      </c>
      <c r="FP11" s="133">
        <f t="shared" si="3"/>
        <v>3</v>
      </c>
      <c r="FQ11" s="133">
        <f t="shared" si="3"/>
        <v>2</v>
      </c>
      <c r="FR11" s="133">
        <f t="shared" si="3"/>
        <v>3</v>
      </c>
      <c r="FS11" s="133">
        <f t="shared" si="3"/>
        <v>1</v>
      </c>
      <c r="FT11" s="133">
        <f t="shared" si="3"/>
        <v>1</v>
      </c>
      <c r="FU11" s="133">
        <f t="shared" si="3"/>
        <v>3</v>
      </c>
      <c r="FV11" s="133">
        <f t="shared" si="3"/>
        <v>4</v>
      </c>
      <c r="FW11" s="133">
        <f t="shared" si="3"/>
        <v>2</v>
      </c>
      <c r="FX11" s="133">
        <f t="shared" si="3"/>
        <v>5</v>
      </c>
      <c r="FY11" s="133">
        <f t="shared" si="3"/>
        <v>4</v>
      </c>
      <c r="FZ11" s="133">
        <f t="shared" si="3"/>
        <v>3</v>
      </c>
      <c r="GA11" s="133">
        <f t="shared" si="3"/>
        <v>2</v>
      </c>
      <c r="GB11" s="133">
        <f t="shared" si="3"/>
        <v>4</v>
      </c>
      <c r="GC11" s="133">
        <f t="shared" si="3"/>
        <v>3</v>
      </c>
      <c r="GD11" s="133">
        <f t="shared" si="3"/>
        <v>3</v>
      </c>
      <c r="GE11" s="133">
        <f t="shared" si="3"/>
        <v>4</v>
      </c>
      <c r="GF11" s="133">
        <f t="shared" si="3"/>
        <v>4</v>
      </c>
      <c r="GG11" s="133">
        <f t="shared" si="3"/>
        <v>3</v>
      </c>
      <c r="GH11" s="133">
        <f t="shared" si="3"/>
        <v>3</v>
      </c>
      <c r="GI11" s="133">
        <f t="shared" si="3"/>
        <v>3</v>
      </c>
      <c r="GJ11" s="133">
        <f t="shared" si="3"/>
        <v>3</v>
      </c>
      <c r="GK11" s="133">
        <f t="shared" si="3"/>
        <v>2</v>
      </c>
      <c r="GL11" s="133">
        <f t="shared" si="3"/>
        <v>4</v>
      </c>
      <c r="GM11" s="133">
        <f t="shared" si="3"/>
        <v>4</v>
      </c>
      <c r="GN11" s="133">
        <f t="shared" si="3"/>
        <v>2</v>
      </c>
      <c r="GO11" s="133">
        <f t="shared" si="3"/>
        <v>3</v>
      </c>
      <c r="GP11" s="133">
        <f t="shared" si="3"/>
        <v>2</v>
      </c>
      <c r="GQ11" s="133">
        <f t="shared" si="3"/>
        <v>2</v>
      </c>
      <c r="GR11" s="133">
        <f t="shared" si="3"/>
        <v>1</v>
      </c>
      <c r="GS11" s="133">
        <f t="shared" si="3"/>
        <v>6</v>
      </c>
      <c r="GT11" s="133">
        <f t="shared" si="3"/>
        <v>2</v>
      </c>
      <c r="GU11" s="133">
        <f t="shared" si="3"/>
        <v>2</v>
      </c>
      <c r="GV11" s="133">
        <f t="shared" si="3"/>
        <v>1</v>
      </c>
      <c r="GW11" s="133">
        <f t="shared" si="3"/>
        <v>2</v>
      </c>
      <c r="GX11" s="133">
        <f t="shared" si="3"/>
        <v>3</v>
      </c>
      <c r="GY11" s="133">
        <f t="shared" si="3"/>
        <v>4</v>
      </c>
      <c r="GZ11" s="133">
        <f t="shared" si="3"/>
        <v>1</v>
      </c>
      <c r="HA11" s="133">
        <f t="shared" si="3"/>
        <v>2</v>
      </c>
      <c r="HB11" s="133">
        <f t="shared" si="3"/>
        <v>1</v>
      </c>
      <c r="HC11" s="133">
        <f t="shared" si="3"/>
        <v>1</v>
      </c>
      <c r="HD11" s="133">
        <f t="shared" si="3"/>
        <v>1</v>
      </c>
      <c r="HE11" s="133">
        <f t="shared" si="3"/>
        <v>2</v>
      </c>
      <c r="HF11" s="133">
        <f t="shared" si="3"/>
        <v>2</v>
      </c>
      <c r="HG11" s="133">
        <f t="shared" si="3"/>
        <v>2</v>
      </c>
      <c r="HH11" s="133">
        <f t="shared" si="3"/>
        <v>4</v>
      </c>
      <c r="HI11" s="133">
        <f t="shared" si="3"/>
        <v>5</v>
      </c>
      <c r="HJ11" s="133">
        <f t="shared" si="3"/>
        <v>3</v>
      </c>
      <c r="HK11" s="133">
        <f t="shared" si="3"/>
        <v>3</v>
      </c>
      <c r="HL11" s="133">
        <f t="shared" si="3"/>
        <v>3</v>
      </c>
      <c r="HM11" s="133">
        <f t="shared" si="3"/>
        <v>4</v>
      </c>
      <c r="HN11" s="133">
        <f t="shared" si="3"/>
        <v>4</v>
      </c>
      <c r="HO11" s="133">
        <f t="shared" si="3"/>
        <v>3</v>
      </c>
      <c r="HP11" s="133">
        <f t="shared" si="3"/>
        <v>2</v>
      </c>
      <c r="HQ11" s="133">
        <f t="shared" si="3"/>
        <v>2</v>
      </c>
      <c r="HR11" s="133">
        <f t="shared" si="3"/>
        <v>2</v>
      </c>
      <c r="HS11" s="133">
        <f t="shared" si="3"/>
        <v>1</v>
      </c>
      <c r="HT11" s="133">
        <f t="shared" si="3"/>
        <v>1</v>
      </c>
      <c r="HU11" s="133">
        <f t="shared" si="3"/>
        <v>1</v>
      </c>
      <c r="HV11" s="133">
        <f t="shared" si="3"/>
        <v>1</v>
      </c>
      <c r="HW11" s="133">
        <f t="shared" si="3"/>
        <v>1</v>
      </c>
      <c r="HX11" s="133">
        <f t="shared" si="3"/>
        <v>2</v>
      </c>
      <c r="HY11" s="133">
        <f t="shared" si="3"/>
        <v>-1408</v>
      </c>
      <c r="HZ11" s="133">
        <f t="shared" si="3"/>
        <v>0</v>
      </c>
      <c r="IA11" s="133">
        <f t="shared" si="3"/>
        <v>0</v>
      </c>
      <c r="IB11" s="133">
        <f t="shared" si="3"/>
        <v>0</v>
      </c>
    </row>
    <row r="12">
      <c r="A12" s="137" t="s">
        <v>153</v>
      </c>
      <c r="B12" s="130">
        <v>924.0</v>
      </c>
      <c r="C12" s="138">
        <v>930.0</v>
      </c>
      <c r="D12" s="138">
        <v>936.0</v>
      </c>
      <c r="E12" s="135">
        <v>943.0</v>
      </c>
      <c r="F12" s="135">
        <v>944.0</v>
      </c>
      <c r="G12" s="135">
        <v>950.0</v>
      </c>
      <c r="H12" s="135">
        <v>955.0</v>
      </c>
      <c r="I12" s="135">
        <v>957.0</v>
      </c>
      <c r="J12" s="135">
        <v>962.0</v>
      </c>
      <c r="K12" s="135">
        <v>968.0</v>
      </c>
      <c r="L12" s="135">
        <v>973.0</v>
      </c>
      <c r="M12" s="135">
        <v>978.0</v>
      </c>
      <c r="N12" s="135">
        <v>983.0</v>
      </c>
      <c r="O12" s="368">
        <v>986.0</v>
      </c>
      <c r="P12" s="368">
        <v>990.0</v>
      </c>
      <c r="Q12" s="368">
        <v>996.0</v>
      </c>
      <c r="R12" s="368">
        <v>1000.0</v>
      </c>
      <c r="S12" s="368">
        <v>1005.0</v>
      </c>
      <c r="T12" s="368">
        <v>1010.0</v>
      </c>
      <c r="U12" s="368">
        <v>1014.0</v>
      </c>
      <c r="V12" s="368">
        <v>1019.0</v>
      </c>
      <c r="W12" s="368">
        <v>1025.0</v>
      </c>
      <c r="X12" s="368">
        <v>1031.0</v>
      </c>
      <c r="Y12" s="368">
        <v>1038.0</v>
      </c>
      <c r="Z12" s="368">
        <v>1041.0</v>
      </c>
      <c r="AA12" s="368">
        <v>1049.0</v>
      </c>
      <c r="AB12" s="368">
        <v>1051.0</v>
      </c>
      <c r="AC12" s="368">
        <v>1055.0</v>
      </c>
      <c r="AD12" s="368">
        <v>1063.0</v>
      </c>
      <c r="AE12" s="368">
        <v>1067.0</v>
      </c>
      <c r="AF12" s="368">
        <v>1073.0</v>
      </c>
      <c r="AG12" s="368">
        <v>1079.0</v>
      </c>
      <c r="AH12" s="368">
        <v>1083.0</v>
      </c>
      <c r="AI12" s="368">
        <v>1087.0</v>
      </c>
      <c r="AJ12" s="368">
        <v>1093.0</v>
      </c>
      <c r="AK12" s="368">
        <v>1098.0</v>
      </c>
      <c r="AL12" s="368">
        <v>1104.0</v>
      </c>
      <c r="AM12" s="368">
        <v>1111.0</v>
      </c>
      <c r="AN12" s="368">
        <v>1116.0</v>
      </c>
      <c r="AO12" s="368">
        <v>1120.0</v>
      </c>
      <c r="AP12" s="368">
        <v>1126.0</v>
      </c>
      <c r="AQ12" s="368">
        <v>1138.0</v>
      </c>
      <c r="AR12" s="368">
        <v>1139.0</v>
      </c>
      <c r="AS12" s="368">
        <v>1143.0</v>
      </c>
      <c r="AT12" s="368">
        <v>1150.0</v>
      </c>
      <c r="AU12" s="368">
        <v>1156.0</v>
      </c>
      <c r="AV12" s="368">
        <v>1161.0</v>
      </c>
      <c r="AW12" s="368">
        <v>1166.0</v>
      </c>
      <c r="AX12" s="368">
        <v>1173.0</v>
      </c>
      <c r="AY12" s="368">
        <v>1179.0</v>
      </c>
      <c r="AZ12" s="368">
        <v>1186.0</v>
      </c>
      <c r="BA12" s="368">
        <v>1193.0</v>
      </c>
      <c r="BB12" s="368">
        <v>1200.0</v>
      </c>
      <c r="BC12" s="368">
        <v>1207.0</v>
      </c>
      <c r="BD12" s="368">
        <v>1213.0</v>
      </c>
      <c r="BE12" s="368">
        <v>1215.0</v>
      </c>
      <c r="BF12" s="368">
        <v>1222.0</v>
      </c>
      <c r="BG12" s="368">
        <v>1225.0</v>
      </c>
      <c r="BH12" s="368">
        <v>1233.0</v>
      </c>
      <c r="BI12" s="368">
        <v>1238.0</v>
      </c>
      <c r="BJ12" s="368">
        <v>1244.0</v>
      </c>
      <c r="BK12" s="368">
        <v>1249.0</v>
      </c>
      <c r="BL12" s="368">
        <v>1255.0</v>
      </c>
      <c r="BM12" s="368">
        <v>1263.0</v>
      </c>
      <c r="BN12" s="368">
        <v>1269.0</v>
      </c>
      <c r="BO12" s="368">
        <v>1275.0</v>
      </c>
      <c r="BP12" s="368">
        <v>1282.0</v>
      </c>
      <c r="BQ12" s="368">
        <v>1286.0</v>
      </c>
      <c r="BR12" s="368">
        <v>1289.0</v>
      </c>
      <c r="BS12" s="368">
        <v>1296.0</v>
      </c>
      <c r="BT12" s="368">
        <v>1306.0</v>
      </c>
      <c r="BU12" s="368">
        <v>1311.0</v>
      </c>
      <c r="BV12" s="368">
        <v>1317.0</v>
      </c>
      <c r="BW12" s="368">
        <v>1323.0</v>
      </c>
      <c r="BX12" s="368">
        <v>1331.0</v>
      </c>
      <c r="BY12" s="368">
        <v>1336.0</v>
      </c>
      <c r="BZ12" s="368">
        <v>1340.0</v>
      </c>
      <c r="CA12" s="368">
        <v>1346.0</v>
      </c>
      <c r="CB12" s="368">
        <v>1352.0</v>
      </c>
      <c r="CC12" s="368">
        <v>1356.0</v>
      </c>
      <c r="CD12" s="368">
        <v>1360.0</v>
      </c>
      <c r="CE12" s="368">
        <v>1363.0</v>
      </c>
      <c r="CF12" s="368">
        <v>1369.0</v>
      </c>
      <c r="CG12" s="368">
        <v>1372.0</v>
      </c>
      <c r="CH12" s="368">
        <v>1377.0</v>
      </c>
      <c r="CI12" s="368">
        <v>1382.0</v>
      </c>
      <c r="CJ12" s="368">
        <v>1388.0</v>
      </c>
      <c r="CK12" s="368">
        <v>1402.0</v>
      </c>
      <c r="CL12" s="368">
        <v>1404.0</v>
      </c>
      <c r="CM12" s="368">
        <v>1405.0</v>
      </c>
      <c r="CN12" s="368">
        <v>1407.0</v>
      </c>
      <c r="CO12" s="368">
        <v>1412.0</v>
      </c>
      <c r="CP12" s="368">
        <v>1422.0</v>
      </c>
      <c r="CQ12" s="368">
        <v>1426.0</v>
      </c>
      <c r="CR12" s="368">
        <v>1433.0</v>
      </c>
      <c r="CS12" s="368">
        <v>1440.0</v>
      </c>
      <c r="CT12" s="368">
        <v>1445.0</v>
      </c>
      <c r="CU12" s="368">
        <v>1452.0</v>
      </c>
      <c r="CV12" s="368">
        <v>1456.0</v>
      </c>
      <c r="CW12" s="368">
        <v>1461.0</v>
      </c>
      <c r="CX12" s="368">
        <v>1467.0</v>
      </c>
      <c r="CY12" s="368">
        <v>1473.0</v>
      </c>
      <c r="CZ12" s="368">
        <v>1478.0</v>
      </c>
      <c r="DA12" s="368">
        <v>1484.0</v>
      </c>
      <c r="DB12" s="368">
        <v>1488.0</v>
      </c>
      <c r="DC12" s="368">
        <v>1494.0</v>
      </c>
      <c r="DD12" s="368">
        <v>1499.0</v>
      </c>
      <c r="DE12" s="368">
        <v>1503.0</v>
      </c>
      <c r="DF12" s="368">
        <v>1510.0</v>
      </c>
      <c r="DG12" s="368">
        <v>1514.0</v>
      </c>
      <c r="DH12" s="368">
        <v>1518.0</v>
      </c>
      <c r="DI12" s="368">
        <v>1521.0</v>
      </c>
      <c r="DJ12" s="368">
        <v>1525.0</v>
      </c>
      <c r="DK12" s="368">
        <v>1531.0</v>
      </c>
      <c r="DL12" s="368">
        <v>1532.0</v>
      </c>
      <c r="DM12" s="368">
        <v>1536.0</v>
      </c>
      <c r="DN12" s="368">
        <v>1539.0</v>
      </c>
      <c r="DO12" s="368">
        <v>1545.0</v>
      </c>
      <c r="DP12" s="368">
        <v>1548.0</v>
      </c>
      <c r="DQ12" s="368">
        <v>1554.0</v>
      </c>
      <c r="DR12" s="368">
        <v>1558.0</v>
      </c>
      <c r="DS12" s="368">
        <v>1565.0</v>
      </c>
      <c r="DT12" s="368">
        <v>1570.0</v>
      </c>
      <c r="DU12" s="368">
        <v>1573.0</v>
      </c>
      <c r="DV12" s="368">
        <v>1579.0</v>
      </c>
      <c r="DW12" s="368">
        <v>1581.0</v>
      </c>
      <c r="DX12" s="368">
        <v>1587.0</v>
      </c>
      <c r="DY12" s="368">
        <v>1591.0</v>
      </c>
      <c r="DZ12" s="368">
        <v>1595.0</v>
      </c>
      <c r="EA12" s="368">
        <v>1599.0</v>
      </c>
      <c r="EB12" s="368">
        <v>1605.0</v>
      </c>
      <c r="EC12" s="368">
        <v>1606.0</v>
      </c>
      <c r="ED12" s="368">
        <v>1611.0</v>
      </c>
      <c r="EE12" s="368">
        <v>1616.0</v>
      </c>
      <c r="EF12" s="368">
        <v>1618.0</v>
      </c>
      <c r="EG12" s="368">
        <v>1622.0</v>
      </c>
      <c r="EH12" s="368">
        <v>1626.0</v>
      </c>
      <c r="EI12" s="368">
        <v>1629.0</v>
      </c>
      <c r="EJ12" s="368">
        <v>1632.0</v>
      </c>
      <c r="EK12" s="368">
        <v>1634.0</v>
      </c>
      <c r="EL12" s="368">
        <v>1638.0</v>
      </c>
      <c r="EM12" s="368">
        <v>1644.0</v>
      </c>
      <c r="EN12" s="368">
        <v>1649.0</v>
      </c>
      <c r="EO12" s="368">
        <v>1657.0</v>
      </c>
      <c r="EP12" s="368">
        <v>1660.0</v>
      </c>
      <c r="EQ12" s="368">
        <v>1662.0</v>
      </c>
      <c r="ER12" s="368">
        <v>1664.0</v>
      </c>
      <c r="ES12" s="368">
        <v>1672.0</v>
      </c>
      <c r="ET12" s="368">
        <v>1675.0</v>
      </c>
      <c r="EU12" s="368">
        <v>1677.0</v>
      </c>
      <c r="EV12" s="368">
        <v>1679.0</v>
      </c>
      <c r="EW12" s="368">
        <v>1685.0</v>
      </c>
      <c r="EX12" s="368">
        <v>1687.0</v>
      </c>
      <c r="EY12" s="368">
        <v>1689.0</v>
      </c>
      <c r="EZ12" s="368">
        <v>1693.0</v>
      </c>
      <c r="FA12" s="368">
        <v>1698.0</v>
      </c>
      <c r="FB12" s="368">
        <v>1703.0</v>
      </c>
      <c r="FC12" s="368">
        <v>1709.0</v>
      </c>
      <c r="FD12" s="368">
        <v>1711.0</v>
      </c>
      <c r="FE12" s="368">
        <v>1714.0</v>
      </c>
      <c r="FF12" s="368">
        <v>1717.0</v>
      </c>
      <c r="FG12" s="368">
        <v>1722.0</v>
      </c>
      <c r="FH12" s="368">
        <v>1725.0</v>
      </c>
      <c r="FI12" s="368">
        <v>1730.0</v>
      </c>
      <c r="FJ12" s="368">
        <v>1733.0</v>
      </c>
      <c r="FK12" s="368">
        <v>1738.0</v>
      </c>
      <c r="FL12" s="368">
        <v>1743.0</v>
      </c>
      <c r="FM12" s="368">
        <v>1747.0</v>
      </c>
      <c r="FN12" s="368">
        <v>1757.0</v>
      </c>
      <c r="FO12" s="368">
        <v>1761.0</v>
      </c>
      <c r="FP12" s="368">
        <v>1765.0</v>
      </c>
      <c r="FQ12" s="368">
        <v>1769.0</v>
      </c>
      <c r="FR12" s="368">
        <v>1771.0</v>
      </c>
      <c r="FS12" s="368">
        <v>1777.0</v>
      </c>
      <c r="FT12" s="368">
        <v>1780.0</v>
      </c>
      <c r="FU12" s="368">
        <v>1783.0</v>
      </c>
      <c r="FV12" s="368">
        <v>1784.0</v>
      </c>
      <c r="FW12" s="368">
        <v>1786.0</v>
      </c>
      <c r="FX12" s="368">
        <v>1790.0</v>
      </c>
      <c r="FY12" s="368">
        <v>1793.0</v>
      </c>
      <c r="FZ12" s="368">
        <v>1795.0</v>
      </c>
      <c r="GA12" s="368">
        <v>1799.0</v>
      </c>
      <c r="GB12" s="368">
        <v>1804.0</v>
      </c>
      <c r="GC12" s="368">
        <v>1808.0</v>
      </c>
      <c r="GD12" s="368">
        <v>1813.0</v>
      </c>
      <c r="GE12" s="368">
        <v>1817.0</v>
      </c>
      <c r="GF12" s="368">
        <v>1821.0</v>
      </c>
      <c r="GG12" s="368">
        <v>1823.0</v>
      </c>
      <c r="GH12" s="368">
        <v>1827.0</v>
      </c>
      <c r="GI12" s="368">
        <v>1831.0</v>
      </c>
      <c r="GJ12" s="368">
        <v>1835.0</v>
      </c>
      <c r="GK12" s="368">
        <v>1839.0</v>
      </c>
      <c r="GL12" s="368">
        <v>1842.0</v>
      </c>
      <c r="GM12" s="368">
        <v>1847.0</v>
      </c>
      <c r="GN12" s="368">
        <v>1850.0</v>
      </c>
      <c r="GO12" s="368">
        <v>1854.0</v>
      </c>
      <c r="GP12" s="368">
        <v>1860.0</v>
      </c>
      <c r="GQ12" s="368"/>
      <c r="GR12" s="368">
        <v>1866.0</v>
      </c>
      <c r="GS12" s="368">
        <v>1871.0</v>
      </c>
      <c r="GT12" s="368">
        <v>1875.0</v>
      </c>
      <c r="GU12" s="368">
        <v>1878.0</v>
      </c>
      <c r="GV12" s="368">
        <v>1883.0</v>
      </c>
      <c r="GW12" s="368">
        <v>1886.0</v>
      </c>
      <c r="GX12" s="368">
        <v>1888.0</v>
      </c>
      <c r="GY12" s="368">
        <v>1900.0</v>
      </c>
      <c r="GZ12" s="368">
        <v>1902.0</v>
      </c>
      <c r="HA12" s="368">
        <v>1904.0</v>
      </c>
      <c r="HB12" s="368">
        <v>1909.0</v>
      </c>
      <c r="HC12" s="368">
        <v>1910.0</v>
      </c>
      <c r="HD12" s="368">
        <v>1912.0</v>
      </c>
      <c r="HE12" s="368">
        <v>1915.0</v>
      </c>
      <c r="HF12" s="368">
        <v>1922.0</v>
      </c>
      <c r="HG12" s="368">
        <v>1926.0</v>
      </c>
      <c r="HH12" s="368">
        <v>1930.0</v>
      </c>
      <c r="HI12" s="368">
        <v>1935.0</v>
      </c>
      <c r="HJ12" s="368">
        <v>1939.0</v>
      </c>
      <c r="HK12" s="368">
        <v>1943.0</v>
      </c>
      <c r="HL12" s="368">
        <v>1948.0</v>
      </c>
      <c r="HM12" s="368">
        <v>1950.0</v>
      </c>
      <c r="HN12" s="368">
        <v>1954.0</v>
      </c>
      <c r="HO12" s="368">
        <v>1957.0</v>
      </c>
      <c r="HP12" s="368">
        <v>1960.0</v>
      </c>
      <c r="HQ12" s="368">
        <v>1965.0</v>
      </c>
      <c r="HR12" s="368">
        <v>1971.0</v>
      </c>
      <c r="HS12" s="368">
        <v>1972.0</v>
      </c>
      <c r="HT12" s="368">
        <v>1976.0</v>
      </c>
      <c r="HU12" s="368">
        <v>1981.0</v>
      </c>
      <c r="HV12" s="368">
        <v>1985.0</v>
      </c>
      <c r="HW12" s="368">
        <v>1988.0</v>
      </c>
      <c r="HX12" s="368">
        <v>1991.0</v>
      </c>
      <c r="HY12" s="368"/>
      <c r="HZ12" s="368"/>
      <c r="IA12" s="368"/>
      <c r="IB12" s="368"/>
    </row>
    <row r="13">
      <c r="A13" s="137" t="s">
        <v>154</v>
      </c>
      <c r="C13" s="138">
        <f t="shared" ref="C13:IB13" si="4">C12-B12</f>
        <v>6</v>
      </c>
      <c r="D13" s="138">
        <f t="shared" si="4"/>
        <v>6</v>
      </c>
      <c r="E13" s="138">
        <f t="shared" si="4"/>
        <v>7</v>
      </c>
      <c r="F13" s="138">
        <f t="shared" si="4"/>
        <v>1</v>
      </c>
      <c r="G13" s="138">
        <f t="shared" si="4"/>
        <v>6</v>
      </c>
      <c r="H13" s="138">
        <f t="shared" si="4"/>
        <v>5</v>
      </c>
      <c r="I13" s="138">
        <f t="shared" si="4"/>
        <v>2</v>
      </c>
      <c r="J13" s="138">
        <f t="shared" si="4"/>
        <v>5</v>
      </c>
      <c r="K13" s="138">
        <f t="shared" si="4"/>
        <v>6</v>
      </c>
      <c r="L13" s="138">
        <f t="shared" si="4"/>
        <v>5</v>
      </c>
      <c r="M13" s="138">
        <f t="shared" si="4"/>
        <v>5</v>
      </c>
      <c r="N13" s="138">
        <f t="shared" si="4"/>
        <v>5</v>
      </c>
      <c r="O13" s="138">
        <f t="shared" si="4"/>
        <v>3</v>
      </c>
      <c r="P13" s="138">
        <f t="shared" si="4"/>
        <v>4</v>
      </c>
      <c r="Q13" s="138">
        <f t="shared" si="4"/>
        <v>6</v>
      </c>
      <c r="R13" s="138">
        <f t="shared" si="4"/>
        <v>4</v>
      </c>
      <c r="S13" s="138">
        <f t="shared" si="4"/>
        <v>5</v>
      </c>
      <c r="T13" s="138">
        <f t="shared" si="4"/>
        <v>5</v>
      </c>
      <c r="U13" s="138">
        <f t="shared" si="4"/>
        <v>4</v>
      </c>
      <c r="V13" s="138">
        <f t="shared" si="4"/>
        <v>5</v>
      </c>
      <c r="W13" s="138">
        <f t="shared" si="4"/>
        <v>6</v>
      </c>
      <c r="X13" s="138">
        <f t="shared" si="4"/>
        <v>6</v>
      </c>
      <c r="Y13" s="138">
        <f t="shared" si="4"/>
        <v>7</v>
      </c>
      <c r="Z13" s="138">
        <f t="shared" si="4"/>
        <v>3</v>
      </c>
      <c r="AA13" s="138">
        <f t="shared" si="4"/>
        <v>8</v>
      </c>
      <c r="AB13" s="138">
        <f t="shared" si="4"/>
        <v>2</v>
      </c>
      <c r="AC13" s="138">
        <f t="shared" si="4"/>
        <v>4</v>
      </c>
      <c r="AD13" s="138">
        <f t="shared" si="4"/>
        <v>8</v>
      </c>
      <c r="AE13" s="138">
        <f t="shared" si="4"/>
        <v>4</v>
      </c>
      <c r="AF13" s="138">
        <f t="shared" si="4"/>
        <v>6</v>
      </c>
      <c r="AG13" s="138">
        <f t="shared" si="4"/>
        <v>6</v>
      </c>
      <c r="AH13" s="138">
        <f t="shared" si="4"/>
        <v>4</v>
      </c>
      <c r="AI13" s="138">
        <f t="shared" si="4"/>
        <v>4</v>
      </c>
      <c r="AJ13" s="138">
        <f t="shared" si="4"/>
        <v>6</v>
      </c>
      <c r="AK13" s="138">
        <f t="shared" si="4"/>
        <v>5</v>
      </c>
      <c r="AL13" s="138">
        <f t="shared" si="4"/>
        <v>6</v>
      </c>
      <c r="AM13" s="138">
        <f t="shared" si="4"/>
        <v>7</v>
      </c>
      <c r="AN13" s="138">
        <f t="shared" si="4"/>
        <v>5</v>
      </c>
      <c r="AO13" s="138">
        <f t="shared" si="4"/>
        <v>4</v>
      </c>
      <c r="AP13" s="138">
        <f t="shared" si="4"/>
        <v>6</v>
      </c>
      <c r="AQ13" s="138">
        <f t="shared" si="4"/>
        <v>12</v>
      </c>
      <c r="AR13" s="138">
        <f t="shared" si="4"/>
        <v>1</v>
      </c>
      <c r="AS13" s="138">
        <f t="shared" si="4"/>
        <v>4</v>
      </c>
      <c r="AT13" s="138">
        <f t="shared" si="4"/>
        <v>7</v>
      </c>
      <c r="AU13" s="138">
        <f t="shared" si="4"/>
        <v>6</v>
      </c>
      <c r="AV13" s="138">
        <f t="shared" si="4"/>
        <v>5</v>
      </c>
      <c r="AW13" s="138">
        <f t="shared" si="4"/>
        <v>5</v>
      </c>
      <c r="AX13" s="138">
        <f t="shared" si="4"/>
        <v>7</v>
      </c>
      <c r="AY13" s="138">
        <f t="shared" si="4"/>
        <v>6</v>
      </c>
      <c r="AZ13" s="138">
        <f t="shared" si="4"/>
        <v>7</v>
      </c>
      <c r="BA13" s="138">
        <f t="shared" si="4"/>
        <v>7</v>
      </c>
      <c r="BB13" s="138">
        <f t="shared" si="4"/>
        <v>7</v>
      </c>
      <c r="BC13" s="138">
        <f t="shared" si="4"/>
        <v>7</v>
      </c>
      <c r="BD13" s="138">
        <f t="shared" si="4"/>
        <v>6</v>
      </c>
      <c r="BE13" s="138">
        <f t="shared" si="4"/>
        <v>2</v>
      </c>
      <c r="BF13" s="138">
        <f t="shared" si="4"/>
        <v>7</v>
      </c>
      <c r="BG13" s="138">
        <f t="shared" si="4"/>
        <v>3</v>
      </c>
      <c r="BH13" s="138">
        <f t="shared" si="4"/>
        <v>8</v>
      </c>
      <c r="BI13" s="138">
        <f t="shared" si="4"/>
        <v>5</v>
      </c>
      <c r="BJ13" s="138">
        <f t="shared" si="4"/>
        <v>6</v>
      </c>
      <c r="BK13" s="138">
        <f t="shared" si="4"/>
        <v>5</v>
      </c>
      <c r="BL13" s="138">
        <f t="shared" si="4"/>
        <v>6</v>
      </c>
      <c r="BM13" s="138">
        <f t="shared" si="4"/>
        <v>8</v>
      </c>
      <c r="BN13" s="138">
        <f t="shared" si="4"/>
        <v>6</v>
      </c>
      <c r="BO13" s="138">
        <f t="shared" si="4"/>
        <v>6</v>
      </c>
      <c r="BP13" s="138">
        <f t="shared" si="4"/>
        <v>7</v>
      </c>
      <c r="BQ13" s="138">
        <f t="shared" si="4"/>
        <v>4</v>
      </c>
      <c r="BR13" s="138">
        <f t="shared" si="4"/>
        <v>3</v>
      </c>
      <c r="BS13" s="138">
        <f t="shared" si="4"/>
        <v>7</v>
      </c>
      <c r="BT13" s="138">
        <f t="shared" si="4"/>
        <v>10</v>
      </c>
      <c r="BU13" s="138">
        <f t="shared" si="4"/>
        <v>5</v>
      </c>
      <c r="BV13" s="138">
        <f t="shared" si="4"/>
        <v>6</v>
      </c>
      <c r="BW13" s="138">
        <f t="shared" si="4"/>
        <v>6</v>
      </c>
      <c r="BX13" s="138">
        <f t="shared" si="4"/>
        <v>8</v>
      </c>
      <c r="BY13" s="138">
        <f t="shared" si="4"/>
        <v>5</v>
      </c>
      <c r="BZ13" s="138">
        <f t="shared" si="4"/>
        <v>4</v>
      </c>
      <c r="CA13" s="138">
        <f t="shared" si="4"/>
        <v>6</v>
      </c>
      <c r="CB13" s="138">
        <f t="shared" si="4"/>
        <v>6</v>
      </c>
      <c r="CC13" s="138">
        <f t="shared" si="4"/>
        <v>4</v>
      </c>
      <c r="CD13" s="138">
        <f t="shared" si="4"/>
        <v>4</v>
      </c>
      <c r="CE13" s="138">
        <f t="shared" si="4"/>
        <v>3</v>
      </c>
      <c r="CF13" s="138">
        <f t="shared" si="4"/>
        <v>6</v>
      </c>
      <c r="CG13" s="138">
        <f t="shared" si="4"/>
        <v>3</v>
      </c>
      <c r="CH13" s="138">
        <f t="shared" si="4"/>
        <v>5</v>
      </c>
      <c r="CI13" s="138">
        <f t="shared" si="4"/>
        <v>5</v>
      </c>
      <c r="CJ13" s="138">
        <f t="shared" si="4"/>
        <v>6</v>
      </c>
      <c r="CK13" s="138">
        <f t="shared" si="4"/>
        <v>14</v>
      </c>
      <c r="CL13" s="138">
        <f t="shared" si="4"/>
        <v>2</v>
      </c>
      <c r="CM13" s="138">
        <f t="shared" si="4"/>
        <v>1</v>
      </c>
      <c r="CN13" s="138">
        <f t="shared" si="4"/>
        <v>2</v>
      </c>
      <c r="CO13" s="138">
        <f t="shared" si="4"/>
        <v>5</v>
      </c>
      <c r="CP13" s="138">
        <f t="shared" si="4"/>
        <v>10</v>
      </c>
      <c r="CQ13" s="138">
        <f t="shared" si="4"/>
        <v>4</v>
      </c>
      <c r="CR13" s="138">
        <f t="shared" si="4"/>
        <v>7</v>
      </c>
      <c r="CS13" s="138">
        <f t="shared" si="4"/>
        <v>7</v>
      </c>
      <c r="CT13" s="138">
        <f t="shared" si="4"/>
        <v>5</v>
      </c>
      <c r="CU13" s="138">
        <f t="shared" si="4"/>
        <v>7</v>
      </c>
      <c r="CV13" s="138">
        <f t="shared" si="4"/>
        <v>4</v>
      </c>
      <c r="CW13" s="138">
        <f t="shared" si="4"/>
        <v>5</v>
      </c>
      <c r="CX13" s="138">
        <f t="shared" si="4"/>
        <v>6</v>
      </c>
      <c r="CY13" s="138">
        <f t="shared" si="4"/>
        <v>6</v>
      </c>
      <c r="CZ13" s="138">
        <f t="shared" si="4"/>
        <v>5</v>
      </c>
      <c r="DA13" s="138">
        <f t="shared" si="4"/>
        <v>6</v>
      </c>
      <c r="DB13" s="138">
        <f t="shared" si="4"/>
        <v>4</v>
      </c>
      <c r="DC13" s="138">
        <f t="shared" si="4"/>
        <v>6</v>
      </c>
      <c r="DD13" s="138">
        <f t="shared" si="4"/>
        <v>5</v>
      </c>
      <c r="DE13" s="138">
        <f t="shared" si="4"/>
        <v>4</v>
      </c>
      <c r="DF13" s="138">
        <f t="shared" si="4"/>
        <v>7</v>
      </c>
      <c r="DG13" s="138">
        <f t="shared" si="4"/>
        <v>4</v>
      </c>
      <c r="DH13" s="138">
        <f t="shared" si="4"/>
        <v>4</v>
      </c>
      <c r="DI13" s="138">
        <f t="shared" si="4"/>
        <v>3</v>
      </c>
      <c r="DJ13" s="138">
        <f t="shared" si="4"/>
        <v>4</v>
      </c>
      <c r="DK13" s="138">
        <f t="shared" si="4"/>
        <v>6</v>
      </c>
      <c r="DL13" s="138">
        <f t="shared" si="4"/>
        <v>1</v>
      </c>
      <c r="DM13" s="138">
        <f t="shared" si="4"/>
        <v>4</v>
      </c>
      <c r="DN13" s="138">
        <f t="shared" si="4"/>
        <v>3</v>
      </c>
      <c r="DO13" s="138">
        <f t="shared" si="4"/>
        <v>6</v>
      </c>
      <c r="DP13" s="138">
        <f t="shared" si="4"/>
        <v>3</v>
      </c>
      <c r="DQ13" s="138">
        <f t="shared" si="4"/>
        <v>6</v>
      </c>
      <c r="DR13" s="138">
        <f t="shared" si="4"/>
        <v>4</v>
      </c>
      <c r="DS13" s="138">
        <f t="shared" si="4"/>
        <v>7</v>
      </c>
      <c r="DT13" s="138">
        <f t="shared" si="4"/>
        <v>5</v>
      </c>
      <c r="DU13" s="138">
        <f t="shared" si="4"/>
        <v>3</v>
      </c>
      <c r="DV13" s="138">
        <f t="shared" si="4"/>
        <v>6</v>
      </c>
      <c r="DW13" s="138">
        <f t="shared" si="4"/>
        <v>2</v>
      </c>
      <c r="DX13" s="138">
        <f t="shared" si="4"/>
        <v>6</v>
      </c>
      <c r="DY13" s="138">
        <f t="shared" si="4"/>
        <v>4</v>
      </c>
      <c r="DZ13" s="138">
        <f t="shared" si="4"/>
        <v>4</v>
      </c>
      <c r="EA13" s="138">
        <f t="shared" si="4"/>
        <v>4</v>
      </c>
      <c r="EB13" s="138">
        <f t="shared" si="4"/>
        <v>6</v>
      </c>
      <c r="EC13" s="138">
        <f t="shared" si="4"/>
        <v>1</v>
      </c>
      <c r="ED13" s="138">
        <f t="shared" si="4"/>
        <v>5</v>
      </c>
      <c r="EE13" s="138">
        <f t="shared" si="4"/>
        <v>5</v>
      </c>
      <c r="EF13" s="138">
        <f t="shared" si="4"/>
        <v>2</v>
      </c>
      <c r="EG13" s="138">
        <f t="shared" si="4"/>
        <v>4</v>
      </c>
      <c r="EH13" s="138">
        <f t="shared" si="4"/>
        <v>4</v>
      </c>
      <c r="EI13" s="138">
        <f t="shared" si="4"/>
        <v>3</v>
      </c>
      <c r="EJ13" s="138">
        <f t="shared" si="4"/>
        <v>3</v>
      </c>
      <c r="EK13" s="138">
        <f t="shared" si="4"/>
        <v>2</v>
      </c>
      <c r="EL13" s="138">
        <f t="shared" si="4"/>
        <v>4</v>
      </c>
      <c r="EM13" s="138">
        <f t="shared" si="4"/>
        <v>6</v>
      </c>
      <c r="EN13" s="138">
        <f t="shared" si="4"/>
        <v>5</v>
      </c>
      <c r="EO13" s="138">
        <f t="shared" si="4"/>
        <v>8</v>
      </c>
      <c r="EP13" s="138">
        <f t="shared" si="4"/>
        <v>3</v>
      </c>
      <c r="EQ13" s="138">
        <f t="shared" si="4"/>
        <v>2</v>
      </c>
      <c r="ER13" s="138">
        <f t="shared" si="4"/>
        <v>2</v>
      </c>
      <c r="ES13" s="138">
        <f t="shared" si="4"/>
        <v>8</v>
      </c>
      <c r="ET13" s="138">
        <f t="shared" si="4"/>
        <v>3</v>
      </c>
      <c r="EU13" s="138">
        <f t="shared" si="4"/>
        <v>2</v>
      </c>
      <c r="EV13" s="138">
        <f t="shared" si="4"/>
        <v>2</v>
      </c>
      <c r="EW13" s="138">
        <f t="shared" si="4"/>
        <v>6</v>
      </c>
      <c r="EX13" s="138">
        <f t="shared" si="4"/>
        <v>2</v>
      </c>
      <c r="EY13" s="138">
        <f t="shared" si="4"/>
        <v>2</v>
      </c>
      <c r="EZ13" s="138">
        <f t="shared" si="4"/>
        <v>4</v>
      </c>
      <c r="FA13" s="138">
        <f t="shared" si="4"/>
        <v>5</v>
      </c>
      <c r="FB13" s="138">
        <f t="shared" si="4"/>
        <v>5</v>
      </c>
      <c r="FC13" s="138">
        <f t="shared" si="4"/>
        <v>6</v>
      </c>
      <c r="FD13" s="138">
        <f t="shared" si="4"/>
        <v>2</v>
      </c>
      <c r="FE13" s="138">
        <f t="shared" si="4"/>
        <v>3</v>
      </c>
      <c r="FF13" s="138">
        <f t="shared" si="4"/>
        <v>3</v>
      </c>
      <c r="FG13" s="138">
        <f t="shared" si="4"/>
        <v>5</v>
      </c>
      <c r="FH13" s="138">
        <f t="shared" si="4"/>
        <v>3</v>
      </c>
      <c r="FI13" s="138">
        <f t="shared" si="4"/>
        <v>5</v>
      </c>
      <c r="FJ13" s="138">
        <f t="shared" si="4"/>
        <v>3</v>
      </c>
      <c r="FK13" s="138">
        <f t="shared" si="4"/>
        <v>5</v>
      </c>
      <c r="FL13" s="138">
        <f t="shared" si="4"/>
        <v>5</v>
      </c>
      <c r="FM13" s="138">
        <f t="shared" si="4"/>
        <v>4</v>
      </c>
      <c r="FN13" s="138">
        <f t="shared" si="4"/>
        <v>10</v>
      </c>
      <c r="FO13" s="138">
        <f t="shared" si="4"/>
        <v>4</v>
      </c>
      <c r="FP13" s="138">
        <f t="shared" si="4"/>
        <v>4</v>
      </c>
      <c r="FQ13" s="138">
        <f t="shared" si="4"/>
        <v>4</v>
      </c>
      <c r="FR13" s="138">
        <f t="shared" si="4"/>
        <v>2</v>
      </c>
      <c r="FS13" s="138">
        <f t="shared" si="4"/>
        <v>6</v>
      </c>
      <c r="FT13" s="138">
        <f t="shared" si="4"/>
        <v>3</v>
      </c>
      <c r="FU13" s="138">
        <f t="shared" si="4"/>
        <v>3</v>
      </c>
      <c r="FV13" s="138">
        <f t="shared" si="4"/>
        <v>1</v>
      </c>
      <c r="FW13" s="138">
        <f t="shared" si="4"/>
        <v>2</v>
      </c>
      <c r="FX13" s="138">
        <f t="shared" si="4"/>
        <v>4</v>
      </c>
      <c r="FY13" s="138">
        <f t="shared" si="4"/>
        <v>3</v>
      </c>
      <c r="FZ13" s="138">
        <f t="shared" si="4"/>
        <v>2</v>
      </c>
      <c r="GA13" s="138">
        <f t="shared" si="4"/>
        <v>4</v>
      </c>
      <c r="GB13" s="138">
        <f t="shared" si="4"/>
        <v>5</v>
      </c>
      <c r="GC13" s="138">
        <f t="shared" si="4"/>
        <v>4</v>
      </c>
      <c r="GD13" s="138">
        <f t="shared" si="4"/>
        <v>5</v>
      </c>
      <c r="GE13" s="138">
        <f t="shared" si="4"/>
        <v>4</v>
      </c>
      <c r="GF13" s="138">
        <f t="shared" si="4"/>
        <v>4</v>
      </c>
      <c r="GG13" s="138">
        <f t="shared" si="4"/>
        <v>2</v>
      </c>
      <c r="GH13" s="138">
        <f t="shared" si="4"/>
        <v>4</v>
      </c>
      <c r="GI13" s="138">
        <f t="shared" si="4"/>
        <v>4</v>
      </c>
      <c r="GJ13" s="138">
        <f t="shared" si="4"/>
        <v>4</v>
      </c>
      <c r="GK13" s="138">
        <f t="shared" si="4"/>
        <v>4</v>
      </c>
      <c r="GL13" s="138">
        <f t="shared" si="4"/>
        <v>3</v>
      </c>
      <c r="GM13" s="138">
        <f t="shared" si="4"/>
        <v>5</v>
      </c>
      <c r="GN13" s="138">
        <f t="shared" si="4"/>
        <v>3</v>
      </c>
      <c r="GO13" s="138">
        <f t="shared" si="4"/>
        <v>4</v>
      </c>
      <c r="GP13" s="138">
        <f t="shared" si="4"/>
        <v>6</v>
      </c>
      <c r="GQ13" s="138">
        <f t="shared" si="4"/>
        <v>-1860</v>
      </c>
      <c r="GR13" s="138">
        <f t="shared" si="4"/>
        <v>1866</v>
      </c>
      <c r="GS13" s="138">
        <f t="shared" si="4"/>
        <v>5</v>
      </c>
      <c r="GT13" s="138">
        <f t="shared" si="4"/>
        <v>4</v>
      </c>
      <c r="GU13" s="138">
        <f t="shared" si="4"/>
        <v>3</v>
      </c>
      <c r="GV13" s="138">
        <f t="shared" si="4"/>
        <v>5</v>
      </c>
      <c r="GW13" s="138">
        <f t="shared" si="4"/>
        <v>3</v>
      </c>
      <c r="GX13" s="138">
        <f t="shared" si="4"/>
        <v>2</v>
      </c>
      <c r="GY13" s="138">
        <f t="shared" si="4"/>
        <v>12</v>
      </c>
      <c r="GZ13" s="138">
        <f t="shared" si="4"/>
        <v>2</v>
      </c>
      <c r="HA13" s="138">
        <f t="shared" si="4"/>
        <v>2</v>
      </c>
      <c r="HB13" s="138">
        <f t="shared" si="4"/>
        <v>5</v>
      </c>
      <c r="HC13" s="138">
        <f t="shared" si="4"/>
        <v>1</v>
      </c>
      <c r="HD13" s="138">
        <f t="shared" si="4"/>
        <v>2</v>
      </c>
      <c r="HE13" s="138">
        <f t="shared" si="4"/>
        <v>3</v>
      </c>
      <c r="HF13" s="138">
        <f t="shared" si="4"/>
        <v>7</v>
      </c>
      <c r="HG13" s="138">
        <f t="shared" si="4"/>
        <v>4</v>
      </c>
      <c r="HH13" s="138">
        <f t="shared" si="4"/>
        <v>4</v>
      </c>
      <c r="HI13" s="138">
        <f t="shared" si="4"/>
        <v>5</v>
      </c>
      <c r="HJ13" s="138">
        <f t="shared" si="4"/>
        <v>4</v>
      </c>
      <c r="HK13" s="138">
        <f t="shared" si="4"/>
        <v>4</v>
      </c>
      <c r="HL13" s="138">
        <f t="shared" si="4"/>
        <v>5</v>
      </c>
      <c r="HM13" s="138">
        <f t="shared" si="4"/>
        <v>2</v>
      </c>
      <c r="HN13" s="138">
        <f t="shared" si="4"/>
        <v>4</v>
      </c>
      <c r="HO13" s="138">
        <f t="shared" si="4"/>
        <v>3</v>
      </c>
      <c r="HP13" s="138">
        <f t="shared" si="4"/>
        <v>3</v>
      </c>
      <c r="HQ13" s="138">
        <f t="shared" si="4"/>
        <v>5</v>
      </c>
      <c r="HR13" s="138">
        <f t="shared" si="4"/>
        <v>6</v>
      </c>
      <c r="HS13" s="138">
        <f t="shared" si="4"/>
        <v>1</v>
      </c>
      <c r="HT13" s="138">
        <f t="shared" si="4"/>
        <v>4</v>
      </c>
      <c r="HU13" s="138">
        <f t="shared" si="4"/>
        <v>5</v>
      </c>
      <c r="HV13" s="138">
        <f t="shared" si="4"/>
        <v>4</v>
      </c>
      <c r="HW13" s="138">
        <f t="shared" si="4"/>
        <v>3</v>
      </c>
      <c r="HX13" s="138">
        <f t="shared" si="4"/>
        <v>3</v>
      </c>
      <c r="HY13" s="138">
        <f t="shared" si="4"/>
        <v>-1991</v>
      </c>
      <c r="HZ13" s="138">
        <f t="shared" si="4"/>
        <v>0</v>
      </c>
      <c r="IA13" s="138">
        <f t="shared" si="4"/>
        <v>0</v>
      </c>
      <c r="IB13" s="138">
        <f t="shared" si="4"/>
        <v>0</v>
      </c>
    </row>
    <row r="14">
      <c r="A14" s="369" t="s">
        <v>148</v>
      </c>
      <c r="B14" s="49"/>
      <c r="C14" s="130">
        <f t="shared" ref="C14:IB14" si="5">C9-B9</f>
        <v>7</v>
      </c>
      <c r="D14" s="130">
        <f t="shared" si="5"/>
        <v>14</v>
      </c>
      <c r="E14" s="130">
        <f t="shared" si="5"/>
        <v>10</v>
      </c>
      <c r="F14" s="130">
        <f t="shared" si="5"/>
        <v>2</v>
      </c>
      <c r="G14" s="130">
        <f t="shared" si="5"/>
        <v>8</v>
      </c>
      <c r="H14" s="130">
        <f t="shared" si="5"/>
        <v>6</v>
      </c>
      <c r="I14" s="130">
        <f t="shared" si="5"/>
        <v>4</v>
      </c>
      <c r="J14" s="130">
        <f t="shared" si="5"/>
        <v>16</v>
      </c>
      <c r="K14" s="130">
        <f t="shared" si="5"/>
        <v>10</v>
      </c>
      <c r="L14" s="130">
        <f t="shared" si="5"/>
        <v>9</v>
      </c>
      <c r="M14" s="130">
        <f t="shared" si="5"/>
        <v>9</v>
      </c>
      <c r="N14" s="130">
        <f t="shared" si="5"/>
        <v>13</v>
      </c>
      <c r="O14" s="130">
        <f t="shared" si="5"/>
        <v>14</v>
      </c>
      <c r="P14" s="130">
        <f t="shared" si="5"/>
        <v>18</v>
      </c>
      <c r="Q14" s="130">
        <f t="shared" si="5"/>
        <v>19</v>
      </c>
      <c r="R14" s="130">
        <f t="shared" si="5"/>
        <v>17</v>
      </c>
      <c r="S14" s="130">
        <f t="shared" si="5"/>
        <v>11</v>
      </c>
      <c r="T14" s="130">
        <f t="shared" si="5"/>
        <v>27</v>
      </c>
      <c r="U14" s="130">
        <f t="shared" si="5"/>
        <v>12</v>
      </c>
      <c r="V14" s="130">
        <f t="shared" si="5"/>
        <v>19</v>
      </c>
      <c r="W14" s="130">
        <f t="shared" si="5"/>
        <v>20</v>
      </c>
      <c r="X14" s="130">
        <f t="shared" si="5"/>
        <v>20</v>
      </c>
      <c r="Y14" s="130">
        <f t="shared" si="5"/>
        <v>17</v>
      </c>
      <c r="Z14" s="130">
        <f t="shared" si="5"/>
        <v>24</v>
      </c>
      <c r="AA14" s="130">
        <f t="shared" si="5"/>
        <v>6</v>
      </c>
      <c r="AB14" s="130">
        <f t="shared" si="5"/>
        <v>5</v>
      </c>
      <c r="AC14" s="130">
        <f t="shared" si="5"/>
        <v>5</v>
      </c>
      <c r="AD14" s="130">
        <f t="shared" si="5"/>
        <v>10</v>
      </c>
      <c r="AE14" s="130">
        <f t="shared" si="5"/>
        <v>6</v>
      </c>
      <c r="AF14" s="130">
        <f t="shared" si="5"/>
        <v>8</v>
      </c>
      <c r="AG14" s="130">
        <f t="shared" si="5"/>
        <v>9</v>
      </c>
      <c r="AH14" s="130">
        <f t="shared" si="5"/>
        <v>7</v>
      </c>
      <c r="AI14" s="130">
        <f t="shared" si="5"/>
        <v>5</v>
      </c>
      <c r="AJ14" s="130">
        <f t="shared" si="5"/>
        <v>9</v>
      </c>
      <c r="AK14" s="130">
        <f t="shared" si="5"/>
        <v>7</v>
      </c>
      <c r="AL14" s="130">
        <f t="shared" si="5"/>
        <v>5</v>
      </c>
      <c r="AM14" s="130">
        <f t="shared" si="5"/>
        <v>11</v>
      </c>
      <c r="AN14" s="130">
        <f t="shared" si="5"/>
        <v>10</v>
      </c>
      <c r="AO14" s="130">
        <f t="shared" si="5"/>
        <v>6</v>
      </c>
      <c r="AP14" s="130">
        <f t="shared" si="5"/>
        <v>8</v>
      </c>
      <c r="AQ14" s="130">
        <f t="shared" si="5"/>
        <v>4</v>
      </c>
      <c r="AR14" s="130">
        <f t="shared" si="5"/>
        <v>13</v>
      </c>
      <c r="AS14" s="130">
        <f t="shared" si="5"/>
        <v>5</v>
      </c>
      <c r="AT14" s="130">
        <f t="shared" si="5"/>
        <v>9</v>
      </c>
      <c r="AU14" s="130">
        <f t="shared" si="5"/>
        <v>8</v>
      </c>
      <c r="AV14" s="130">
        <f t="shared" si="5"/>
        <v>7</v>
      </c>
      <c r="AW14" s="130">
        <f t="shared" si="5"/>
        <v>6</v>
      </c>
      <c r="AX14" s="130">
        <f t="shared" si="5"/>
        <v>8</v>
      </c>
      <c r="AY14" s="130">
        <f t="shared" si="5"/>
        <v>8</v>
      </c>
      <c r="AZ14" s="130">
        <f t="shared" si="5"/>
        <v>9</v>
      </c>
      <c r="BA14" s="130">
        <f t="shared" si="5"/>
        <v>8</v>
      </c>
      <c r="BB14" s="130">
        <f t="shared" si="5"/>
        <v>9</v>
      </c>
      <c r="BC14" s="130">
        <f t="shared" si="5"/>
        <v>8</v>
      </c>
      <c r="BD14" s="130">
        <f t="shared" si="5"/>
        <v>6</v>
      </c>
      <c r="BE14" s="130">
        <f t="shared" si="5"/>
        <v>6</v>
      </c>
      <c r="BF14" s="130">
        <f t="shared" si="5"/>
        <v>8</v>
      </c>
      <c r="BG14" s="130">
        <f t="shared" si="5"/>
        <v>6</v>
      </c>
      <c r="BH14" s="130">
        <f t="shared" si="5"/>
        <v>10</v>
      </c>
      <c r="BI14" s="130">
        <f t="shared" si="5"/>
        <v>6</v>
      </c>
      <c r="BJ14" s="130">
        <f t="shared" si="5"/>
        <v>10</v>
      </c>
      <c r="BK14" s="130">
        <f t="shared" si="5"/>
        <v>6</v>
      </c>
      <c r="BL14" s="130">
        <f t="shared" si="5"/>
        <v>8</v>
      </c>
      <c r="BM14" s="130">
        <f t="shared" si="5"/>
        <v>10</v>
      </c>
      <c r="BN14" s="130">
        <f t="shared" si="5"/>
        <v>7</v>
      </c>
      <c r="BO14" s="130">
        <f t="shared" si="5"/>
        <v>7</v>
      </c>
      <c r="BP14" s="130">
        <f t="shared" si="5"/>
        <v>9</v>
      </c>
      <c r="BQ14" s="130">
        <f t="shared" si="5"/>
        <v>6</v>
      </c>
      <c r="BR14" s="130">
        <f t="shared" si="5"/>
        <v>8</v>
      </c>
      <c r="BS14" s="130">
        <f t="shared" si="5"/>
        <v>7</v>
      </c>
      <c r="BT14" s="130">
        <f t="shared" si="5"/>
        <v>7</v>
      </c>
      <c r="BU14" s="130">
        <f t="shared" si="5"/>
        <v>6</v>
      </c>
      <c r="BV14" s="130">
        <f t="shared" si="5"/>
        <v>8</v>
      </c>
      <c r="BW14" s="130">
        <f t="shared" si="5"/>
        <v>7</v>
      </c>
      <c r="BX14" s="130">
        <f t="shared" si="5"/>
        <v>4</v>
      </c>
      <c r="BY14" s="130">
        <f t="shared" si="5"/>
        <v>12</v>
      </c>
      <c r="BZ14" s="130">
        <f t="shared" si="5"/>
        <v>5</v>
      </c>
      <c r="CA14" s="130">
        <f t="shared" si="5"/>
        <v>8</v>
      </c>
      <c r="CB14" s="130">
        <f t="shared" si="5"/>
        <v>8</v>
      </c>
      <c r="CC14" s="130">
        <f t="shared" si="5"/>
        <v>5</v>
      </c>
      <c r="CD14" s="130">
        <f t="shared" si="5"/>
        <v>7</v>
      </c>
      <c r="CE14" s="130">
        <f t="shared" si="5"/>
        <v>6</v>
      </c>
      <c r="CF14" s="130">
        <f t="shared" si="5"/>
        <v>8</v>
      </c>
      <c r="CG14" s="130">
        <f t="shared" si="5"/>
        <v>4</v>
      </c>
      <c r="CH14" s="130">
        <f t="shared" si="5"/>
        <v>10</v>
      </c>
      <c r="CI14" s="130">
        <f t="shared" si="5"/>
        <v>7</v>
      </c>
      <c r="CJ14" s="130">
        <f t="shared" si="5"/>
        <v>9</v>
      </c>
      <c r="CK14" s="130">
        <f t="shared" si="5"/>
        <v>20</v>
      </c>
      <c r="CL14" s="130">
        <f t="shared" si="5"/>
        <v>3</v>
      </c>
      <c r="CM14" s="130">
        <f t="shared" si="5"/>
        <v>2</v>
      </c>
      <c r="CN14" s="130">
        <f t="shared" si="5"/>
        <v>2</v>
      </c>
      <c r="CO14" s="130">
        <f t="shared" si="5"/>
        <v>6</v>
      </c>
      <c r="CP14" s="130">
        <f t="shared" si="5"/>
        <v>12</v>
      </c>
      <c r="CQ14" s="130">
        <f t="shared" si="5"/>
        <v>5</v>
      </c>
      <c r="CR14" s="130">
        <f t="shared" si="5"/>
        <v>8</v>
      </c>
      <c r="CS14" s="130">
        <f t="shared" si="5"/>
        <v>9</v>
      </c>
      <c r="CT14" s="130">
        <f t="shared" si="5"/>
        <v>7</v>
      </c>
      <c r="CU14" s="130">
        <f t="shared" si="5"/>
        <v>8</v>
      </c>
      <c r="CV14" s="130">
        <f t="shared" si="5"/>
        <v>5</v>
      </c>
      <c r="CW14" s="130">
        <f t="shared" si="5"/>
        <v>8</v>
      </c>
      <c r="CX14" s="130">
        <f t="shared" si="5"/>
        <v>7</v>
      </c>
      <c r="CY14" s="130">
        <f t="shared" si="5"/>
        <v>7</v>
      </c>
      <c r="CZ14" s="130">
        <f t="shared" si="5"/>
        <v>6</v>
      </c>
      <c r="DA14" s="130">
        <f t="shared" si="5"/>
        <v>7</v>
      </c>
      <c r="DB14" s="130">
        <f t="shared" si="5"/>
        <v>6</v>
      </c>
      <c r="DC14" s="130">
        <f t="shared" si="5"/>
        <v>8</v>
      </c>
      <c r="DD14" s="130">
        <f t="shared" si="5"/>
        <v>6</v>
      </c>
      <c r="DE14" s="130">
        <f t="shared" si="5"/>
        <v>6</v>
      </c>
      <c r="DF14" s="130">
        <f t="shared" si="5"/>
        <v>10</v>
      </c>
      <c r="DG14" s="130">
        <f t="shared" si="5"/>
        <v>4</v>
      </c>
      <c r="DH14" s="130">
        <f t="shared" si="5"/>
        <v>6</v>
      </c>
      <c r="DI14" s="130">
        <f t="shared" si="5"/>
        <v>4</v>
      </c>
      <c r="DJ14" s="130">
        <f t="shared" si="5"/>
        <v>5</v>
      </c>
      <c r="DK14" s="130">
        <f t="shared" si="5"/>
        <v>5</v>
      </c>
      <c r="DL14" s="130">
        <f t="shared" si="5"/>
        <v>5</v>
      </c>
      <c r="DM14" s="130">
        <f t="shared" si="5"/>
        <v>4</v>
      </c>
      <c r="DN14" s="130">
        <f t="shared" si="5"/>
        <v>5</v>
      </c>
      <c r="DO14" s="130">
        <f t="shared" si="5"/>
        <v>7</v>
      </c>
      <c r="DP14" s="130">
        <f t="shared" si="5"/>
        <v>5</v>
      </c>
      <c r="DQ14" s="130">
        <f t="shared" si="5"/>
        <v>7</v>
      </c>
      <c r="DR14" s="130">
        <f t="shared" si="5"/>
        <v>7</v>
      </c>
      <c r="DS14" s="130">
        <f t="shared" si="5"/>
        <v>9</v>
      </c>
      <c r="DT14" s="130">
        <f t="shared" si="5"/>
        <v>7</v>
      </c>
      <c r="DU14" s="130">
        <f t="shared" si="5"/>
        <v>5</v>
      </c>
      <c r="DV14" s="130">
        <f t="shared" si="5"/>
        <v>8</v>
      </c>
      <c r="DW14" s="130">
        <f t="shared" si="5"/>
        <v>5</v>
      </c>
      <c r="DX14" s="130">
        <f t="shared" si="5"/>
        <v>7</v>
      </c>
      <c r="DY14" s="130">
        <f t="shared" si="5"/>
        <v>6</v>
      </c>
      <c r="DZ14" s="130">
        <f t="shared" si="5"/>
        <v>7</v>
      </c>
      <c r="EA14" s="130">
        <f t="shared" si="5"/>
        <v>6</v>
      </c>
      <c r="EB14" s="130">
        <f t="shared" si="5"/>
        <v>8</v>
      </c>
      <c r="EC14" s="130">
        <f t="shared" si="5"/>
        <v>2</v>
      </c>
      <c r="ED14" s="130">
        <f t="shared" si="5"/>
        <v>5</v>
      </c>
      <c r="EE14" s="130">
        <f t="shared" si="5"/>
        <v>10</v>
      </c>
      <c r="EF14" s="130">
        <f t="shared" si="5"/>
        <v>4</v>
      </c>
      <c r="EG14" s="130">
        <f t="shared" si="5"/>
        <v>6</v>
      </c>
      <c r="EH14" s="130">
        <f t="shared" si="5"/>
        <v>6</v>
      </c>
      <c r="EI14" s="130">
        <f t="shared" si="5"/>
        <v>4</v>
      </c>
      <c r="EJ14" s="130">
        <f t="shared" si="5"/>
        <v>4</v>
      </c>
      <c r="EK14" s="130">
        <f t="shared" si="5"/>
        <v>3</v>
      </c>
      <c r="EL14" s="130">
        <f t="shared" si="5"/>
        <v>5</v>
      </c>
      <c r="EM14" s="130">
        <f t="shared" si="5"/>
        <v>8</v>
      </c>
      <c r="EN14" s="130">
        <f t="shared" si="5"/>
        <v>6</v>
      </c>
      <c r="EO14" s="130">
        <f t="shared" si="5"/>
        <v>10</v>
      </c>
      <c r="EP14" s="130">
        <f t="shared" si="5"/>
        <v>3</v>
      </c>
      <c r="EQ14" s="130">
        <f t="shared" si="5"/>
        <v>4</v>
      </c>
      <c r="ER14" s="130">
        <f t="shared" si="5"/>
        <v>3</v>
      </c>
      <c r="ES14" s="130">
        <f t="shared" si="5"/>
        <v>13</v>
      </c>
      <c r="ET14" s="130">
        <f t="shared" si="5"/>
        <v>4</v>
      </c>
      <c r="EU14" s="130">
        <f t="shared" si="5"/>
        <v>4</v>
      </c>
      <c r="EV14" s="130">
        <f t="shared" si="5"/>
        <v>4</v>
      </c>
      <c r="EW14" s="130">
        <f t="shared" si="5"/>
        <v>8</v>
      </c>
      <c r="EX14" s="130">
        <f t="shared" si="5"/>
        <v>5</v>
      </c>
      <c r="EY14" s="130">
        <f t="shared" si="5"/>
        <v>3</v>
      </c>
      <c r="EZ14" s="130">
        <f t="shared" si="5"/>
        <v>6</v>
      </c>
      <c r="FA14" s="130">
        <f t="shared" si="5"/>
        <v>7</v>
      </c>
      <c r="FB14" s="130">
        <f t="shared" si="5"/>
        <v>6</v>
      </c>
      <c r="FC14" s="130">
        <f t="shared" si="5"/>
        <v>6</v>
      </c>
      <c r="FD14" s="130">
        <f t="shared" si="5"/>
        <v>6</v>
      </c>
      <c r="FE14" s="130">
        <f t="shared" si="5"/>
        <v>4</v>
      </c>
      <c r="FF14" s="130">
        <f t="shared" si="5"/>
        <v>4</v>
      </c>
      <c r="FG14" s="130">
        <f t="shared" si="5"/>
        <v>9</v>
      </c>
      <c r="FH14" s="130">
        <f t="shared" si="5"/>
        <v>3</v>
      </c>
      <c r="FI14" s="130">
        <f t="shared" si="5"/>
        <v>8</v>
      </c>
      <c r="FJ14" s="130">
        <f t="shared" si="5"/>
        <v>7</v>
      </c>
      <c r="FK14" s="130">
        <f t="shared" si="5"/>
        <v>9</v>
      </c>
      <c r="FL14" s="130">
        <f t="shared" si="5"/>
        <v>9</v>
      </c>
      <c r="FM14" s="130">
        <f t="shared" si="5"/>
        <v>5</v>
      </c>
      <c r="FN14" s="130">
        <f t="shared" si="5"/>
        <v>12</v>
      </c>
      <c r="FO14" s="130">
        <f t="shared" si="5"/>
        <v>5</v>
      </c>
      <c r="FP14" s="130">
        <f t="shared" si="5"/>
        <v>8</v>
      </c>
      <c r="FQ14" s="130">
        <f t="shared" si="5"/>
        <v>6</v>
      </c>
      <c r="FR14" s="130">
        <f t="shared" si="5"/>
        <v>6</v>
      </c>
      <c r="FS14" s="130">
        <f t="shared" si="5"/>
        <v>7</v>
      </c>
      <c r="FT14" s="130">
        <f t="shared" si="5"/>
        <v>4</v>
      </c>
      <c r="FU14" s="130">
        <f t="shared" si="5"/>
        <v>6</v>
      </c>
      <c r="FV14" s="130">
        <f t="shared" si="5"/>
        <v>5</v>
      </c>
      <c r="FW14" s="130">
        <f t="shared" si="5"/>
        <v>3</v>
      </c>
      <c r="FX14" s="130">
        <f t="shared" si="5"/>
        <v>9</v>
      </c>
      <c r="FY14" s="130">
        <f t="shared" si="5"/>
        <v>7</v>
      </c>
      <c r="FZ14" s="130">
        <f t="shared" si="5"/>
        <v>5</v>
      </c>
      <c r="GA14" s="130">
        <f t="shared" si="5"/>
        <v>6</v>
      </c>
      <c r="GB14" s="130">
        <f t="shared" si="5"/>
        <v>8</v>
      </c>
      <c r="GC14" s="130">
        <f t="shared" si="5"/>
        <v>16</v>
      </c>
      <c r="GD14" s="130">
        <f t="shared" si="5"/>
        <v>4</v>
      </c>
      <c r="GE14" s="130">
        <f t="shared" si="5"/>
        <v>4</v>
      </c>
      <c r="GF14" s="130">
        <f t="shared" si="5"/>
        <v>10</v>
      </c>
      <c r="GG14" s="130">
        <f t="shared" si="5"/>
        <v>4</v>
      </c>
      <c r="GH14" s="130">
        <f t="shared" si="5"/>
        <v>7</v>
      </c>
      <c r="GI14" s="130">
        <f t="shared" si="5"/>
        <v>6</v>
      </c>
      <c r="GJ14" s="130">
        <f t="shared" si="5"/>
        <v>8</v>
      </c>
      <c r="GK14" s="130">
        <f t="shared" si="5"/>
        <v>6</v>
      </c>
      <c r="GL14" s="130">
        <f t="shared" si="5"/>
        <v>3</v>
      </c>
      <c r="GM14" s="130">
        <f t="shared" si="5"/>
        <v>7</v>
      </c>
      <c r="GN14" s="130">
        <f t="shared" si="5"/>
        <v>5</v>
      </c>
      <c r="GO14" s="130">
        <f t="shared" si="5"/>
        <v>7</v>
      </c>
      <c r="GP14" s="130">
        <f t="shared" si="5"/>
        <v>8</v>
      </c>
      <c r="GQ14" s="130">
        <f t="shared" si="5"/>
        <v>5</v>
      </c>
      <c r="GR14" s="130">
        <f t="shared" si="5"/>
        <v>10</v>
      </c>
      <c r="GS14" s="130">
        <f t="shared" si="5"/>
        <v>10</v>
      </c>
      <c r="GT14" s="130">
        <f t="shared" si="5"/>
        <v>6</v>
      </c>
      <c r="GU14" s="130">
        <f t="shared" si="5"/>
        <v>9</v>
      </c>
      <c r="GV14" s="130">
        <f t="shared" si="5"/>
        <v>6</v>
      </c>
      <c r="GW14" s="130">
        <f t="shared" si="5"/>
        <v>2</v>
      </c>
      <c r="GX14" s="130">
        <f t="shared" si="5"/>
        <v>10</v>
      </c>
      <c r="GY14" s="130">
        <f t="shared" si="5"/>
        <v>10</v>
      </c>
      <c r="GZ14" s="130">
        <f t="shared" si="5"/>
        <v>3</v>
      </c>
      <c r="HA14" s="130">
        <f t="shared" si="5"/>
        <v>4</v>
      </c>
      <c r="HB14" s="130">
        <f t="shared" si="5"/>
        <v>5</v>
      </c>
      <c r="HC14" s="130">
        <f t="shared" si="5"/>
        <v>2</v>
      </c>
      <c r="HD14" s="130">
        <f t="shared" si="5"/>
        <v>4</v>
      </c>
      <c r="HE14" s="130">
        <f t="shared" si="5"/>
        <v>6</v>
      </c>
      <c r="HF14" s="130">
        <f t="shared" si="5"/>
        <v>9</v>
      </c>
      <c r="HG14" s="130">
        <f t="shared" si="5"/>
        <v>6</v>
      </c>
      <c r="HH14" s="130">
        <f t="shared" si="5"/>
        <v>8</v>
      </c>
      <c r="HI14" s="130">
        <f t="shared" si="5"/>
        <v>10</v>
      </c>
      <c r="HJ14" s="130">
        <f t="shared" si="5"/>
        <v>7</v>
      </c>
      <c r="HK14" s="130">
        <f t="shared" si="5"/>
        <v>7</v>
      </c>
      <c r="HL14" s="130">
        <f t="shared" si="5"/>
        <v>11</v>
      </c>
      <c r="HM14" s="130">
        <f t="shared" si="5"/>
        <v>6</v>
      </c>
      <c r="HN14" s="130">
        <f t="shared" si="5"/>
        <v>5</v>
      </c>
      <c r="HO14" s="130">
        <f t="shared" si="5"/>
        <v>7</v>
      </c>
      <c r="HP14" s="130">
        <f t="shared" si="5"/>
        <v>7</v>
      </c>
      <c r="HQ14" s="130">
        <f t="shared" si="5"/>
        <v>6</v>
      </c>
      <c r="HR14" s="130">
        <f t="shared" si="5"/>
        <v>5</v>
      </c>
      <c r="HS14" s="130">
        <f t="shared" si="5"/>
        <v>7</v>
      </c>
      <c r="HT14" s="130">
        <f t="shared" si="5"/>
        <v>4</v>
      </c>
      <c r="HU14" s="130">
        <f t="shared" si="5"/>
        <v>3</v>
      </c>
      <c r="HV14" s="130">
        <f t="shared" si="5"/>
        <v>6</v>
      </c>
      <c r="HW14" s="130">
        <f t="shared" si="5"/>
        <v>4</v>
      </c>
      <c r="HX14" s="130">
        <f t="shared" si="5"/>
        <v>4</v>
      </c>
      <c r="HY14" s="130">
        <f t="shared" si="5"/>
        <v>-3409</v>
      </c>
      <c r="HZ14" s="130">
        <f t="shared" si="5"/>
        <v>0</v>
      </c>
      <c r="IA14" s="130">
        <f t="shared" si="5"/>
        <v>0</v>
      </c>
      <c r="IB14" s="130">
        <f t="shared" si="5"/>
        <v>0</v>
      </c>
    </row>
    <row r="15">
      <c r="A15" s="126" t="s">
        <v>156</v>
      </c>
      <c r="B15" s="49"/>
      <c r="C15" s="130">
        <f t="shared" ref="C15:IB15" si="6">C8+C14</f>
        <v>171</v>
      </c>
      <c r="D15" s="130">
        <f t="shared" si="6"/>
        <v>170</v>
      </c>
      <c r="E15" s="130">
        <f t="shared" si="6"/>
        <v>247</v>
      </c>
      <c r="F15" s="130">
        <f t="shared" si="6"/>
        <v>86</v>
      </c>
      <c r="G15" s="130">
        <f t="shared" si="6"/>
        <v>208</v>
      </c>
      <c r="H15" s="130">
        <f t="shared" si="6"/>
        <v>157</v>
      </c>
      <c r="I15" s="130">
        <f t="shared" si="6"/>
        <v>133</v>
      </c>
      <c r="J15" s="130">
        <f t="shared" si="6"/>
        <v>162</v>
      </c>
      <c r="K15" s="130">
        <f t="shared" si="6"/>
        <v>170</v>
      </c>
      <c r="L15" s="130">
        <f t="shared" si="6"/>
        <v>155</v>
      </c>
      <c r="M15" s="130">
        <f t="shared" si="6"/>
        <v>162</v>
      </c>
      <c r="N15" s="130">
        <f t="shared" si="6"/>
        <v>173</v>
      </c>
      <c r="O15" s="130">
        <f t="shared" si="6"/>
        <v>189</v>
      </c>
      <c r="P15" s="130">
        <f t="shared" si="6"/>
        <v>173</v>
      </c>
      <c r="Q15" s="130">
        <f t="shared" si="6"/>
        <v>188</v>
      </c>
      <c r="R15" s="130">
        <f t="shared" si="6"/>
        <v>176</v>
      </c>
      <c r="S15" s="130">
        <f t="shared" si="6"/>
        <v>159</v>
      </c>
      <c r="T15" s="130">
        <f t="shared" si="6"/>
        <v>154</v>
      </c>
      <c r="U15" s="130">
        <f t="shared" si="6"/>
        <v>140</v>
      </c>
      <c r="V15" s="130">
        <f t="shared" si="6"/>
        <v>191</v>
      </c>
      <c r="W15" s="130">
        <f t="shared" si="6"/>
        <v>191</v>
      </c>
      <c r="X15" s="130">
        <f t="shared" si="6"/>
        <v>179</v>
      </c>
      <c r="Y15" s="130">
        <f t="shared" si="6"/>
        <v>177</v>
      </c>
      <c r="Z15" s="130">
        <f t="shared" si="6"/>
        <v>251</v>
      </c>
      <c r="AA15" s="130">
        <f t="shared" si="6"/>
        <v>100</v>
      </c>
      <c r="AB15" s="130">
        <f t="shared" si="6"/>
        <v>165</v>
      </c>
      <c r="AC15" s="130">
        <f t="shared" si="6"/>
        <v>161</v>
      </c>
      <c r="AD15" s="130">
        <f t="shared" si="6"/>
        <v>193</v>
      </c>
      <c r="AE15" s="130">
        <f t="shared" si="6"/>
        <v>143</v>
      </c>
      <c r="AF15" s="130">
        <f t="shared" si="6"/>
        <v>142</v>
      </c>
      <c r="AG15" s="130">
        <f t="shared" si="6"/>
        <v>157</v>
      </c>
      <c r="AH15" s="130">
        <f t="shared" si="6"/>
        <v>143</v>
      </c>
      <c r="AI15" s="130">
        <f t="shared" si="6"/>
        <v>138</v>
      </c>
      <c r="AJ15" s="130">
        <f t="shared" si="6"/>
        <v>192</v>
      </c>
      <c r="AK15" s="130">
        <f t="shared" si="6"/>
        <v>123</v>
      </c>
      <c r="AL15" s="130">
        <f t="shared" si="6"/>
        <v>163</v>
      </c>
      <c r="AM15" s="130">
        <f t="shared" si="6"/>
        <v>149</v>
      </c>
      <c r="AN15" s="130">
        <f t="shared" si="6"/>
        <v>145</v>
      </c>
      <c r="AO15" s="130">
        <f t="shared" si="6"/>
        <v>166</v>
      </c>
      <c r="AP15" s="130">
        <f t="shared" si="6"/>
        <v>189</v>
      </c>
      <c r="AQ15" s="130">
        <f t="shared" si="6"/>
        <v>93</v>
      </c>
      <c r="AR15" s="130">
        <f t="shared" si="6"/>
        <v>150</v>
      </c>
      <c r="AS15" s="130">
        <f t="shared" si="6"/>
        <v>111</v>
      </c>
      <c r="AT15" s="130">
        <f t="shared" si="6"/>
        <v>155</v>
      </c>
      <c r="AU15" s="130">
        <f t="shared" si="6"/>
        <v>142</v>
      </c>
      <c r="AV15" s="130">
        <f t="shared" si="6"/>
        <v>117</v>
      </c>
      <c r="AW15" s="130">
        <f t="shared" si="6"/>
        <v>104</v>
      </c>
      <c r="AX15" s="130">
        <f t="shared" si="6"/>
        <v>122</v>
      </c>
      <c r="AY15" s="130">
        <f t="shared" si="6"/>
        <v>113</v>
      </c>
      <c r="AZ15" s="130">
        <f t="shared" si="6"/>
        <v>111</v>
      </c>
      <c r="BA15" s="130">
        <f t="shared" si="6"/>
        <v>95</v>
      </c>
      <c r="BB15" s="130">
        <f t="shared" si="6"/>
        <v>124</v>
      </c>
      <c r="BC15" s="130">
        <f t="shared" si="6"/>
        <v>116</v>
      </c>
      <c r="BD15" s="130">
        <f t="shared" si="6"/>
        <v>135</v>
      </c>
      <c r="BE15" s="130">
        <f t="shared" si="6"/>
        <v>128</v>
      </c>
      <c r="BF15" s="130">
        <f t="shared" si="6"/>
        <v>135</v>
      </c>
      <c r="BG15" s="130">
        <f t="shared" si="6"/>
        <v>95</v>
      </c>
      <c r="BH15" s="130">
        <f t="shared" si="6"/>
        <v>153</v>
      </c>
      <c r="BI15" s="130">
        <f t="shared" si="6"/>
        <v>138</v>
      </c>
      <c r="BJ15" s="130">
        <f t="shared" si="6"/>
        <v>106</v>
      </c>
      <c r="BK15" s="130">
        <f t="shared" si="6"/>
        <v>95</v>
      </c>
      <c r="BL15" s="130">
        <f t="shared" si="6"/>
        <v>116</v>
      </c>
      <c r="BM15" s="130">
        <f t="shared" si="6"/>
        <v>172</v>
      </c>
      <c r="BN15" s="130">
        <f t="shared" si="6"/>
        <v>138</v>
      </c>
      <c r="BO15" s="130">
        <f t="shared" si="6"/>
        <v>142</v>
      </c>
      <c r="BP15" s="130">
        <f t="shared" si="6"/>
        <v>133</v>
      </c>
      <c r="BQ15" s="130">
        <f t="shared" si="6"/>
        <v>120</v>
      </c>
      <c r="BR15" s="130">
        <f t="shared" si="6"/>
        <v>130</v>
      </c>
      <c r="BS15" s="130">
        <f t="shared" si="6"/>
        <v>121</v>
      </c>
      <c r="BT15" s="130">
        <f t="shared" si="6"/>
        <v>114</v>
      </c>
      <c r="BU15" s="130">
        <f t="shared" si="6"/>
        <v>127</v>
      </c>
      <c r="BV15" s="130">
        <f t="shared" si="6"/>
        <v>111</v>
      </c>
      <c r="BW15" s="130">
        <f t="shared" si="6"/>
        <v>97</v>
      </c>
      <c r="BX15" s="130">
        <f t="shared" si="6"/>
        <v>156</v>
      </c>
      <c r="BY15" s="130">
        <f t="shared" si="6"/>
        <v>89</v>
      </c>
      <c r="BZ15" s="130">
        <f t="shared" si="6"/>
        <v>127</v>
      </c>
      <c r="CA15" s="130">
        <f t="shared" si="6"/>
        <v>151</v>
      </c>
      <c r="CB15" s="130">
        <f t="shared" si="6"/>
        <v>162</v>
      </c>
      <c r="CC15" s="130">
        <f t="shared" si="6"/>
        <v>106</v>
      </c>
      <c r="CD15" s="130">
        <f t="shared" si="6"/>
        <v>101</v>
      </c>
      <c r="CE15" s="130">
        <f t="shared" si="6"/>
        <v>155</v>
      </c>
      <c r="CF15" s="130">
        <f t="shared" si="6"/>
        <v>123</v>
      </c>
      <c r="CG15" s="130">
        <f t="shared" si="6"/>
        <v>180</v>
      </c>
      <c r="CH15" s="130">
        <f t="shared" si="6"/>
        <v>152</v>
      </c>
      <c r="CI15" s="130">
        <f t="shared" si="6"/>
        <v>125</v>
      </c>
      <c r="CJ15" s="130">
        <f t="shared" si="6"/>
        <v>237</v>
      </c>
      <c r="CK15" s="130">
        <f t="shared" si="6"/>
        <v>126</v>
      </c>
      <c r="CL15" s="130">
        <f t="shared" si="6"/>
        <v>149</v>
      </c>
      <c r="CM15" s="130">
        <f t="shared" si="6"/>
        <v>156</v>
      </c>
      <c r="CN15" s="130">
        <f t="shared" si="6"/>
        <v>185</v>
      </c>
      <c r="CO15" s="130">
        <f t="shared" si="6"/>
        <v>106</v>
      </c>
      <c r="CP15" s="130">
        <f t="shared" si="6"/>
        <v>190</v>
      </c>
      <c r="CQ15" s="130">
        <f t="shared" si="6"/>
        <v>84</v>
      </c>
      <c r="CR15" s="130">
        <f t="shared" si="6"/>
        <v>138</v>
      </c>
      <c r="CS15" s="130">
        <f t="shared" si="6"/>
        <v>110</v>
      </c>
      <c r="CT15" s="130">
        <f t="shared" si="6"/>
        <v>165</v>
      </c>
      <c r="CU15" s="130">
        <f t="shared" si="6"/>
        <v>182</v>
      </c>
      <c r="CV15" s="130">
        <f t="shared" si="6"/>
        <v>86</v>
      </c>
      <c r="CW15" s="130">
        <f t="shared" si="6"/>
        <v>139</v>
      </c>
      <c r="CX15" s="130">
        <f t="shared" si="6"/>
        <v>188</v>
      </c>
      <c r="CY15" s="130">
        <f t="shared" si="6"/>
        <v>178</v>
      </c>
      <c r="CZ15" s="130">
        <f t="shared" si="6"/>
        <v>96</v>
      </c>
      <c r="DA15" s="130">
        <f t="shared" si="6"/>
        <v>129</v>
      </c>
      <c r="DB15" s="130">
        <f t="shared" si="6"/>
        <v>171</v>
      </c>
      <c r="DC15" s="130">
        <f t="shared" si="6"/>
        <v>170</v>
      </c>
      <c r="DD15" s="130">
        <f t="shared" si="6"/>
        <v>135</v>
      </c>
      <c r="DE15" s="130">
        <f t="shared" si="6"/>
        <v>143</v>
      </c>
      <c r="DF15" s="130">
        <f t="shared" si="6"/>
        <v>185</v>
      </c>
      <c r="DG15" s="130">
        <f t="shared" si="6"/>
        <v>63</v>
      </c>
      <c r="DH15" s="130">
        <f t="shared" si="6"/>
        <v>183</v>
      </c>
      <c r="DI15" s="130">
        <f t="shared" si="6"/>
        <v>157</v>
      </c>
      <c r="DJ15" s="130">
        <f t="shared" si="6"/>
        <v>164</v>
      </c>
      <c r="DK15" s="130">
        <f t="shared" si="6"/>
        <v>148</v>
      </c>
      <c r="DL15" s="130">
        <f t="shared" si="6"/>
        <v>160</v>
      </c>
      <c r="DM15" s="130">
        <f t="shared" si="6"/>
        <v>144</v>
      </c>
      <c r="DN15" s="130">
        <f t="shared" si="6"/>
        <v>158</v>
      </c>
      <c r="DO15" s="130">
        <f t="shared" si="6"/>
        <v>127</v>
      </c>
      <c r="DP15" s="130">
        <f t="shared" si="6"/>
        <v>178</v>
      </c>
      <c r="DQ15" s="130">
        <f t="shared" si="6"/>
        <v>172</v>
      </c>
      <c r="DR15" s="130">
        <f t="shared" si="6"/>
        <v>160</v>
      </c>
      <c r="DS15" s="130">
        <f t="shared" si="6"/>
        <v>124</v>
      </c>
      <c r="DT15" s="130">
        <f t="shared" si="6"/>
        <v>184</v>
      </c>
      <c r="DU15" s="130">
        <f t="shared" si="6"/>
        <v>98</v>
      </c>
      <c r="DV15" s="130">
        <f t="shared" si="6"/>
        <v>165</v>
      </c>
      <c r="DW15" s="130">
        <f t="shared" si="6"/>
        <v>118</v>
      </c>
      <c r="DX15" s="130">
        <f t="shared" si="6"/>
        <v>177</v>
      </c>
      <c r="DY15" s="130">
        <f t="shared" si="6"/>
        <v>174</v>
      </c>
      <c r="DZ15" s="130">
        <f t="shared" si="6"/>
        <v>137</v>
      </c>
      <c r="EA15" s="130">
        <f t="shared" si="6"/>
        <v>159</v>
      </c>
      <c r="EB15" s="130">
        <f t="shared" si="6"/>
        <v>112</v>
      </c>
      <c r="EC15" s="130">
        <f t="shared" si="6"/>
        <v>103</v>
      </c>
      <c r="ED15" s="130">
        <f t="shared" si="6"/>
        <v>180</v>
      </c>
      <c r="EE15" s="130">
        <f t="shared" si="6"/>
        <v>253</v>
      </c>
      <c r="EF15" s="130">
        <f t="shared" si="6"/>
        <v>110</v>
      </c>
      <c r="EG15" s="130">
        <f t="shared" si="6"/>
        <v>134</v>
      </c>
      <c r="EH15" s="130">
        <f t="shared" si="6"/>
        <v>154</v>
      </c>
      <c r="EI15" s="130">
        <f t="shared" si="6"/>
        <v>167</v>
      </c>
      <c r="EJ15" s="130">
        <f t="shared" si="6"/>
        <v>158</v>
      </c>
      <c r="EK15" s="130">
        <f t="shared" si="6"/>
        <v>72</v>
      </c>
      <c r="EL15" s="130">
        <f t="shared" si="6"/>
        <v>108</v>
      </c>
      <c r="EM15" s="130">
        <f t="shared" si="6"/>
        <v>135</v>
      </c>
      <c r="EN15" s="130">
        <f t="shared" si="6"/>
        <v>108</v>
      </c>
      <c r="EO15" s="130">
        <f t="shared" si="6"/>
        <v>125</v>
      </c>
      <c r="EP15" s="130">
        <f t="shared" si="6"/>
        <v>131</v>
      </c>
      <c r="EQ15" s="130">
        <f t="shared" si="6"/>
        <v>111</v>
      </c>
      <c r="ER15" s="130">
        <f t="shared" si="6"/>
        <v>127</v>
      </c>
      <c r="ES15" s="130">
        <f t="shared" si="6"/>
        <v>122</v>
      </c>
      <c r="ET15" s="130">
        <f t="shared" si="6"/>
        <v>144</v>
      </c>
      <c r="EU15" s="130">
        <f t="shared" si="6"/>
        <v>150</v>
      </c>
      <c r="EV15" s="130">
        <f t="shared" si="6"/>
        <v>126</v>
      </c>
      <c r="EW15" s="130">
        <f t="shared" si="6"/>
        <v>133</v>
      </c>
      <c r="EX15" s="130">
        <f t="shared" si="6"/>
        <v>135</v>
      </c>
      <c r="EY15" s="130">
        <f t="shared" si="6"/>
        <v>140</v>
      </c>
      <c r="EZ15" s="130">
        <f t="shared" si="6"/>
        <v>137</v>
      </c>
      <c r="FA15" s="130">
        <f t="shared" si="6"/>
        <v>113</v>
      </c>
      <c r="FB15" s="130">
        <f t="shared" si="6"/>
        <v>109</v>
      </c>
      <c r="FC15" s="130">
        <f t="shared" si="6"/>
        <v>153</v>
      </c>
      <c r="FD15" s="130">
        <f t="shared" si="6"/>
        <v>133</v>
      </c>
      <c r="FE15" s="130">
        <f t="shared" si="6"/>
        <v>138</v>
      </c>
      <c r="FF15" s="130">
        <f t="shared" si="6"/>
        <v>138</v>
      </c>
      <c r="FG15" s="130">
        <f t="shared" si="6"/>
        <v>126</v>
      </c>
      <c r="FH15" s="130">
        <f t="shared" si="6"/>
        <v>149</v>
      </c>
      <c r="FI15" s="130">
        <f t="shared" si="6"/>
        <v>138</v>
      </c>
      <c r="FJ15" s="130">
        <f t="shared" si="6"/>
        <v>135</v>
      </c>
      <c r="FK15" s="130">
        <f t="shared" si="6"/>
        <v>148</v>
      </c>
      <c r="FL15" s="130">
        <f t="shared" si="6"/>
        <v>288</v>
      </c>
      <c r="FM15" s="130">
        <f t="shared" si="6"/>
        <v>146</v>
      </c>
      <c r="FN15" s="130">
        <f t="shared" si="6"/>
        <v>310</v>
      </c>
      <c r="FO15" s="130">
        <f t="shared" si="6"/>
        <v>142</v>
      </c>
      <c r="FP15" s="130">
        <f t="shared" si="6"/>
        <v>131</v>
      </c>
      <c r="FQ15" s="130">
        <f t="shared" si="6"/>
        <v>159</v>
      </c>
      <c r="FR15" s="130">
        <f t="shared" si="6"/>
        <v>151</v>
      </c>
      <c r="FS15" s="130">
        <f t="shared" si="6"/>
        <v>102</v>
      </c>
      <c r="FT15" s="130">
        <f t="shared" si="6"/>
        <v>120</v>
      </c>
      <c r="FU15" s="130">
        <f t="shared" si="6"/>
        <v>97</v>
      </c>
      <c r="FV15" s="130">
        <f t="shared" si="6"/>
        <v>51</v>
      </c>
      <c r="FW15" s="130">
        <f t="shared" si="6"/>
        <v>63</v>
      </c>
      <c r="FX15" s="130">
        <f t="shared" si="6"/>
        <v>156</v>
      </c>
      <c r="FY15" s="130">
        <f t="shared" si="6"/>
        <v>153</v>
      </c>
      <c r="FZ15" s="130">
        <f t="shared" si="6"/>
        <v>179</v>
      </c>
      <c r="GA15" s="130">
        <f t="shared" si="6"/>
        <v>158</v>
      </c>
      <c r="GB15" s="130">
        <f t="shared" si="6"/>
        <v>149</v>
      </c>
      <c r="GC15" s="130">
        <f t="shared" si="6"/>
        <v>340</v>
      </c>
      <c r="GD15" s="130">
        <f t="shared" si="6"/>
        <v>91</v>
      </c>
      <c r="GE15" s="130">
        <f t="shared" si="6"/>
        <v>74</v>
      </c>
      <c r="GF15" s="130">
        <f t="shared" si="6"/>
        <v>170</v>
      </c>
      <c r="GG15" s="130">
        <f t="shared" si="6"/>
        <v>158</v>
      </c>
      <c r="GH15" s="130">
        <f t="shared" si="6"/>
        <v>150</v>
      </c>
      <c r="GI15" s="130">
        <f t="shared" si="6"/>
        <v>152</v>
      </c>
      <c r="GJ15" s="130">
        <f t="shared" si="6"/>
        <v>168</v>
      </c>
      <c r="GK15" s="130">
        <f t="shared" si="6"/>
        <v>141</v>
      </c>
      <c r="GL15" s="130">
        <f t="shared" si="6"/>
        <v>124</v>
      </c>
      <c r="GM15" s="130">
        <f t="shared" si="6"/>
        <v>178</v>
      </c>
      <c r="GN15" s="130">
        <f t="shared" si="6"/>
        <v>185</v>
      </c>
      <c r="GO15" s="130">
        <f t="shared" si="6"/>
        <v>191</v>
      </c>
      <c r="GP15" s="130">
        <f t="shared" si="6"/>
        <v>179</v>
      </c>
      <c r="GQ15" s="130">
        <f t="shared" si="6"/>
        <v>68</v>
      </c>
      <c r="GR15" s="130">
        <f t="shared" si="6"/>
        <v>108</v>
      </c>
      <c r="GS15" s="130">
        <f t="shared" si="6"/>
        <v>65</v>
      </c>
      <c r="GT15" s="130">
        <f t="shared" si="6"/>
        <v>191</v>
      </c>
      <c r="GU15" s="130">
        <f t="shared" si="6"/>
        <v>190</v>
      </c>
      <c r="GV15" s="130">
        <f t="shared" si="6"/>
        <v>108</v>
      </c>
      <c r="GW15" s="130">
        <f t="shared" si="6"/>
        <v>93</v>
      </c>
      <c r="GX15" s="130">
        <f t="shared" si="6"/>
        <v>140</v>
      </c>
      <c r="GY15" s="130">
        <f t="shared" si="6"/>
        <v>180</v>
      </c>
      <c r="GZ15" s="130">
        <f t="shared" si="6"/>
        <v>164</v>
      </c>
      <c r="HA15" s="130">
        <f t="shared" si="6"/>
        <v>164</v>
      </c>
      <c r="HB15" s="130">
        <f t="shared" si="6"/>
        <v>185</v>
      </c>
      <c r="HC15" s="130">
        <f t="shared" si="6"/>
        <v>132</v>
      </c>
      <c r="HD15" s="130">
        <f t="shared" si="6"/>
        <v>135</v>
      </c>
      <c r="HE15" s="130">
        <f t="shared" si="6"/>
        <v>142</v>
      </c>
      <c r="HF15" s="130">
        <f t="shared" si="6"/>
        <v>171</v>
      </c>
      <c r="HG15" s="130">
        <f t="shared" si="6"/>
        <v>166</v>
      </c>
      <c r="HH15" s="130">
        <f t="shared" si="6"/>
        <v>199</v>
      </c>
      <c r="HI15" s="130">
        <f t="shared" si="6"/>
        <v>209</v>
      </c>
      <c r="HJ15" s="130">
        <f t="shared" si="6"/>
        <v>216</v>
      </c>
      <c r="HK15" s="130">
        <f t="shared" si="6"/>
        <v>143</v>
      </c>
      <c r="HL15" s="130">
        <f t="shared" si="6"/>
        <v>149</v>
      </c>
      <c r="HM15" s="130">
        <f t="shared" si="6"/>
        <v>135</v>
      </c>
      <c r="HN15" s="130">
        <f t="shared" si="6"/>
        <v>126</v>
      </c>
      <c r="HO15" s="130">
        <f t="shared" si="6"/>
        <v>147</v>
      </c>
      <c r="HP15" s="130">
        <f t="shared" si="6"/>
        <v>157</v>
      </c>
      <c r="HQ15" s="130">
        <f t="shared" si="6"/>
        <v>114</v>
      </c>
      <c r="HR15" s="130">
        <f t="shared" si="6"/>
        <v>141</v>
      </c>
      <c r="HS15" s="130">
        <f t="shared" si="6"/>
        <v>156</v>
      </c>
      <c r="HT15" s="130">
        <f t="shared" si="6"/>
        <v>121</v>
      </c>
      <c r="HU15" s="130">
        <f t="shared" si="6"/>
        <v>166</v>
      </c>
      <c r="HV15" s="130">
        <f t="shared" si="6"/>
        <v>186</v>
      </c>
      <c r="HW15" s="130">
        <f t="shared" si="6"/>
        <v>128</v>
      </c>
      <c r="HX15" s="130">
        <f t="shared" si="6"/>
        <v>139</v>
      </c>
      <c r="HY15" s="130">
        <f t="shared" si="6"/>
        <v>-8013</v>
      </c>
      <c r="HZ15" s="130">
        <f t="shared" si="6"/>
        <v>0</v>
      </c>
      <c r="IA15" s="130">
        <f t="shared" si="6"/>
        <v>0</v>
      </c>
      <c r="IB15" s="130">
        <f t="shared" si="6"/>
        <v>0</v>
      </c>
    </row>
    <row r="16">
      <c r="A16" s="126" t="s">
        <v>159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</row>
    <row r="17">
      <c r="A17" s="11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</row>
    <row r="18">
      <c r="A18" s="115" t="s">
        <v>168</v>
      </c>
      <c r="B18" s="49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3"/>
      <c r="AA18" s="363"/>
      <c r="AB18" s="363"/>
      <c r="AC18" s="363"/>
      <c r="AD18" s="363"/>
      <c r="AE18" s="363"/>
      <c r="AF18" s="363"/>
      <c r="AG18" s="363"/>
      <c r="AH18" s="363"/>
      <c r="AI18" s="363"/>
      <c r="AJ18" s="363"/>
      <c r="AK18" s="363"/>
      <c r="AL18" s="363"/>
      <c r="AM18" s="363"/>
      <c r="AN18" s="363"/>
      <c r="AO18" s="363"/>
      <c r="AP18" s="363"/>
      <c r="AQ18" s="363"/>
      <c r="AR18" s="363"/>
      <c r="AS18" s="363"/>
      <c r="AT18" s="363"/>
      <c r="AU18" s="363"/>
      <c r="AV18" s="363"/>
      <c r="AW18" s="363"/>
      <c r="AX18" s="363"/>
      <c r="AY18" s="363"/>
      <c r="AZ18" s="363"/>
      <c r="BA18" s="363"/>
      <c r="BB18" s="363"/>
      <c r="BC18" s="363"/>
      <c r="BD18" s="363"/>
      <c r="BE18" s="363"/>
      <c r="BF18" s="363"/>
      <c r="BG18" s="363"/>
      <c r="BH18" s="363"/>
      <c r="BI18" s="363"/>
      <c r="BJ18" s="363"/>
      <c r="BK18" s="363"/>
      <c r="BL18" s="363"/>
      <c r="BM18" s="363"/>
      <c r="BN18" s="363"/>
      <c r="BO18" s="363"/>
      <c r="BP18" s="363"/>
      <c r="BQ18" s="363"/>
      <c r="BR18" s="363"/>
      <c r="BS18" s="363"/>
      <c r="BT18" s="363"/>
      <c r="BU18" s="363"/>
      <c r="BV18" s="363"/>
      <c r="BW18" s="363"/>
      <c r="BX18" s="363"/>
      <c r="BY18" s="363"/>
      <c r="BZ18" s="363"/>
      <c r="CA18" s="363"/>
      <c r="CB18" s="363"/>
      <c r="CC18" s="363"/>
      <c r="CD18" s="363"/>
      <c r="CE18" s="363"/>
      <c r="CF18" s="363"/>
      <c r="CG18" s="363"/>
      <c r="CH18" s="363"/>
      <c r="CI18" s="363"/>
      <c r="CJ18" s="363"/>
      <c r="CK18" s="363"/>
      <c r="CL18" s="363"/>
      <c r="CM18" s="363"/>
      <c r="CN18" s="363"/>
      <c r="CO18" s="363"/>
      <c r="CP18" s="363"/>
      <c r="CQ18" s="363"/>
      <c r="CR18" s="363"/>
      <c r="CS18" s="363"/>
      <c r="CT18" s="363"/>
      <c r="CU18" s="363"/>
      <c r="CV18" s="363"/>
      <c r="CW18" s="363"/>
      <c r="CX18" s="363"/>
      <c r="CY18" s="363"/>
      <c r="CZ18" s="363"/>
      <c r="DA18" s="363"/>
      <c r="DB18" s="363"/>
      <c r="DC18" s="363"/>
      <c r="DD18" s="363"/>
      <c r="DE18" s="363"/>
      <c r="DF18" s="363"/>
      <c r="DG18" s="363"/>
      <c r="DH18" s="363"/>
      <c r="DI18" s="363"/>
      <c r="DJ18" s="363"/>
      <c r="DK18" s="363"/>
      <c r="DL18" s="363"/>
      <c r="DM18" s="363"/>
      <c r="DN18" s="363"/>
      <c r="DO18" s="363"/>
      <c r="DP18" s="363"/>
      <c r="DQ18" s="363"/>
      <c r="DR18" s="363"/>
      <c r="DS18" s="363"/>
      <c r="DT18" s="363"/>
      <c r="DU18" s="363"/>
      <c r="DV18" s="363"/>
      <c r="DW18" s="363"/>
      <c r="DX18" s="363"/>
      <c r="DY18" s="363"/>
      <c r="DZ18" s="363"/>
      <c r="EA18" s="363"/>
      <c r="EB18" s="363"/>
      <c r="EC18" s="363"/>
      <c r="ED18" s="363"/>
      <c r="EE18" s="363"/>
      <c r="EF18" s="363"/>
      <c r="EG18" s="363"/>
      <c r="EH18" s="363"/>
      <c r="EI18" s="363"/>
      <c r="EJ18" s="363"/>
      <c r="EK18" s="363"/>
      <c r="EL18" s="363"/>
      <c r="EM18" s="363"/>
      <c r="EN18" s="363"/>
      <c r="EO18" s="363"/>
      <c r="EP18" s="363"/>
      <c r="EQ18" s="363"/>
      <c r="ER18" s="363"/>
      <c r="ES18" s="363"/>
      <c r="ET18" s="363"/>
      <c r="EU18" s="363"/>
      <c r="EV18" s="363"/>
      <c r="EW18" s="363"/>
      <c r="EX18" s="363"/>
      <c r="EY18" s="363"/>
      <c r="EZ18" s="363"/>
      <c r="FA18" s="363"/>
      <c r="FB18" s="363"/>
      <c r="FC18" s="363"/>
      <c r="FD18" s="363"/>
      <c r="FE18" s="363"/>
      <c r="FF18" s="363"/>
      <c r="FG18" s="363"/>
      <c r="FH18" s="363"/>
      <c r="FI18" s="363"/>
      <c r="FJ18" s="363"/>
      <c r="FK18" s="363"/>
      <c r="FL18" s="363"/>
      <c r="FM18" s="363"/>
      <c r="FN18" s="363"/>
      <c r="FO18" s="363"/>
      <c r="FP18" s="363"/>
      <c r="FQ18" s="363"/>
      <c r="FR18" s="363"/>
      <c r="FS18" s="363"/>
      <c r="FT18" s="363"/>
      <c r="FU18" s="363"/>
      <c r="FV18" s="363"/>
      <c r="FW18" s="363"/>
      <c r="FX18" s="363"/>
      <c r="FY18" s="363"/>
      <c r="FZ18" s="363"/>
      <c r="GA18" s="363"/>
      <c r="GB18" s="363"/>
      <c r="GC18" s="363"/>
      <c r="GD18" s="363"/>
      <c r="GE18" s="363"/>
      <c r="GF18" s="363"/>
      <c r="GG18" s="363"/>
      <c r="GH18" s="363"/>
      <c r="GI18" s="363"/>
      <c r="GJ18" s="363"/>
      <c r="GK18" s="363"/>
      <c r="GL18" s="363"/>
      <c r="GM18" s="363"/>
      <c r="GN18" s="363"/>
      <c r="GO18" s="363"/>
      <c r="GP18" s="363"/>
      <c r="GQ18" s="363"/>
      <c r="GR18" s="363"/>
      <c r="GS18" s="363"/>
      <c r="GT18" s="363"/>
      <c r="GU18" s="363"/>
      <c r="GV18" s="363"/>
      <c r="GW18" s="363"/>
      <c r="GX18" s="363"/>
      <c r="GY18" s="363"/>
      <c r="GZ18" s="363"/>
      <c r="HA18" s="363"/>
      <c r="HB18" s="363"/>
      <c r="HC18" s="363"/>
      <c r="HD18" s="363"/>
      <c r="HE18" s="363"/>
      <c r="HF18" s="363"/>
      <c r="HG18" s="363"/>
      <c r="HH18" s="363"/>
      <c r="HI18" s="363"/>
      <c r="HJ18" s="363"/>
      <c r="HK18" s="363"/>
      <c r="HL18" s="363"/>
      <c r="HM18" s="363"/>
      <c r="HN18" s="363"/>
      <c r="HO18" s="363"/>
      <c r="HP18" s="363"/>
      <c r="HQ18" s="363"/>
      <c r="HR18" s="363"/>
      <c r="HS18" s="363"/>
      <c r="HT18" s="363"/>
      <c r="HU18" s="363"/>
      <c r="HV18" s="363"/>
      <c r="HW18" s="363"/>
      <c r="HX18" s="363"/>
      <c r="HY18" s="363"/>
      <c r="HZ18" s="363"/>
      <c r="IA18" s="363"/>
      <c r="IB18" s="363"/>
    </row>
    <row r="19">
      <c r="A19" s="126" t="s">
        <v>162</v>
      </c>
      <c r="B19" s="123">
        <v>20319.0</v>
      </c>
      <c r="C19" s="123">
        <v>20323.0</v>
      </c>
      <c r="D19" s="123">
        <v>20327.0</v>
      </c>
      <c r="E19" s="370">
        <v>20332.0</v>
      </c>
      <c r="F19" s="148">
        <v>20335.0</v>
      </c>
      <c r="G19" s="148">
        <v>20341.0</v>
      </c>
      <c r="H19" s="148">
        <v>20347.0</v>
      </c>
      <c r="I19" s="148">
        <v>20349.0</v>
      </c>
      <c r="J19" s="148">
        <v>20352.0</v>
      </c>
      <c r="K19" s="148">
        <v>20356.0</v>
      </c>
      <c r="L19" s="148">
        <v>20360.0</v>
      </c>
      <c r="M19" s="148">
        <v>20363.0</v>
      </c>
      <c r="N19" s="148">
        <v>20368.0</v>
      </c>
      <c r="O19" s="148">
        <v>20372.0</v>
      </c>
      <c r="P19" s="148">
        <v>20376.0</v>
      </c>
      <c r="Q19" s="148">
        <v>20380.0</v>
      </c>
      <c r="R19" s="148">
        <v>20383.0</v>
      </c>
      <c r="S19" s="3">
        <v>20386.0</v>
      </c>
      <c r="T19" s="3">
        <v>20389.0</v>
      </c>
      <c r="U19" s="3">
        <v>20392.0</v>
      </c>
      <c r="V19" s="3">
        <v>20396.0</v>
      </c>
      <c r="W19" s="3">
        <v>20399.0</v>
      </c>
      <c r="X19" s="3">
        <v>20402.0</v>
      </c>
      <c r="Y19" s="3">
        <v>20406.0</v>
      </c>
      <c r="Z19" s="3">
        <v>20409.0</v>
      </c>
      <c r="AA19" s="3">
        <v>20413.0</v>
      </c>
      <c r="AB19" s="3">
        <v>20416.0</v>
      </c>
      <c r="AC19" s="3">
        <v>20419.0</v>
      </c>
      <c r="AD19" s="3">
        <v>20423.0</v>
      </c>
      <c r="AE19" s="3">
        <v>20424.0</v>
      </c>
      <c r="AF19" s="3">
        <v>20427.0</v>
      </c>
      <c r="AG19" s="354">
        <v>20430.0</v>
      </c>
      <c r="AH19" s="3">
        <v>20433.0</v>
      </c>
      <c r="AI19" s="3">
        <v>20437.0</v>
      </c>
      <c r="AJ19" s="3">
        <v>20440.0</v>
      </c>
      <c r="AK19" s="3">
        <v>20443.0</v>
      </c>
      <c r="AL19" s="3">
        <v>20454.0</v>
      </c>
      <c r="AM19" s="3">
        <v>20459.0</v>
      </c>
      <c r="AN19" s="3">
        <v>20481.0</v>
      </c>
      <c r="AO19" s="3">
        <v>20493.0</v>
      </c>
      <c r="AP19" s="3">
        <v>20510.0</v>
      </c>
      <c r="AQ19" s="3">
        <v>20517.0</v>
      </c>
      <c r="AR19" s="3">
        <v>20524.0</v>
      </c>
      <c r="AS19" s="3">
        <v>20529.0</v>
      </c>
      <c r="AT19" s="3">
        <v>20530.0</v>
      </c>
      <c r="AU19" s="3">
        <v>20533.0</v>
      </c>
      <c r="AV19" s="3">
        <v>20537.0</v>
      </c>
      <c r="AW19" s="3">
        <v>20540.0</v>
      </c>
      <c r="AX19" s="3">
        <v>20541.0</v>
      </c>
      <c r="AY19" s="3">
        <v>20542.0</v>
      </c>
      <c r="AZ19" s="3">
        <v>20543.0</v>
      </c>
      <c r="BA19" s="3">
        <v>20544.0</v>
      </c>
      <c r="BB19" s="3">
        <v>20546.0</v>
      </c>
      <c r="BC19" s="3">
        <v>20550.0</v>
      </c>
      <c r="BD19" s="3">
        <v>20552.0</v>
      </c>
      <c r="BE19" s="3">
        <v>20553.0</v>
      </c>
      <c r="BF19" s="3">
        <v>20559.0</v>
      </c>
      <c r="BG19" s="3">
        <v>20561.0</v>
      </c>
      <c r="BH19" s="3">
        <v>20563.0</v>
      </c>
      <c r="BI19" s="3">
        <v>20566.0</v>
      </c>
      <c r="BJ19" s="3">
        <v>20568.0</v>
      </c>
      <c r="BK19" s="3">
        <v>20570.0</v>
      </c>
      <c r="BL19" s="3">
        <v>20571.0</v>
      </c>
      <c r="BM19" s="3">
        <v>20577.0</v>
      </c>
      <c r="BN19" s="3">
        <v>20578.0</v>
      </c>
      <c r="BO19" s="3">
        <v>20582.0</v>
      </c>
      <c r="BP19" s="3">
        <v>20584.0</v>
      </c>
      <c r="BQ19" s="3">
        <v>20588.0</v>
      </c>
      <c r="BR19" s="3">
        <v>20590.0</v>
      </c>
      <c r="BS19" s="3">
        <v>20592.0</v>
      </c>
      <c r="BT19" s="3">
        <v>20594.0</v>
      </c>
      <c r="BU19" s="3">
        <v>20595.0</v>
      </c>
      <c r="BV19" s="3">
        <v>20598.0</v>
      </c>
      <c r="BW19" s="3">
        <v>20599.0</v>
      </c>
      <c r="BX19" s="3">
        <v>20601.0</v>
      </c>
      <c r="BY19" s="3">
        <v>20603.0</v>
      </c>
      <c r="BZ19" s="3">
        <v>20605.0</v>
      </c>
      <c r="CA19" s="3">
        <v>20608.0</v>
      </c>
      <c r="CB19" s="3">
        <v>20610.0</v>
      </c>
      <c r="CC19" s="3">
        <v>20612.0</v>
      </c>
      <c r="CD19" s="3">
        <v>20613.0</v>
      </c>
      <c r="CE19" s="3">
        <v>20615.0</v>
      </c>
      <c r="CF19" s="3">
        <v>20617.0</v>
      </c>
      <c r="CG19" s="3">
        <v>20624.0</v>
      </c>
      <c r="CH19" s="3">
        <v>20628.0</v>
      </c>
      <c r="CI19" s="3">
        <v>20631.0</v>
      </c>
      <c r="CJ19" s="3">
        <v>20634.0</v>
      </c>
      <c r="CK19" s="3">
        <v>20637.0</v>
      </c>
      <c r="CL19" s="3">
        <v>20641.0</v>
      </c>
      <c r="CM19" s="3">
        <v>20648.0</v>
      </c>
      <c r="CN19" s="3">
        <v>20653.0</v>
      </c>
      <c r="CO19" s="3">
        <v>20655.0</v>
      </c>
      <c r="CP19" s="3">
        <v>20659.0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>
        <v>20707.0</v>
      </c>
      <c r="DH19" s="3"/>
      <c r="DI19" s="3"/>
      <c r="DJ19" s="3"/>
      <c r="DK19" s="3"/>
      <c r="DL19" s="3"/>
      <c r="DM19" s="3"/>
      <c r="DN19" s="3"/>
      <c r="DO19" s="3">
        <v>20739.0</v>
      </c>
      <c r="DP19" s="3">
        <v>20743.0</v>
      </c>
      <c r="DQ19" s="3">
        <v>20745.0</v>
      </c>
      <c r="DR19" s="3">
        <v>20751.0</v>
      </c>
      <c r="DS19" s="3">
        <v>20752.0</v>
      </c>
      <c r="DT19" s="3">
        <v>20754.0</v>
      </c>
      <c r="DU19" s="3">
        <v>20757.0</v>
      </c>
      <c r="DV19" s="3">
        <v>20760.0</v>
      </c>
      <c r="DW19" s="3">
        <v>20763.0</v>
      </c>
      <c r="DX19" s="3">
        <v>20767.0</v>
      </c>
      <c r="DY19" s="3">
        <v>20770.0</v>
      </c>
      <c r="DZ19" s="3">
        <v>20771.0</v>
      </c>
      <c r="EA19" s="3">
        <v>20772.0</v>
      </c>
      <c r="EB19" s="3">
        <v>20774.0</v>
      </c>
      <c r="EC19" s="3">
        <v>20780.0</v>
      </c>
      <c r="ED19" s="3">
        <v>20784.0</v>
      </c>
      <c r="EE19" s="3">
        <v>20786.0</v>
      </c>
      <c r="EF19" s="3">
        <v>20790.0</v>
      </c>
      <c r="EG19" s="3">
        <v>20794.0</v>
      </c>
      <c r="EH19" s="3">
        <v>20797.0</v>
      </c>
      <c r="EI19" s="3">
        <v>20799.0</v>
      </c>
      <c r="EJ19" s="3">
        <v>20801.0</v>
      </c>
      <c r="EK19" s="3">
        <v>20802.0</v>
      </c>
      <c r="EL19" s="3">
        <v>20804.0</v>
      </c>
      <c r="EM19" s="3">
        <v>20807.0</v>
      </c>
      <c r="EN19" s="3">
        <v>20809.0</v>
      </c>
      <c r="EO19" s="3">
        <v>20811.0</v>
      </c>
      <c r="EP19" s="3">
        <v>20814.0</v>
      </c>
      <c r="EQ19" s="3">
        <v>20817.0</v>
      </c>
      <c r="ER19" s="3">
        <v>20820.0</v>
      </c>
      <c r="ES19" s="3">
        <v>20823.0</v>
      </c>
      <c r="ET19" s="3">
        <v>20825.0</v>
      </c>
      <c r="EU19" s="3">
        <v>20827.0</v>
      </c>
      <c r="EV19" s="3">
        <v>20830.0</v>
      </c>
      <c r="EW19" s="3">
        <v>20834.0</v>
      </c>
      <c r="EX19" s="3">
        <v>20836.0</v>
      </c>
      <c r="EY19" s="3">
        <v>20838.0</v>
      </c>
      <c r="EZ19" s="3">
        <v>20840.0</v>
      </c>
      <c r="FA19" s="3">
        <v>20842.0</v>
      </c>
      <c r="FB19" s="3">
        <v>20843.0</v>
      </c>
      <c r="FC19" s="3">
        <v>20845.0</v>
      </c>
      <c r="FD19" s="3">
        <v>20846.0</v>
      </c>
      <c r="FE19" s="3">
        <v>20849.0</v>
      </c>
      <c r="FF19" s="3">
        <v>20853.0</v>
      </c>
      <c r="FG19" s="3">
        <v>20854.0</v>
      </c>
      <c r="FH19" s="3">
        <v>20858.0</v>
      </c>
      <c r="FI19" s="3">
        <v>20860.0</v>
      </c>
      <c r="FJ19" s="3">
        <v>20862.0</v>
      </c>
      <c r="FK19" s="3">
        <v>20864.0</v>
      </c>
      <c r="FL19" s="3">
        <v>20867.0</v>
      </c>
      <c r="FM19" s="3">
        <v>20869.0</v>
      </c>
      <c r="FN19" s="3">
        <v>20871.0</v>
      </c>
      <c r="FO19" s="3">
        <v>20873.0</v>
      </c>
      <c r="FP19" s="3">
        <v>20875.0</v>
      </c>
      <c r="FQ19" s="3">
        <v>20879.0</v>
      </c>
      <c r="FR19" s="3">
        <v>20883.0</v>
      </c>
      <c r="FS19" s="3">
        <v>20888.0</v>
      </c>
      <c r="FT19" s="3">
        <v>20893.0</v>
      </c>
      <c r="FU19" s="3">
        <v>20895.0</v>
      </c>
      <c r="FV19" s="3">
        <v>20898.0</v>
      </c>
      <c r="FW19" s="3">
        <v>20900.0</v>
      </c>
      <c r="FX19" s="3">
        <v>20901.0</v>
      </c>
      <c r="FY19" s="3">
        <v>20903.0</v>
      </c>
      <c r="FZ19" s="3">
        <v>20908.0</v>
      </c>
      <c r="GA19" s="3">
        <v>20912.0</v>
      </c>
      <c r="GB19" s="3">
        <v>20914.0</v>
      </c>
      <c r="GC19" s="3">
        <v>20917.0</v>
      </c>
      <c r="GD19" s="3">
        <v>20920.0</v>
      </c>
      <c r="GE19" s="3">
        <v>20922.0</v>
      </c>
      <c r="GF19" s="3">
        <v>20926.0</v>
      </c>
      <c r="GG19" s="3">
        <v>20928.0</v>
      </c>
      <c r="GH19" s="3">
        <v>20932.0</v>
      </c>
      <c r="GI19" s="3">
        <v>20933.0</v>
      </c>
      <c r="GJ19" s="3">
        <v>20936.0</v>
      </c>
      <c r="GK19" s="3">
        <v>20938.0</v>
      </c>
      <c r="GL19" s="3">
        <v>20942.0</v>
      </c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>
        <v>65.0</v>
      </c>
      <c r="HO19" s="3"/>
      <c r="HP19" s="3"/>
      <c r="HQ19" s="3"/>
      <c r="HR19" s="3"/>
      <c r="HS19" s="3"/>
      <c r="HT19" s="3"/>
      <c r="HU19" s="3"/>
      <c r="HV19" s="3"/>
      <c r="HW19" s="3"/>
      <c r="HX19" s="3">
        <v>80.0</v>
      </c>
      <c r="HY19" s="3"/>
      <c r="HZ19" s="3"/>
      <c r="IA19" s="3"/>
      <c r="IB19" s="3"/>
    </row>
    <row r="20">
      <c r="A20" s="364" t="s">
        <v>148</v>
      </c>
      <c r="B20" s="365"/>
      <c r="C20" s="366">
        <f t="shared" ref="C20:GP20" si="7">C19-B19</f>
        <v>4</v>
      </c>
      <c r="D20" s="366">
        <f t="shared" si="7"/>
        <v>4</v>
      </c>
      <c r="E20" s="366">
        <f t="shared" si="7"/>
        <v>5</v>
      </c>
      <c r="F20" s="366">
        <f t="shared" si="7"/>
        <v>3</v>
      </c>
      <c r="G20" s="366">
        <f t="shared" si="7"/>
        <v>6</v>
      </c>
      <c r="H20" s="366">
        <f t="shared" si="7"/>
        <v>6</v>
      </c>
      <c r="I20" s="366">
        <f t="shared" si="7"/>
        <v>2</v>
      </c>
      <c r="J20" s="366">
        <f t="shared" si="7"/>
        <v>3</v>
      </c>
      <c r="K20" s="366">
        <f t="shared" si="7"/>
        <v>4</v>
      </c>
      <c r="L20" s="366">
        <f t="shared" si="7"/>
        <v>4</v>
      </c>
      <c r="M20" s="366">
        <f t="shared" si="7"/>
        <v>3</v>
      </c>
      <c r="N20" s="366">
        <f t="shared" si="7"/>
        <v>5</v>
      </c>
      <c r="O20" s="366">
        <f t="shared" si="7"/>
        <v>4</v>
      </c>
      <c r="P20" s="366">
        <f t="shared" si="7"/>
        <v>4</v>
      </c>
      <c r="Q20" s="366">
        <f t="shared" si="7"/>
        <v>4</v>
      </c>
      <c r="R20" s="366">
        <f t="shared" si="7"/>
        <v>3</v>
      </c>
      <c r="S20" s="366">
        <f t="shared" si="7"/>
        <v>3</v>
      </c>
      <c r="T20" s="366">
        <f t="shared" si="7"/>
        <v>3</v>
      </c>
      <c r="U20" s="366">
        <f t="shared" si="7"/>
        <v>3</v>
      </c>
      <c r="V20" s="366">
        <f t="shared" si="7"/>
        <v>4</v>
      </c>
      <c r="W20" s="366">
        <f t="shared" si="7"/>
        <v>3</v>
      </c>
      <c r="X20" s="366">
        <f t="shared" si="7"/>
        <v>3</v>
      </c>
      <c r="Y20" s="366">
        <f t="shared" si="7"/>
        <v>4</v>
      </c>
      <c r="Z20" s="366">
        <f t="shared" si="7"/>
        <v>3</v>
      </c>
      <c r="AA20" s="366">
        <f t="shared" si="7"/>
        <v>4</v>
      </c>
      <c r="AB20" s="366">
        <f t="shared" si="7"/>
        <v>3</v>
      </c>
      <c r="AC20" s="366">
        <f t="shared" si="7"/>
        <v>3</v>
      </c>
      <c r="AD20" s="366">
        <f t="shared" si="7"/>
        <v>4</v>
      </c>
      <c r="AE20" s="366">
        <f t="shared" si="7"/>
        <v>1</v>
      </c>
      <c r="AF20" s="366">
        <f t="shared" si="7"/>
        <v>3</v>
      </c>
      <c r="AG20" s="366">
        <f t="shared" si="7"/>
        <v>3</v>
      </c>
      <c r="AH20" s="366">
        <f t="shared" si="7"/>
        <v>3</v>
      </c>
      <c r="AI20" s="366">
        <f t="shared" si="7"/>
        <v>4</v>
      </c>
      <c r="AJ20" s="366">
        <f t="shared" si="7"/>
        <v>3</v>
      </c>
      <c r="AK20" s="366">
        <f t="shared" si="7"/>
        <v>3</v>
      </c>
      <c r="AL20" s="366">
        <f t="shared" si="7"/>
        <v>11</v>
      </c>
      <c r="AM20" s="366">
        <f t="shared" si="7"/>
        <v>5</v>
      </c>
      <c r="AN20" s="366">
        <f t="shared" si="7"/>
        <v>22</v>
      </c>
      <c r="AO20" s="366">
        <f t="shared" si="7"/>
        <v>12</v>
      </c>
      <c r="AP20" s="366">
        <f t="shared" si="7"/>
        <v>17</v>
      </c>
      <c r="AQ20" s="366">
        <f t="shared" si="7"/>
        <v>7</v>
      </c>
      <c r="AR20" s="366">
        <f t="shared" si="7"/>
        <v>7</v>
      </c>
      <c r="AS20" s="366">
        <f t="shared" si="7"/>
        <v>5</v>
      </c>
      <c r="AT20" s="366">
        <f t="shared" si="7"/>
        <v>1</v>
      </c>
      <c r="AU20" s="366">
        <f t="shared" si="7"/>
        <v>3</v>
      </c>
      <c r="AV20" s="366">
        <f t="shared" si="7"/>
        <v>4</v>
      </c>
      <c r="AW20" s="366">
        <f t="shared" si="7"/>
        <v>3</v>
      </c>
      <c r="AX20" s="366">
        <f t="shared" si="7"/>
        <v>1</v>
      </c>
      <c r="AY20" s="366">
        <f t="shared" si="7"/>
        <v>1</v>
      </c>
      <c r="AZ20" s="366">
        <f t="shared" si="7"/>
        <v>1</v>
      </c>
      <c r="BA20" s="366">
        <f t="shared" si="7"/>
        <v>1</v>
      </c>
      <c r="BB20" s="366">
        <f t="shared" si="7"/>
        <v>2</v>
      </c>
      <c r="BC20" s="366">
        <f t="shared" si="7"/>
        <v>4</v>
      </c>
      <c r="BD20" s="366">
        <f t="shared" si="7"/>
        <v>2</v>
      </c>
      <c r="BE20" s="366">
        <f t="shared" si="7"/>
        <v>1</v>
      </c>
      <c r="BF20" s="366">
        <f t="shared" si="7"/>
        <v>6</v>
      </c>
      <c r="BG20" s="366">
        <f t="shared" si="7"/>
        <v>2</v>
      </c>
      <c r="BH20" s="366">
        <f t="shared" si="7"/>
        <v>2</v>
      </c>
      <c r="BI20" s="366">
        <f t="shared" si="7"/>
        <v>3</v>
      </c>
      <c r="BJ20" s="366">
        <f t="shared" si="7"/>
        <v>2</v>
      </c>
      <c r="BK20" s="366">
        <f t="shared" si="7"/>
        <v>2</v>
      </c>
      <c r="BL20" s="366">
        <f t="shared" si="7"/>
        <v>1</v>
      </c>
      <c r="BM20" s="366">
        <f t="shared" si="7"/>
        <v>6</v>
      </c>
      <c r="BN20" s="366">
        <f t="shared" si="7"/>
        <v>1</v>
      </c>
      <c r="BO20" s="366">
        <f t="shared" si="7"/>
        <v>4</v>
      </c>
      <c r="BP20" s="366">
        <f t="shared" si="7"/>
        <v>2</v>
      </c>
      <c r="BQ20" s="366">
        <f t="shared" si="7"/>
        <v>4</v>
      </c>
      <c r="BR20" s="366">
        <f t="shared" si="7"/>
        <v>2</v>
      </c>
      <c r="BS20" s="366">
        <f t="shared" si="7"/>
        <v>2</v>
      </c>
      <c r="BT20" s="366">
        <f t="shared" si="7"/>
        <v>2</v>
      </c>
      <c r="BU20" s="366">
        <f t="shared" si="7"/>
        <v>1</v>
      </c>
      <c r="BV20" s="366">
        <f t="shared" si="7"/>
        <v>3</v>
      </c>
      <c r="BW20" s="366">
        <f t="shared" si="7"/>
        <v>1</v>
      </c>
      <c r="BX20" s="366">
        <f t="shared" si="7"/>
        <v>2</v>
      </c>
      <c r="BY20" s="366">
        <f t="shared" si="7"/>
        <v>2</v>
      </c>
      <c r="BZ20" s="366">
        <f t="shared" si="7"/>
        <v>2</v>
      </c>
      <c r="CA20" s="366">
        <f t="shared" si="7"/>
        <v>3</v>
      </c>
      <c r="CB20" s="366">
        <f t="shared" si="7"/>
        <v>2</v>
      </c>
      <c r="CC20" s="366">
        <f t="shared" si="7"/>
        <v>2</v>
      </c>
      <c r="CD20" s="366">
        <f t="shared" si="7"/>
        <v>1</v>
      </c>
      <c r="CE20" s="366">
        <f t="shared" si="7"/>
        <v>2</v>
      </c>
      <c r="CF20" s="366">
        <f t="shared" si="7"/>
        <v>2</v>
      </c>
      <c r="CG20" s="366">
        <f t="shared" si="7"/>
        <v>7</v>
      </c>
      <c r="CH20" s="366">
        <f t="shared" si="7"/>
        <v>4</v>
      </c>
      <c r="CI20" s="366">
        <f t="shared" si="7"/>
        <v>3</v>
      </c>
      <c r="CJ20" s="366">
        <f t="shared" si="7"/>
        <v>3</v>
      </c>
      <c r="CK20" s="366">
        <f t="shared" si="7"/>
        <v>3</v>
      </c>
      <c r="CL20" s="366">
        <f t="shared" si="7"/>
        <v>4</v>
      </c>
      <c r="CM20" s="366">
        <f t="shared" si="7"/>
        <v>7</v>
      </c>
      <c r="CN20" s="366">
        <f t="shared" si="7"/>
        <v>5</v>
      </c>
      <c r="CO20" s="366">
        <f t="shared" si="7"/>
        <v>2</v>
      </c>
      <c r="CP20" s="366">
        <f t="shared" si="7"/>
        <v>4</v>
      </c>
      <c r="CQ20" s="366">
        <f t="shared" si="7"/>
        <v>-20659</v>
      </c>
      <c r="CR20" s="366">
        <f t="shared" si="7"/>
        <v>0</v>
      </c>
      <c r="CS20" s="366">
        <f t="shared" si="7"/>
        <v>0</v>
      </c>
      <c r="CT20" s="366">
        <f t="shared" si="7"/>
        <v>0</v>
      </c>
      <c r="CU20" s="366">
        <f t="shared" si="7"/>
        <v>0</v>
      </c>
      <c r="CV20" s="366">
        <f t="shared" si="7"/>
        <v>0</v>
      </c>
      <c r="CW20" s="366">
        <f t="shared" si="7"/>
        <v>0</v>
      </c>
      <c r="CX20" s="366">
        <f t="shared" si="7"/>
        <v>0</v>
      </c>
      <c r="CY20" s="366">
        <f t="shared" si="7"/>
        <v>0</v>
      </c>
      <c r="CZ20" s="366">
        <f t="shared" si="7"/>
        <v>0</v>
      </c>
      <c r="DA20" s="366">
        <f t="shared" si="7"/>
        <v>0</v>
      </c>
      <c r="DB20" s="366">
        <f t="shared" si="7"/>
        <v>0</v>
      </c>
      <c r="DC20" s="366">
        <f t="shared" si="7"/>
        <v>0</v>
      </c>
      <c r="DD20" s="366">
        <f t="shared" si="7"/>
        <v>0</v>
      </c>
      <c r="DE20" s="366">
        <f t="shared" si="7"/>
        <v>0</v>
      </c>
      <c r="DF20" s="366">
        <f t="shared" si="7"/>
        <v>0</v>
      </c>
      <c r="DG20" s="366">
        <f t="shared" si="7"/>
        <v>20707</v>
      </c>
      <c r="DH20" s="366">
        <f t="shared" si="7"/>
        <v>-20707</v>
      </c>
      <c r="DI20" s="366">
        <f t="shared" si="7"/>
        <v>0</v>
      </c>
      <c r="DJ20" s="366">
        <f t="shared" si="7"/>
        <v>0</v>
      </c>
      <c r="DK20" s="366">
        <f t="shared" si="7"/>
        <v>0</v>
      </c>
      <c r="DL20" s="366">
        <f t="shared" si="7"/>
        <v>0</v>
      </c>
      <c r="DM20" s="366">
        <f t="shared" si="7"/>
        <v>0</v>
      </c>
      <c r="DN20" s="366">
        <f t="shared" si="7"/>
        <v>0</v>
      </c>
      <c r="DO20" s="366">
        <f t="shared" si="7"/>
        <v>20739</v>
      </c>
      <c r="DP20" s="366">
        <f t="shared" si="7"/>
        <v>4</v>
      </c>
      <c r="DQ20" s="366">
        <f t="shared" si="7"/>
        <v>2</v>
      </c>
      <c r="DR20" s="366">
        <f t="shared" si="7"/>
        <v>6</v>
      </c>
      <c r="DS20" s="366">
        <f t="shared" si="7"/>
        <v>1</v>
      </c>
      <c r="DT20" s="366">
        <f t="shared" si="7"/>
        <v>2</v>
      </c>
      <c r="DU20" s="366">
        <f t="shared" si="7"/>
        <v>3</v>
      </c>
      <c r="DV20" s="366">
        <f t="shared" si="7"/>
        <v>3</v>
      </c>
      <c r="DW20" s="366">
        <f t="shared" si="7"/>
        <v>3</v>
      </c>
      <c r="DX20" s="366">
        <f t="shared" si="7"/>
        <v>4</v>
      </c>
      <c r="DY20" s="366">
        <f t="shared" si="7"/>
        <v>3</v>
      </c>
      <c r="DZ20" s="366">
        <f t="shared" si="7"/>
        <v>1</v>
      </c>
      <c r="EA20" s="366">
        <f t="shared" si="7"/>
        <v>1</v>
      </c>
      <c r="EB20" s="366">
        <f t="shared" si="7"/>
        <v>2</v>
      </c>
      <c r="EC20" s="366">
        <f t="shared" si="7"/>
        <v>6</v>
      </c>
      <c r="ED20" s="366">
        <f t="shared" si="7"/>
        <v>4</v>
      </c>
      <c r="EE20" s="366">
        <f t="shared" si="7"/>
        <v>2</v>
      </c>
      <c r="EF20" s="366">
        <f t="shared" si="7"/>
        <v>4</v>
      </c>
      <c r="EG20" s="366">
        <f t="shared" si="7"/>
        <v>4</v>
      </c>
      <c r="EH20" s="366">
        <f t="shared" si="7"/>
        <v>3</v>
      </c>
      <c r="EI20" s="366">
        <f t="shared" si="7"/>
        <v>2</v>
      </c>
      <c r="EJ20" s="366">
        <f t="shared" si="7"/>
        <v>2</v>
      </c>
      <c r="EK20" s="366">
        <f t="shared" si="7"/>
        <v>1</v>
      </c>
      <c r="EL20" s="366">
        <f t="shared" si="7"/>
        <v>2</v>
      </c>
      <c r="EM20" s="366">
        <f t="shared" si="7"/>
        <v>3</v>
      </c>
      <c r="EN20" s="366">
        <f t="shared" si="7"/>
        <v>2</v>
      </c>
      <c r="EO20" s="366">
        <f t="shared" si="7"/>
        <v>2</v>
      </c>
      <c r="EP20" s="366">
        <f t="shared" si="7"/>
        <v>3</v>
      </c>
      <c r="EQ20" s="366">
        <f t="shared" si="7"/>
        <v>3</v>
      </c>
      <c r="ER20" s="366">
        <f t="shared" si="7"/>
        <v>3</v>
      </c>
      <c r="ES20" s="366">
        <f t="shared" si="7"/>
        <v>3</v>
      </c>
      <c r="ET20" s="366">
        <f t="shared" si="7"/>
        <v>2</v>
      </c>
      <c r="EU20" s="366">
        <f t="shared" si="7"/>
        <v>2</v>
      </c>
      <c r="EV20" s="366">
        <f t="shared" si="7"/>
        <v>3</v>
      </c>
      <c r="EW20" s="366">
        <f t="shared" si="7"/>
        <v>4</v>
      </c>
      <c r="EX20" s="366">
        <f t="shared" si="7"/>
        <v>2</v>
      </c>
      <c r="EY20" s="366">
        <f t="shared" si="7"/>
        <v>2</v>
      </c>
      <c r="EZ20" s="366">
        <f t="shared" si="7"/>
        <v>2</v>
      </c>
      <c r="FA20" s="366">
        <f t="shared" si="7"/>
        <v>2</v>
      </c>
      <c r="FB20" s="366">
        <f t="shared" si="7"/>
        <v>1</v>
      </c>
      <c r="FC20" s="366">
        <f t="shared" si="7"/>
        <v>2</v>
      </c>
      <c r="FD20" s="366">
        <f t="shared" si="7"/>
        <v>1</v>
      </c>
      <c r="FE20" s="366">
        <f t="shared" si="7"/>
        <v>3</v>
      </c>
      <c r="FF20" s="366">
        <f t="shared" si="7"/>
        <v>4</v>
      </c>
      <c r="FG20" s="366">
        <f t="shared" si="7"/>
        <v>1</v>
      </c>
      <c r="FH20" s="366">
        <f t="shared" si="7"/>
        <v>4</v>
      </c>
      <c r="FI20" s="366">
        <f t="shared" si="7"/>
        <v>2</v>
      </c>
      <c r="FJ20" s="366">
        <f t="shared" si="7"/>
        <v>2</v>
      </c>
      <c r="FK20" s="366">
        <f t="shared" si="7"/>
        <v>2</v>
      </c>
      <c r="FL20" s="366">
        <f t="shared" si="7"/>
        <v>3</v>
      </c>
      <c r="FM20" s="366">
        <f t="shared" si="7"/>
        <v>2</v>
      </c>
      <c r="FN20" s="366">
        <f t="shared" si="7"/>
        <v>2</v>
      </c>
      <c r="FO20" s="366">
        <f t="shared" si="7"/>
        <v>2</v>
      </c>
      <c r="FP20" s="366">
        <f t="shared" si="7"/>
        <v>2</v>
      </c>
      <c r="FQ20" s="366">
        <f t="shared" si="7"/>
        <v>4</v>
      </c>
      <c r="FR20" s="366">
        <f t="shared" si="7"/>
        <v>4</v>
      </c>
      <c r="FS20" s="366">
        <f t="shared" si="7"/>
        <v>5</v>
      </c>
      <c r="FT20" s="366">
        <f t="shared" si="7"/>
        <v>5</v>
      </c>
      <c r="FU20" s="366">
        <f t="shared" si="7"/>
        <v>2</v>
      </c>
      <c r="FV20" s="366">
        <f t="shared" si="7"/>
        <v>3</v>
      </c>
      <c r="FW20" s="366">
        <f t="shared" si="7"/>
        <v>2</v>
      </c>
      <c r="FX20" s="366">
        <f t="shared" si="7"/>
        <v>1</v>
      </c>
      <c r="FY20" s="366">
        <f t="shared" si="7"/>
        <v>2</v>
      </c>
      <c r="FZ20" s="366">
        <f t="shared" si="7"/>
        <v>5</v>
      </c>
      <c r="GA20" s="366">
        <f t="shared" si="7"/>
        <v>4</v>
      </c>
      <c r="GB20" s="366">
        <f t="shared" si="7"/>
        <v>2</v>
      </c>
      <c r="GC20" s="366">
        <f t="shared" si="7"/>
        <v>3</v>
      </c>
      <c r="GD20" s="366">
        <f t="shared" si="7"/>
        <v>3</v>
      </c>
      <c r="GE20" s="366">
        <f t="shared" si="7"/>
        <v>2</v>
      </c>
      <c r="GF20" s="366">
        <f t="shared" si="7"/>
        <v>4</v>
      </c>
      <c r="GG20" s="366">
        <f t="shared" si="7"/>
        <v>2</v>
      </c>
      <c r="GH20" s="366">
        <f t="shared" si="7"/>
        <v>4</v>
      </c>
      <c r="GI20" s="366">
        <f t="shared" si="7"/>
        <v>1</v>
      </c>
      <c r="GJ20" s="366">
        <f t="shared" si="7"/>
        <v>3</v>
      </c>
      <c r="GK20" s="366">
        <f t="shared" si="7"/>
        <v>2</v>
      </c>
      <c r="GL20" s="366">
        <f t="shared" si="7"/>
        <v>4</v>
      </c>
      <c r="GM20" s="366">
        <f t="shared" si="7"/>
        <v>-20942</v>
      </c>
      <c r="GN20" s="366">
        <f t="shared" si="7"/>
        <v>0</v>
      </c>
      <c r="GO20" s="366">
        <f t="shared" si="7"/>
        <v>0</v>
      </c>
      <c r="GP20" s="366">
        <f t="shared" si="7"/>
        <v>0</v>
      </c>
      <c r="GQ20" s="366"/>
      <c r="GR20" s="366"/>
      <c r="GS20" s="366"/>
      <c r="GT20" s="366"/>
      <c r="GU20" s="366"/>
      <c r="GV20" s="366"/>
      <c r="GW20" s="366"/>
      <c r="GX20" s="366"/>
      <c r="GY20" s="366"/>
      <c r="GZ20" s="366"/>
      <c r="HA20" s="366"/>
      <c r="HB20" s="366"/>
      <c r="HC20" s="366"/>
      <c r="HD20" s="366"/>
      <c r="HE20" s="366"/>
      <c r="HF20" s="366"/>
      <c r="HG20" s="366"/>
      <c r="HH20" s="366"/>
      <c r="HI20" s="366"/>
      <c r="HJ20" s="366"/>
      <c r="HK20" s="366"/>
      <c r="HL20" s="366"/>
      <c r="HM20" s="366"/>
      <c r="HN20" s="366"/>
      <c r="HO20" s="366"/>
      <c r="HP20" s="366"/>
      <c r="HQ20" s="366"/>
      <c r="HR20" s="366"/>
      <c r="HS20" s="366"/>
      <c r="HT20" s="366"/>
      <c r="HU20" s="366"/>
      <c r="HV20" s="366"/>
      <c r="HW20" s="366"/>
      <c r="HX20" s="366"/>
      <c r="HY20" s="366"/>
      <c r="HZ20" s="366"/>
      <c r="IA20" s="366"/>
      <c r="IB20" s="366"/>
    </row>
    <row r="21" ht="15.75" customHeight="1">
      <c r="A21" s="126" t="s">
        <v>159</v>
      </c>
      <c r="C21" s="111"/>
      <c r="D21" s="111"/>
      <c r="E21" s="91"/>
      <c r="F21" s="111"/>
      <c r="G21" s="111"/>
      <c r="H21" s="111"/>
      <c r="I21" s="111"/>
      <c r="J21" s="111"/>
      <c r="K21" s="111"/>
      <c r="L21" s="111"/>
      <c r="M21" s="111"/>
      <c r="N21" s="111"/>
    </row>
    <row r="22" ht="15.75" customHeight="1">
      <c r="A22" s="11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</row>
    <row r="23" ht="15.75" customHeight="1">
      <c r="A23" s="115" t="s">
        <v>443</v>
      </c>
      <c r="C23" s="121"/>
      <c r="D23" s="121"/>
      <c r="E23" s="152"/>
      <c r="F23" s="164"/>
      <c r="G23" s="164"/>
      <c r="H23" s="164"/>
      <c r="I23" s="164"/>
      <c r="J23" s="164"/>
      <c r="K23" s="164"/>
      <c r="L23" s="164"/>
      <c r="M23" s="164"/>
      <c r="N23" s="164"/>
      <c r="O23" s="363"/>
      <c r="P23" s="363"/>
      <c r="Q23" s="363"/>
      <c r="R23" s="363"/>
      <c r="S23" s="363"/>
      <c r="T23" s="363"/>
      <c r="U23" s="363"/>
      <c r="V23" s="363"/>
      <c r="W23" s="363"/>
      <c r="X23" s="363"/>
      <c r="Y23" s="363"/>
      <c r="Z23" s="363"/>
      <c r="AA23" s="363"/>
      <c r="AB23" s="363"/>
      <c r="AC23" s="363"/>
      <c r="AD23" s="363"/>
      <c r="AE23" s="363"/>
      <c r="AF23" s="363"/>
      <c r="AG23" s="363"/>
      <c r="AH23" s="363"/>
      <c r="AI23" s="363"/>
      <c r="AJ23" s="363"/>
      <c r="AK23" s="363"/>
      <c r="AL23" s="363"/>
      <c r="AM23" s="363"/>
      <c r="AN23" s="363"/>
      <c r="AO23" s="363"/>
      <c r="AP23" s="363"/>
      <c r="AQ23" s="363"/>
      <c r="AR23" s="363"/>
      <c r="AS23" s="363"/>
      <c r="AT23" s="363"/>
      <c r="AU23" s="363"/>
      <c r="AV23" s="363"/>
      <c r="AW23" s="363"/>
      <c r="AX23" s="363"/>
      <c r="AY23" s="363"/>
      <c r="AZ23" s="363"/>
      <c r="BA23" s="363"/>
      <c r="BB23" s="363"/>
      <c r="BC23" s="363"/>
      <c r="BD23" s="363"/>
      <c r="BE23" s="363"/>
      <c r="BF23" s="363"/>
      <c r="BG23" s="363"/>
      <c r="BH23" s="363"/>
      <c r="BI23" s="363"/>
      <c r="BJ23" s="363"/>
      <c r="BK23" s="363"/>
      <c r="BL23" s="363"/>
      <c r="BM23" s="363"/>
      <c r="BN23" s="363"/>
      <c r="BO23" s="363"/>
      <c r="BP23" s="363"/>
      <c r="BQ23" s="363"/>
      <c r="BR23" s="363"/>
      <c r="BS23" s="363"/>
      <c r="BT23" s="363"/>
      <c r="BU23" s="363"/>
      <c r="BV23" s="363"/>
      <c r="BW23" s="363"/>
      <c r="BX23" s="363"/>
      <c r="BY23" s="363"/>
      <c r="BZ23" s="363"/>
      <c r="CA23" s="363"/>
      <c r="CB23" s="363"/>
      <c r="CC23" s="363"/>
      <c r="CD23" s="363"/>
      <c r="CE23" s="363"/>
      <c r="CF23" s="363"/>
      <c r="CG23" s="363"/>
      <c r="CH23" s="363"/>
      <c r="CI23" s="363"/>
      <c r="CJ23" s="363"/>
      <c r="CK23" s="363"/>
      <c r="CL23" s="363"/>
      <c r="CM23" s="363"/>
      <c r="CN23" s="363"/>
      <c r="CO23" s="363"/>
      <c r="CP23" s="363"/>
      <c r="CQ23" s="363"/>
      <c r="CR23" s="363"/>
      <c r="CS23" s="363"/>
      <c r="CT23" s="363"/>
      <c r="CU23" s="363"/>
      <c r="CV23" s="363"/>
      <c r="CW23" s="363"/>
      <c r="CX23" s="363"/>
      <c r="CY23" s="363"/>
      <c r="CZ23" s="363"/>
      <c r="DA23" s="363"/>
      <c r="DB23" s="363"/>
      <c r="DC23" s="363"/>
      <c r="DD23" s="363"/>
      <c r="DE23" s="363"/>
      <c r="DF23" s="363"/>
      <c r="DG23" s="363"/>
      <c r="DH23" s="363"/>
      <c r="DI23" s="363"/>
      <c r="DJ23" s="363"/>
      <c r="DK23" s="363"/>
      <c r="DL23" s="363"/>
      <c r="DM23" s="363"/>
      <c r="DN23" s="363"/>
      <c r="DO23" s="363"/>
      <c r="DP23" s="363"/>
      <c r="DQ23" s="363"/>
      <c r="DR23" s="363"/>
      <c r="DS23" s="363"/>
      <c r="DT23" s="363"/>
      <c r="DU23" s="363"/>
      <c r="DV23" s="363"/>
      <c r="DW23" s="363"/>
      <c r="DX23" s="363"/>
      <c r="DY23" s="363"/>
      <c r="DZ23" s="363"/>
      <c r="EA23" s="363"/>
      <c r="EB23" s="363"/>
      <c r="EC23" s="363"/>
      <c r="ED23" s="363"/>
      <c r="EE23" s="363"/>
      <c r="EF23" s="363"/>
      <c r="EG23" s="363"/>
      <c r="EH23" s="363"/>
      <c r="EI23" s="363"/>
      <c r="EJ23" s="363"/>
      <c r="EK23" s="363"/>
      <c r="EL23" s="363"/>
      <c r="EM23" s="363"/>
      <c r="EN23" s="363"/>
      <c r="EO23" s="363"/>
      <c r="EP23" s="363"/>
      <c r="EQ23" s="363"/>
      <c r="ER23" s="363"/>
      <c r="ES23" s="363"/>
      <c r="ET23" s="363"/>
      <c r="EU23" s="363"/>
      <c r="EV23" s="363"/>
      <c r="EW23" s="363"/>
      <c r="EX23" s="363"/>
      <c r="EY23" s="363"/>
      <c r="EZ23" s="363"/>
      <c r="FA23" s="363"/>
      <c r="FB23" s="363"/>
      <c r="FC23" s="363"/>
      <c r="FD23" s="363"/>
      <c r="FE23" s="363"/>
      <c r="FF23" s="363"/>
      <c r="FG23" s="363"/>
      <c r="FH23" s="363"/>
      <c r="FI23" s="363"/>
      <c r="FJ23" s="363"/>
      <c r="FK23" s="363"/>
      <c r="FL23" s="363"/>
      <c r="FM23" s="363"/>
      <c r="FN23" s="363"/>
      <c r="FO23" s="363"/>
      <c r="FP23" s="363"/>
      <c r="FQ23" s="363"/>
      <c r="FR23" s="363"/>
      <c r="FS23" s="363"/>
      <c r="FT23" s="363"/>
      <c r="FU23" s="363"/>
      <c r="FV23" s="363"/>
      <c r="FW23" s="363"/>
      <c r="FX23" s="363"/>
      <c r="FY23" s="363"/>
      <c r="FZ23" s="363"/>
      <c r="GA23" s="363"/>
      <c r="GB23" s="363"/>
      <c r="GC23" s="363"/>
      <c r="GD23" s="363"/>
      <c r="GE23" s="363"/>
      <c r="GF23" s="363"/>
      <c r="GG23" s="363"/>
      <c r="GH23" s="363"/>
      <c r="GI23" s="363"/>
      <c r="GJ23" s="363"/>
      <c r="GK23" s="363"/>
      <c r="GL23" s="363"/>
      <c r="GM23" s="363"/>
      <c r="GN23" s="363"/>
      <c r="GO23" s="363"/>
      <c r="GP23" s="363"/>
      <c r="GQ23" s="363"/>
      <c r="GR23" s="363"/>
      <c r="GS23" s="363"/>
      <c r="GT23" s="363"/>
      <c r="GU23" s="363"/>
      <c r="GV23" s="363"/>
      <c r="GW23" s="363"/>
      <c r="GX23" s="363"/>
      <c r="GY23" s="363"/>
      <c r="GZ23" s="363"/>
      <c r="HA23" s="363"/>
      <c r="HB23" s="363"/>
      <c r="HC23" s="363"/>
      <c r="HD23" s="363"/>
      <c r="HE23" s="363"/>
      <c r="HF23" s="363"/>
      <c r="HG23" s="363"/>
      <c r="HH23" s="363"/>
      <c r="HI23" s="363"/>
      <c r="HJ23" s="363"/>
      <c r="HK23" s="363"/>
      <c r="HL23" s="363"/>
      <c r="HM23" s="363"/>
      <c r="HN23" s="363"/>
      <c r="HO23" s="363"/>
      <c r="HP23" s="363"/>
      <c r="HQ23" s="363"/>
      <c r="HR23" s="363"/>
      <c r="HS23" s="363"/>
      <c r="HT23" s="363"/>
      <c r="HU23" s="363"/>
      <c r="HV23" s="363"/>
      <c r="HW23" s="363"/>
      <c r="HX23" s="363"/>
      <c r="HY23" s="363"/>
      <c r="HZ23" s="363"/>
      <c r="IA23" s="363"/>
      <c r="IB23" s="363"/>
    </row>
    <row r="24" ht="15.75" customHeight="1">
      <c r="A24" s="126" t="s">
        <v>444</v>
      </c>
      <c r="B24" s="123">
        <v>1318.0</v>
      </c>
      <c r="C24" s="123">
        <v>1319.76</v>
      </c>
      <c r="D24" s="123">
        <v>1320.07</v>
      </c>
      <c r="E24" s="148">
        <v>1320.8</v>
      </c>
      <c r="F24" s="370">
        <v>1321.28</v>
      </c>
      <c r="G24" s="370">
        <v>1322.1</v>
      </c>
      <c r="H24" s="370">
        <v>1323.01</v>
      </c>
      <c r="I24" s="370">
        <v>1323.51</v>
      </c>
      <c r="J24" s="370">
        <v>1324.13</v>
      </c>
      <c r="K24" s="370">
        <v>1324.88</v>
      </c>
      <c r="L24" s="370">
        <v>1325.5</v>
      </c>
      <c r="M24" s="370">
        <v>1326.6</v>
      </c>
      <c r="N24" s="370">
        <v>1327.6</v>
      </c>
      <c r="O24" s="3">
        <v>1328.8</v>
      </c>
      <c r="P24" s="3">
        <v>1329.6</v>
      </c>
      <c r="Q24" s="3">
        <v>1330.39</v>
      </c>
      <c r="R24" s="3">
        <v>1330.97</v>
      </c>
      <c r="S24" s="3">
        <v>1331.38</v>
      </c>
      <c r="T24" s="3">
        <v>1331.8</v>
      </c>
      <c r="U24" s="3">
        <v>1332.24</v>
      </c>
      <c r="V24" s="3">
        <v>1332.94</v>
      </c>
      <c r="W24" s="3">
        <v>1333.77</v>
      </c>
      <c r="X24" s="3">
        <v>1334.63</v>
      </c>
      <c r="Y24" s="3">
        <v>1335.55</v>
      </c>
      <c r="Z24" s="3">
        <v>1336.83</v>
      </c>
      <c r="AA24" s="3">
        <v>1337.22</v>
      </c>
      <c r="AB24" s="3">
        <v>1338.24</v>
      </c>
      <c r="AC24" s="3">
        <v>1338.94</v>
      </c>
      <c r="AD24" s="3">
        <v>1339.73</v>
      </c>
      <c r="AE24" s="3">
        <v>1340.34</v>
      </c>
      <c r="AF24" s="3">
        <v>1340.915</v>
      </c>
      <c r="AG24" s="3">
        <v>1341.694</v>
      </c>
      <c r="AH24" s="3">
        <v>1342.558</v>
      </c>
      <c r="AI24" s="3">
        <v>1343.386</v>
      </c>
      <c r="AJ24" s="3">
        <v>1344.25</v>
      </c>
      <c r="AK24" s="3">
        <v>1344.9</v>
      </c>
      <c r="AL24" s="3">
        <v>1345.57</v>
      </c>
      <c r="AM24" s="3">
        <v>1346.174</v>
      </c>
      <c r="AN24" s="3">
        <v>1346.927</v>
      </c>
      <c r="AO24" s="3">
        <v>1347.676</v>
      </c>
      <c r="AP24" s="3">
        <v>1348.659</v>
      </c>
      <c r="AQ24" s="3">
        <v>1349.306</v>
      </c>
      <c r="AR24" s="3">
        <v>1349.957</v>
      </c>
      <c r="AS24" s="3">
        <v>1350.536</v>
      </c>
      <c r="AT24" s="3">
        <v>1351.208</v>
      </c>
      <c r="AU24" s="3">
        <v>1351.745</v>
      </c>
      <c r="AV24" s="3">
        <v>1352.14</v>
      </c>
      <c r="AW24" s="3">
        <v>1352.78</v>
      </c>
      <c r="AX24" s="3">
        <v>1353.15</v>
      </c>
      <c r="AY24" s="3">
        <v>1353.63</v>
      </c>
      <c r="AZ24" s="3">
        <v>1353.98</v>
      </c>
      <c r="BA24" s="3">
        <v>1354.25</v>
      </c>
      <c r="BB24" s="3">
        <v>1354.76</v>
      </c>
      <c r="BC24" s="3">
        <v>1355.25</v>
      </c>
      <c r="BD24" s="3">
        <v>1355.86</v>
      </c>
      <c r="BE24" s="3">
        <v>1356.54</v>
      </c>
      <c r="BF24" s="3">
        <v>1357.14</v>
      </c>
      <c r="BG24" s="3">
        <v>1357.52</v>
      </c>
      <c r="BH24" s="3">
        <v>1358.09</v>
      </c>
      <c r="BI24" s="3">
        <v>1358.41</v>
      </c>
      <c r="BJ24" s="3">
        <v>1358.898</v>
      </c>
      <c r="BK24" s="3">
        <v>1359.2</v>
      </c>
      <c r="BL24" s="3">
        <v>1359.5</v>
      </c>
      <c r="BM24" s="3">
        <v>1359.92</v>
      </c>
      <c r="BN24" s="3">
        <v>1359.99</v>
      </c>
      <c r="BO24" s="3">
        <v>1360.45</v>
      </c>
      <c r="BP24" s="3">
        <v>1360.902</v>
      </c>
      <c r="BQ24" s="3">
        <v>1361.38</v>
      </c>
      <c r="BR24" s="3">
        <v>1361.78</v>
      </c>
      <c r="BS24" s="3">
        <v>1362.13</v>
      </c>
      <c r="BT24" s="3">
        <v>1362.41</v>
      </c>
      <c r="BU24" s="3">
        <v>1362.8</v>
      </c>
      <c r="BV24" s="3">
        <v>1363.18</v>
      </c>
      <c r="BW24" s="3">
        <v>1363.5</v>
      </c>
      <c r="BX24" s="3">
        <v>1363.94</v>
      </c>
      <c r="BY24" s="3">
        <v>1364.2</v>
      </c>
      <c r="BZ24" s="3">
        <v>1364.56</v>
      </c>
      <c r="CA24" s="3">
        <v>1364.86</v>
      </c>
      <c r="CB24" s="3">
        <v>1365.02</v>
      </c>
      <c r="CC24" s="3">
        <v>1365.58</v>
      </c>
      <c r="CD24" s="3">
        <v>1365.9</v>
      </c>
      <c r="CE24" s="3">
        <v>1366.43</v>
      </c>
      <c r="CF24" s="3">
        <v>1366.89</v>
      </c>
      <c r="CG24" s="3">
        <v>1367.11</v>
      </c>
      <c r="CH24" s="3">
        <v>1367.51</v>
      </c>
      <c r="CI24" s="3">
        <v>1367.84</v>
      </c>
      <c r="CJ24" s="3">
        <v>1368.39</v>
      </c>
      <c r="CK24" s="3">
        <v>1368.79</v>
      </c>
      <c r="CL24" s="3">
        <v>1369.21</v>
      </c>
      <c r="CM24" s="3">
        <v>1369.57</v>
      </c>
      <c r="CN24" s="3">
        <v>1370.024</v>
      </c>
      <c r="CO24" s="3">
        <v>1370.33</v>
      </c>
      <c r="CP24" s="3">
        <v>1370.8</v>
      </c>
      <c r="CQ24" s="3">
        <v>1371.1</v>
      </c>
      <c r="CR24" s="3">
        <v>1371.661</v>
      </c>
      <c r="CS24" s="3">
        <v>1371.933</v>
      </c>
      <c r="CT24" s="3">
        <v>1372.415</v>
      </c>
      <c r="CU24" s="3">
        <v>1372.92</v>
      </c>
      <c r="CV24" s="3">
        <v>1373.23</v>
      </c>
      <c r="CW24" s="3">
        <v>1373.6</v>
      </c>
      <c r="CX24" s="3">
        <v>1373.94</v>
      </c>
      <c r="CY24" s="3">
        <v>1374.44</v>
      </c>
      <c r="CZ24" s="3">
        <v>1374.79</v>
      </c>
      <c r="DA24" s="3">
        <v>1375.2</v>
      </c>
      <c r="DB24" s="3">
        <v>1375.71</v>
      </c>
      <c r="DC24" s="3">
        <v>1376.17</v>
      </c>
      <c r="DD24" s="3">
        <v>1376.67</v>
      </c>
      <c r="DE24" s="3">
        <v>1377.06</v>
      </c>
      <c r="DF24" s="3">
        <v>1377.78</v>
      </c>
      <c r="DG24" s="3">
        <v>1378.09</v>
      </c>
      <c r="DH24" s="3">
        <v>1378.56</v>
      </c>
      <c r="DI24" s="3">
        <v>1379.09</v>
      </c>
      <c r="DJ24" s="3">
        <v>1379.68</v>
      </c>
      <c r="DK24" s="3">
        <v>1380.17</v>
      </c>
      <c r="DL24" s="3">
        <v>1380.56</v>
      </c>
      <c r="DM24" s="3">
        <v>1380.998</v>
      </c>
      <c r="DN24" s="3">
        <v>1381.45</v>
      </c>
      <c r="DO24" s="3">
        <v>1381.85</v>
      </c>
      <c r="DP24" s="3">
        <v>1382.24</v>
      </c>
      <c r="DQ24" s="3">
        <v>1382.656</v>
      </c>
      <c r="DR24" s="3">
        <v>1383.08</v>
      </c>
      <c r="DS24" s="3">
        <v>1383.92</v>
      </c>
      <c r="DT24" s="3">
        <v>1384.01</v>
      </c>
      <c r="DU24" s="3">
        <v>1384.21</v>
      </c>
      <c r="DV24" s="3">
        <v>1384.56</v>
      </c>
      <c r="DW24" s="3">
        <v>1384.93</v>
      </c>
      <c r="DX24" s="3">
        <v>1385.35</v>
      </c>
      <c r="DY24" s="3">
        <v>1385.81</v>
      </c>
      <c r="DZ24" s="3">
        <v>1386.21</v>
      </c>
      <c r="EA24" s="3">
        <v>1386.6</v>
      </c>
      <c r="EB24" s="3">
        <v>1387.17</v>
      </c>
      <c r="EC24" s="3">
        <v>1387.21</v>
      </c>
      <c r="ED24" s="3">
        <v>1388.03</v>
      </c>
      <c r="EE24" s="3">
        <v>1388.81</v>
      </c>
      <c r="EF24" s="3">
        <v>1389.14</v>
      </c>
      <c r="EG24" s="3">
        <v>1389.53</v>
      </c>
      <c r="EH24" s="3">
        <v>1389.91</v>
      </c>
      <c r="EI24" s="3">
        <v>1390.35</v>
      </c>
      <c r="EJ24" s="3">
        <v>1390.82</v>
      </c>
      <c r="EK24" s="3">
        <v>1391.08</v>
      </c>
      <c r="EL24" s="3">
        <v>1391.39</v>
      </c>
      <c r="EM24" s="3">
        <v>1391.76</v>
      </c>
      <c r="EN24" s="3">
        <v>1392.12</v>
      </c>
      <c r="EO24" s="3">
        <v>1392.47</v>
      </c>
      <c r="EP24" s="3">
        <v>1392.88</v>
      </c>
      <c r="EQ24" s="3">
        <v>1393.39</v>
      </c>
      <c r="ER24" s="3">
        <v>1393.81</v>
      </c>
      <c r="ES24" s="3">
        <v>1394.78</v>
      </c>
      <c r="ET24" s="3">
        <v>1395.19</v>
      </c>
      <c r="EU24" s="3">
        <v>1395.59</v>
      </c>
      <c r="EV24" s="3">
        <v>1395.85</v>
      </c>
      <c r="EW24" s="3">
        <v>1396.41</v>
      </c>
      <c r="EX24" s="3">
        <v>1397.02</v>
      </c>
      <c r="EY24" s="3">
        <v>1397.56</v>
      </c>
      <c r="EZ24" s="3">
        <v>1398.09</v>
      </c>
      <c r="FA24" s="3">
        <v>1398.69</v>
      </c>
      <c r="FB24" s="3">
        <v>1399.12</v>
      </c>
      <c r="FC24" s="3">
        <v>1399.84</v>
      </c>
      <c r="FD24" s="3">
        <v>1400.33</v>
      </c>
      <c r="FE24" s="3">
        <v>1400.77</v>
      </c>
      <c r="FF24" s="3">
        <v>1401.14</v>
      </c>
      <c r="FG24" s="3">
        <v>1401.82</v>
      </c>
      <c r="FH24" s="3">
        <v>1402.23</v>
      </c>
      <c r="FI24" s="3">
        <v>1403.0</v>
      </c>
      <c r="FJ24" s="3">
        <v>1403.864</v>
      </c>
      <c r="FK24" s="3">
        <v>1404.71</v>
      </c>
      <c r="FL24" s="3">
        <v>1406.21</v>
      </c>
      <c r="FM24" s="3">
        <v>1407.02</v>
      </c>
      <c r="FN24" s="3">
        <v>1409.18</v>
      </c>
      <c r="FO24" s="3">
        <v>1410.29</v>
      </c>
      <c r="FP24" s="3">
        <v>1411.56</v>
      </c>
      <c r="FQ24" s="3">
        <v>1412.83</v>
      </c>
      <c r="FR24" s="3">
        <v>1413.97</v>
      </c>
      <c r="FS24" s="3">
        <v>1414.61</v>
      </c>
      <c r="FT24" s="3">
        <v>1415.39</v>
      </c>
      <c r="FU24" s="3">
        <v>1415.89</v>
      </c>
      <c r="FV24" s="3">
        <v>1416.0</v>
      </c>
      <c r="FW24" s="3">
        <v>1416.43</v>
      </c>
      <c r="FX24" s="3">
        <v>1417.12</v>
      </c>
      <c r="FY24" s="3">
        <v>1417.84</v>
      </c>
      <c r="FZ24" s="3">
        <v>1418.62</v>
      </c>
      <c r="GA24" s="3">
        <v>1419.23</v>
      </c>
      <c r="GB24" s="3">
        <v>1420.22</v>
      </c>
      <c r="GC24" s="3">
        <v>1421.23</v>
      </c>
      <c r="GD24" s="3">
        <v>1422.18</v>
      </c>
      <c r="GE24" s="3">
        <v>1423.12</v>
      </c>
      <c r="GF24" s="3">
        <v>1424.24</v>
      </c>
      <c r="GG24" s="3">
        <v>1425.54</v>
      </c>
      <c r="GH24" s="3">
        <v>1426.95</v>
      </c>
      <c r="GI24" s="3">
        <v>1428.26</v>
      </c>
      <c r="GJ24" s="3">
        <v>1429.44</v>
      </c>
      <c r="GK24" s="3">
        <v>1430.5</v>
      </c>
      <c r="GL24" s="3">
        <v>1431.54</v>
      </c>
      <c r="GM24" s="3">
        <v>1432.68</v>
      </c>
      <c r="GN24" s="3">
        <v>1433.73</v>
      </c>
      <c r="GO24" s="3">
        <v>1434.97</v>
      </c>
      <c r="GP24" s="3">
        <v>1436.32</v>
      </c>
      <c r="GQ24" s="3">
        <v>1437.55</v>
      </c>
      <c r="GR24" s="3">
        <v>1438.83</v>
      </c>
      <c r="GS24" s="3">
        <v>1440.029</v>
      </c>
      <c r="GT24" s="3">
        <v>1441.64</v>
      </c>
      <c r="GU24" s="3">
        <v>1443.27</v>
      </c>
      <c r="GV24" s="3">
        <v>1444.5</v>
      </c>
      <c r="GW24" s="3">
        <v>1445.78</v>
      </c>
      <c r="GX24" s="3">
        <v>1447.01</v>
      </c>
      <c r="GY24" s="3">
        <v>1448.59</v>
      </c>
      <c r="GZ24" s="3">
        <v>1449.56</v>
      </c>
      <c r="HA24" s="3">
        <v>1450.78</v>
      </c>
      <c r="HB24" s="3">
        <v>1451.65</v>
      </c>
      <c r="HC24" s="3">
        <v>1452.06</v>
      </c>
      <c r="HD24" s="3">
        <v>1453.06</v>
      </c>
      <c r="HE24" s="3">
        <v>1454.24</v>
      </c>
      <c r="HF24" s="3">
        <v>1454.48</v>
      </c>
      <c r="HG24" s="3">
        <v>1455.01</v>
      </c>
      <c r="HH24" s="3">
        <v>1456.85</v>
      </c>
      <c r="HI24" s="3">
        <v>1461.03</v>
      </c>
      <c r="HJ24" s="3">
        <v>1462.29</v>
      </c>
      <c r="HK24" s="3">
        <v>1463.84</v>
      </c>
      <c r="HL24" s="3">
        <v>1465.39</v>
      </c>
      <c r="HM24" s="3">
        <v>1466.84</v>
      </c>
      <c r="HN24" s="3">
        <v>1467.18</v>
      </c>
      <c r="HO24" s="3">
        <v>1468.28</v>
      </c>
      <c r="HP24" s="3">
        <v>1469.55</v>
      </c>
      <c r="HQ24" s="3">
        <v>1470.91</v>
      </c>
      <c r="HR24" s="3">
        <v>1472.18</v>
      </c>
      <c r="HS24" s="3">
        <v>1474.585</v>
      </c>
      <c r="HT24" s="3">
        <v>1477.085</v>
      </c>
      <c r="HU24" s="3">
        <v>1479.14</v>
      </c>
      <c r="HV24" s="3">
        <v>1481.13</v>
      </c>
      <c r="HW24" s="3">
        <v>1484.19</v>
      </c>
      <c r="HX24" s="3">
        <v>1487.66</v>
      </c>
      <c r="HY24" s="3"/>
      <c r="HZ24" s="3"/>
      <c r="IA24" s="3"/>
      <c r="IB24" s="3"/>
    </row>
    <row r="25" ht="15.75" customHeight="1">
      <c r="A25" s="364" t="s">
        <v>156</v>
      </c>
      <c r="B25" s="365"/>
      <c r="C25" s="371">
        <f t="shared" ref="C25:HZ25" si="8">C24-B24</f>
        <v>1.76</v>
      </c>
      <c r="D25" s="371">
        <f t="shared" si="8"/>
        <v>0.31</v>
      </c>
      <c r="E25" s="371">
        <f t="shared" si="8"/>
        <v>0.73</v>
      </c>
      <c r="F25" s="371">
        <f t="shared" si="8"/>
        <v>0.48</v>
      </c>
      <c r="G25" s="371">
        <f t="shared" si="8"/>
        <v>0.82</v>
      </c>
      <c r="H25" s="371">
        <f t="shared" si="8"/>
        <v>0.91</v>
      </c>
      <c r="I25" s="371">
        <f t="shared" si="8"/>
        <v>0.5</v>
      </c>
      <c r="J25" s="371">
        <f t="shared" si="8"/>
        <v>0.62</v>
      </c>
      <c r="K25" s="371">
        <f t="shared" si="8"/>
        <v>0.75</v>
      </c>
      <c r="L25" s="371">
        <f t="shared" si="8"/>
        <v>0.62</v>
      </c>
      <c r="M25" s="371">
        <f t="shared" si="8"/>
        <v>1.1</v>
      </c>
      <c r="N25" s="371">
        <f t="shared" si="8"/>
        <v>1</v>
      </c>
      <c r="O25" s="371">
        <f t="shared" si="8"/>
        <v>1.2</v>
      </c>
      <c r="P25" s="371">
        <f t="shared" si="8"/>
        <v>0.8</v>
      </c>
      <c r="Q25" s="371">
        <f t="shared" si="8"/>
        <v>0.79</v>
      </c>
      <c r="R25" s="371">
        <f t="shared" si="8"/>
        <v>0.58</v>
      </c>
      <c r="S25" s="371">
        <f t="shared" si="8"/>
        <v>0.41</v>
      </c>
      <c r="T25" s="371">
        <f t="shared" si="8"/>
        <v>0.42</v>
      </c>
      <c r="U25" s="371">
        <f t="shared" si="8"/>
        <v>0.44</v>
      </c>
      <c r="V25" s="371">
        <f t="shared" si="8"/>
        <v>0.7</v>
      </c>
      <c r="W25" s="371">
        <f t="shared" si="8"/>
        <v>0.83</v>
      </c>
      <c r="X25" s="371">
        <f t="shared" si="8"/>
        <v>0.86</v>
      </c>
      <c r="Y25" s="371">
        <f t="shared" si="8"/>
        <v>0.92</v>
      </c>
      <c r="Z25" s="371">
        <f t="shared" si="8"/>
        <v>1.28</v>
      </c>
      <c r="AA25" s="371">
        <f t="shared" si="8"/>
        <v>0.39</v>
      </c>
      <c r="AB25" s="371">
        <f t="shared" si="8"/>
        <v>1.02</v>
      </c>
      <c r="AC25" s="371">
        <f t="shared" si="8"/>
        <v>0.7</v>
      </c>
      <c r="AD25" s="371">
        <f t="shared" si="8"/>
        <v>0.79</v>
      </c>
      <c r="AE25" s="371">
        <f t="shared" si="8"/>
        <v>0.61</v>
      </c>
      <c r="AF25" s="371">
        <f t="shared" si="8"/>
        <v>0.575</v>
      </c>
      <c r="AG25" s="371">
        <f t="shared" si="8"/>
        <v>0.779</v>
      </c>
      <c r="AH25" s="371">
        <f t="shared" si="8"/>
        <v>0.864</v>
      </c>
      <c r="AI25" s="371">
        <f t="shared" si="8"/>
        <v>0.828</v>
      </c>
      <c r="AJ25" s="371">
        <f t="shared" si="8"/>
        <v>0.864</v>
      </c>
      <c r="AK25" s="371">
        <f t="shared" si="8"/>
        <v>0.65</v>
      </c>
      <c r="AL25" s="371">
        <f t="shared" si="8"/>
        <v>0.67</v>
      </c>
      <c r="AM25" s="371">
        <f t="shared" si="8"/>
        <v>0.604</v>
      </c>
      <c r="AN25" s="371">
        <f t="shared" si="8"/>
        <v>0.753</v>
      </c>
      <c r="AO25" s="371">
        <f t="shared" si="8"/>
        <v>0.749</v>
      </c>
      <c r="AP25" s="371">
        <f t="shared" si="8"/>
        <v>0.983</v>
      </c>
      <c r="AQ25" s="371">
        <f t="shared" si="8"/>
        <v>0.647</v>
      </c>
      <c r="AR25" s="371">
        <f t="shared" si="8"/>
        <v>0.651</v>
      </c>
      <c r="AS25" s="371">
        <f t="shared" si="8"/>
        <v>0.579</v>
      </c>
      <c r="AT25" s="371">
        <f t="shared" si="8"/>
        <v>0.672</v>
      </c>
      <c r="AU25" s="371">
        <f t="shared" si="8"/>
        <v>0.537</v>
      </c>
      <c r="AV25" s="371">
        <f t="shared" si="8"/>
        <v>0.395</v>
      </c>
      <c r="AW25" s="371">
        <f t="shared" si="8"/>
        <v>0.64</v>
      </c>
      <c r="AX25" s="371">
        <f t="shared" si="8"/>
        <v>0.37</v>
      </c>
      <c r="AY25" s="371">
        <f t="shared" si="8"/>
        <v>0.48</v>
      </c>
      <c r="AZ25" s="371">
        <f t="shared" si="8"/>
        <v>0.35</v>
      </c>
      <c r="BA25" s="371">
        <f t="shared" si="8"/>
        <v>0.27</v>
      </c>
      <c r="BB25" s="371">
        <f t="shared" si="8"/>
        <v>0.51</v>
      </c>
      <c r="BC25" s="371">
        <f t="shared" si="8"/>
        <v>0.49</v>
      </c>
      <c r="BD25" s="371">
        <f t="shared" si="8"/>
        <v>0.61</v>
      </c>
      <c r="BE25" s="371">
        <f t="shared" si="8"/>
        <v>0.68</v>
      </c>
      <c r="BF25" s="371">
        <f t="shared" si="8"/>
        <v>0.6</v>
      </c>
      <c r="BG25" s="371">
        <f t="shared" si="8"/>
        <v>0.38</v>
      </c>
      <c r="BH25" s="371">
        <f t="shared" si="8"/>
        <v>0.57</v>
      </c>
      <c r="BI25" s="371">
        <f t="shared" si="8"/>
        <v>0.32</v>
      </c>
      <c r="BJ25" s="371">
        <f t="shared" si="8"/>
        <v>0.488</v>
      </c>
      <c r="BK25" s="371">
        <f t="shared" si="8"/>
        <v>0.302</v>
      </c>
      <c r="BL25" s="371">
        <f t="shared" si="8"/>
        <v>0.3</v>
      </c>
      <c r="BM25" s="371">
        <f t="shared" si="8"/>
        <v>0.42</v>
      </c>
      <c r="BN25" s="371">
        <f t="shared" si="8"/>
        <v>0.07</v>
      </c>
      <c r="BO25" s="371">
        <f t="shared" si="8"/>
        <v>0.46</v>
      </c>
      <c r="BP25" s="371">
        <f t="shared" si="8"/>
        <v>0.452</v>
      </c>
      <c r="BQ25" s="371">
        <f t="shared" si="8"/>
        <v>0.478</v>
      </c>
      <c r="BR25" s="371">
        <f t="shared" si="8"/>
        <v>0.4</v>
      </c>
      <c r="BS25" s="371">
        <f t="shared" si="8"/>
        <v>0.35</v>
      </c>
      <c r="BT25" s="371">
        <f t="shared" si="8"/>
        <v>0.28</v>
      </c>
      <c r="BU25" s="371">
        <f t="shared" si="8"/>
        <v>0.39</v>
      </c>
      <c r="BV25" s="371">
        <f t="shared" si="8"/>
        <v>0.38</v>
      </c>
      <c r="BW25" s="371">
        <f t="shared" si="8"/>
        <v>0.32</v>
      </c>
      <c r="BX25" s="371">
        <f t="shared" si="8"/>
        <v>0.44</v>
      </c>
      <c r="BY25" s="371">
        <f t="shared" si="8"/>
        <v>0.26</v>
      </c>
      <c r="BZ25" s="371">
        <f t="shared" si="8"/>
        <v>0.36</v>
      </c>
      <c r="CA25" s="371">
        <f t="shared" si="8"/>
        <v>0.3</v>
      </c>
      <c r="CB25" s="371">
        <f t="shared" si="8"/>
        <v>0.16</v>
      </c>
      <c r="CC25" s="371">
        <f t="shared" si="8"/>
        <v>0.56</v>
      </c>
      <c r="CD25" s="371">
        <f t="shared" si="8"/>
        <v>0.32</v>
      </c>
      <c r="CE25" s="371">
        <f t="shared" si="8"/>
        <v>0.53</v>
      </c>
      <c r="CF25" s="371">
        <f t="shared" si="8"/>
        <v>0.46</v>
      </c>
      <c r="CG25" s="371">
        <f t="shared" si="8"/>
        <v>0.22</v>
      </c>
      <c r="CH25" s="371">
        <f t="shared" si="8"/>
        <v>0.4</v>
      </c>
      <c r="CI25" s="371">
        <f t="shared" si="8"/>
        <v>0.33</v>
      </c>
      <c r="CJ25" s="371">
        <f t="shared" si="8"/>
        <v>0.55</v>
      </c>
      <c r="CK25" s="371">
        <f t="shared" si="8"/>
        <v>0.4</v>
      </c>
      <c r="CL25" s="371">
        <f t="shared" si="8"/>
        <v>0.42</v>
      </c>
      <c r="CM25" s="371">
        <f t="shared" si="8"/>
        <v>0.36</v>
      </c>
      <c r="CN25" s="371">
        <f t="shared" si="8"/>
        <v>0.454</v>
      </c>
      <c r="CO25" s="371">
        <f t="shared" si="8"/>
        <v>0.306</v>
      </c>
      <c r="CP25" s="371">
        <f t="shared" si="8"/>
        <v>0.47</v>
      </c>
      <c r="CQ25" s="371">
        <f t="shared" si="8"/>
        <v>0.3</v>
      </c>
      <c r="CR25" s="371">
        <f t="shared" si="8"/>
        <v>0.561</v>
      </c>
      <c r="CS25" s="371">
        <f t="shared" si="8"/>
        <v>0.272</v>
      </c>
      <c r="CT25" s="371">
        <f t="shared" si="8"/>
        <v>0.482</v>
      </c>
      <c r="CU25" s="371">
        <f t="shared" si="8"/>
        <v>0.505</v>
      </c>
      <c r="CV25" s="371">
        <f t="shared" si="8"/>
        <v>0.31</v>
      </c>
      <c r="CW25" s="371">
        <f t="shared" si="8"/>
        <v>0.37</v>
      </c>
      <c r="CX25" s="371">
        <f t="shared" si="8"/>
        <v>0.34</v>
      </c>
      <c r="CY25" s="371">
        <f t="shared" si="8"/>
        <v>0.5</v>
      </c>
      <c r="CZ25" s="371">
        <f t="shared" si="8"/>
        <v>0.35</v>
      </c>
      <c r="DA25" s="371">
        <f t="shared" si="8"/>
        <v>0.41</v>
      </c>
      <c r="DB25" s="371">
        <f t="shared" si="8"/>
        <v>0.51</v>
      </c>
      <c r="DC25" s="371">
        <f t="shared" si="8"/>
        <v>0.46</v>
      </c>
      <c r="DD25" s="371">
        <f t="shared" si="8"/>
        <v>0.5</v>
      </c>
      <c r="DE25" s="371">
        <f t="shared" si="8"/>
        <v>0.39</v>
      </c>
      <c r="DF25" s="371">
        <f t="shared" si="8"/>
        <v>0.72</v>
      </c>
      <c r="DG25" s="371">
        <f t="shared" si="8"/>
        <v>0.31</v>
      </c>
      <c r="DH25" s="371">
        <f t="shared" si="8"/>
        <v>0.47</v>
      </c>
      <c r="DI25" s="371">
        <f t="shared" si="8"/>
        <v>0.53</v>
      </c>
      <c r="DJ25" s="371">
        <f t="shared" si="8"/>
        <v>0.59</v>
      </c>
      <c r="DK25" s="371">
        <f t="shared" si="8"/>
        <v>0.49</v>
      </c>
      <c r="DL25" s="371">
        <f t="shared" si="8"/>
        <v>0.39</v>
      </c>
      <c r="DM25" s="371">
        <f t="shared" si="8"/>
        <v>0.438</v>
      </c>
      <c r="DN25" s="371">
        <f t="shared" si="8"/>
        <v>0.452</v>
      </c>
      <c r="DO25" s="371">
        <f t="shared" si="8"/>
        <v>0.4</v>
      </c>
      <c r="DP25" s="371">
        <f t="shared" si="8"/>
        <v>0.39</v>
      </c>
      <c r="DQ25" s="371">
        <f t="shared" si="8"/>
        <v>0.416</v>
      </c>
      <c r="DR25" s="371">
        <f t="shared" si="8"/>
        <v>0.424</v>
      </c>
      <c r="DS25" s="371">
        <f t="shared" si="8"/>
        <v>0.84</v>
      </c>
      <c r="DT25" s="371">
        <f t="shared" si="8"/>
        <v>0.09</v>
      </c>
      <c r="DU25" s="371">
        <f t="shared" si="8"/>
        <v>0.2</v>
      </c>
      <c r="DV25" s="371">
        <f t="shared" si="8"/>
        <v>0.35</v>
      </c>
      <c r="DW25" s="371">
        <f t="shared" si="8"/>
        <v>0.37</v>
      </c>
      <c r="DX25" s="371">
        <f t="shared" si="8"/>
        <v>0.42</v>
      </c>
      <c r="DY25" s="371">
        <f t="shared" si="8"/>
        <v>0.46</v>
      </c>
      <c r="DZ25" s="371">
        <f t="shared" si="8"/>
        <v>0.4</v>
      </c>
      <c r="EA25" s="371">
        <f t="shared" si="8"/>
        <v>0.39</v>
      </c>
      <c r="EB25" s="371">
        <f t="shared" si="8"/>
        <v>0.57</v>
      </c>
      <c r="EC25" s="371">
        <f t="shared" si="8"/>
        <v>0.04</v>
      </c>
      <c r="ED25" s="371">
        <f t="shared" si="8"/>
        <v>0.82</v>
      </c>
      <c r="EE25" s="371">
        <f t="shared" si="8"/>
        <v>0.78</v>
      </c>
      <c r="EF25" s="371">
        <f t="shared" si="8"/>
        <v>0.33</v>
      </c>
      <c r="EG25" s="371">
        <f t="shared" si="8"/>
        <v>0.39</v>
      </c>
      <c r="EH25" s="371">
        <f t="shared" si="8"/>
        <v>0.38</v>
      </c>
      <c r="EI25" s="371">
        <f t="shared" si="8"/>
        <v>0.44</v>
      </c>
      <c r="EJ25" s="371">
        <f t="shared" si="8"/>
        <v>0.47</v>
      </c>
      <c r="EK25" s="371">
        <f t="shared" si="8"/>
        <v>0.26</v>
      </c>
      <c r="EL25" s="371">
        <f t="shared" si="8"/>
        <v>0.31</v>
      </c>
      <c r="EM25" s="371">
        <f t="shared" si="8"/>
        <v>0.37</v>
      </c>
      <c r="EN25" s="371">
        <f t="shared" si="8"/>
        <v>0.36</v>
      </c>
      <c r="EO25" s="371">
        <f t="shared" si="8"/>
        <v>0.35</v>
      </c>
      <c r="EP25" s="371">
        <f t="shared" si="8"/>
        <v>0.41</v>
      </c>
      <c r="EQ25" s="371">
        <f t="shared" si="8"/>
        <v>0.51</v>
      </c>
      <c r="ER25" s="371">
        <f t="shared" si="8"/>
        <v>0.42</v>
      </c>
      <c r="ES25" s="371">
        <f t="shared" si="8"/>
        <v>0.97</v>
      </c>
      <c r="ET25" s="371">
        <f t="shared" si="8"/>
        <v>0.41</v>
      </c>
      <c r="EU25" s="371">
        <f t="shared" si="8"/>
        <v>0.4</v>
      </c>
      <c r="EV25" s="371">
        <f t="shared" si="8"/>
        <v>0.26</v>
      </c>
      <c r="EW25" s="371">
        <f t="shared" si="8"/>
        <v>0.56</v>
      </c>
      <c r="EX25" s="371">
        <f t="shared" si="8"/>
        <v>0.61</v>
      </c>
      <c r="EY25" s="371">
        <f t="shared" si="8"/>
        <v>0.54</v>
      </c>
      <c r="EZ25" s="371">
        <f t="shared" si="8"/>
        <v>0.53</v>
      </c>
      <c r="FA25" s="371">
        <f t="shared" si="8"/>
        <v>0.6</v>
      </c>
      <c r="FB25" s="371">
        <f t="shared" si="8"/>
        <v>0.43</v>
      </c>
      <c r="FC25" s="371">
        <f t="shared" si="8"/>
        <v>0.72</v>
      </c>
      <c r="FD25" s="371">
        <f t="shared" si="8"/>
        <v>0.49</v>
      </c>
      <c r="FE25" s="371">
        <f t="shared" si="8"/>
        <v>0.44</v>
      </c>
      <c r="FF25" s="371">
        <f t="shared" si="8"/>
        <v>0.37</v>
      </c>
      <c r="FG25" s="371">
        <f t="shared" si="8"/>
        <v>0.68</v>
      </c>
      <c r="FH25" s="371">
        <f t="shared" si="8"/>
        <v>0.41</v>
      </c>
      <c r="FI25" s="371">
        <f t="shared" si="8"/>
        <v>0.77</v>
      </c>
      <c r="FJ25" s="371">
        <f t="shared" si="8"/>
        <v>0.864</v>
      </c>
      <c r="FK25" s="371">
        <f t="shared" si="8"/>
        <v>0.846</v>
      </c>
      <c r="FL25" s="371">
        <f t="shared" si="8"/>
        <v>1.5</v>
      </c>
      <c r="FM25" s="371">
        <f t="shared" si="8"/>
        <v>0.81</v>
      </c>
      <c r="FN25" s="371">
        <f t="shared" si="8"/>
        <v>2.16</v>
      </c>
      <c r="FO25" s="371">
        <f t="shared" si="8"/>
        <v>1.11</v>
      </c>
      <c r="FP25" s="371">
        <f t="shared" si="8"/>
        <v>1.27</v>
      </c>
      <c r="FQ25" s="371">
        <f t="shared" si="8"/>
        <v>1.27</v>
      </c>
      <c r="FR25" s="371">
        <f t="shared" si="8"/>
        <v>1.14</v>
      </c>
      <c r="FS25" s="371">
        <f t="shared" si="8"/>
        <v>0.64</v>
      </c>
      <c r="FT25" s="371">
        <f t="shared" si="8"/>
        <v>0.78</v>
      </c>
      <c r="FU25" s="371">
        <f t="shared" si="8"/>
        <v>0.5</v>
      </c>
      <c r="FV25" s="371">
        <f t="shared" si="8"/>
        <v>0.11</v>
      </c>
      <c r="FW25" s="371">
        <f t="shared" si="8"/>
        <v>0.43</v>
      </c>
      <c r="FX25" s="371">
        <f t="shared" si="8"/>
        <v>0.69</v>
      </c>
      <c r="FY25" s="371">
        <f t="shared" si="8"/>
        <v>0.72</v>
      </c>
      <c r="FZ25" s="371">
        <f t="shared" si="8"/>
        <v>0.78</v>
      </c>
      <c r="GA25" s="371">
        <f t="shared" si="8"/>
        <v>0.61</v>
      </c>
      <c r="GB25" s="371">
        <f t="shared" si="8"/>
        <v>0.99</v>
      </c>
      <c r="GC25" s="371">
        <f t="shared" si="8"/>
        <v>1.01</v>
      </c>
      <c r="GD25" s="371">
        <f t="shared" si="8"/>
        <v>0.95</v>
      </c>
      <c r="GE25" s="371">
        <f t="shared" si="8"/>
        <v>0.94</v>
      </c>
      <c r="GF25" s="371">
        <f t="shared" si="8"/>
        <v>1.12</v>
      </c>
      <c r="GG25" s="371">
        <f t="shared" si="8"/>
        <v>1.3</v>
      </c>
      <c r="GH25" s="371">
        <f t="shared" si="8"/>
        <v>1.41</v>
      </c>
      <c r="GI25" s="371">
        <f t="shared" si="8"/>
        <v>1.31</v>
      </c>
      <c r="GJ25" s="371">
        <f t="shared" si="8"/>
        <v>1.18</v>
      </c>
      <c r="GK25" s="371">
        <f t="shared" si="8"/>
        <v>1.06</v>
      </c>
      <c r="GL25" s="371">
        <f t="shared" si="8"/>
        <v>1.04</v>
      </c>
      <c r="GM25" s="371">
        <f t="shared" si="8"/>
        <v>1.14</v>
      </c>
      <c r="GN25" s="371">
        <f t="shared" si="8"/>
        <v>1.05</v>
      </c>
      <c r="GO25" s="371">
        <f t="shared" si="8"/>
        <v>1.24</v>
      </c>
      <c r="GP25" s="371">
        <f t="shared" si="8"/>
        <v>1.35</v>
      </c>
      <c r="GQ25" s="371">
        <f t="shared" si="8"/>
        <v>1.23</v>
      </c>
      <c r="GR25" s="371">
        <f t="shared" si="8"/>
        <v>1.28</v>
      </c>
      <c r="GS25" s="371">
        <f t="shared" si="8"/>
        <v>1.199</v>
      </c>
      <c r="GT25" s="371">
        <f t="shared" si="8"/>
        <v>1.611</v>
      </c>
      <c r="GU25" s="371">
        <f t="shared" si="8"/>
        <v>1.63</v>
      </c>
      <c r="GV25" s="371">
        <f t="shared" si="8"/>
        <v>1.23</v>
      </c>
      <c r="GW25" s="371">
        <f t="shared" si="8"/>
        <v>1.28</v>
      </c>
      <c r="GX25" s="371">
        <f t="shared" si="8"/>
        <v>1.23</v>
      </c>
      <c r="GY25" s="371">
        <f t="shared" si="8"/>
        <v>1.58</v>
      </c>
      <c r="GZ25" s="371">
        <f t="shared" si="8"/>
        <v>0.97</v>
      </c>
      <c r="HA25" s="371">
        <f t="shared" si="8"/>
        <v>1.22</v>
      </c>
      <c r="HB25" s="371">
        <f t="shared" si="8"/>
        <v>0.87</v>
      </c>
      <c r="HC25" s="371">
        <f t="shared" si="8"/>
        <v>0.41</v>
      </c>
      <c r="HD25" s="371">
        <f t="shared" si="8"/>
        <v>1</v>
      </c>
      <c r="HE25" s="371">
        <f t="shared" si="8"/>
        <v>1.18</v>
      </c>
      <c r="HF25" s="371">
        <f t="shared" si="8"/>
        <v>0.24</v>
      </c>
      <c r="HG25" s="371">
        <f t="shared" si="8"/>
        <v>0.53</v>
      </c>
      <c r="HH25" s="371">
        <f t="shared" si="8"/>
        <v>1.84</v>
      </c>
      <c r="HI25" s="371">
        <f t="shared" si="8"/>
        <v>4.18</v>
      </c>
      <c r="HJ25" s="371">
        <f t="shared" si="8"/>
        <v>1.26</v>
      </c>
      <c r="HK25" s="371">
        <f t="shared" si="8"/>
        <v>1.55</v>
      </c>
      <c r="HL25" s="371">
        <f t="shared" si="8"/>
        <v>1.55</v>
      </c>
      <c r="HM25" s="371">
        <f t="shared" si="8"/>
        <v>1.45</v>
      </c>
      <c r="HN25" s="371">
        <f t="shared" si="8"/>
        <v>0.34</v>
      </c>
      <c r="HO25" s="371">
        <f t="shared" si="8"/>
        <v>1.1</v>
      </c>
      <c r="HP25" s="371">
        <f t="shared" si="8"/>
        <v>1.27</v>
      </c>
      <c r="HQ25" s="371">
        <f t="shared" si="8"/>
        <v>1.36</v>
      </c>
      <c r="HR25" s="371">
        <f t="shared" si="8"/>
        <v>1.27</v>
      </c>
      <c r="HS25" s="371">
        <f t="shared" si="8"/>
        <v>2.405</v>
      </c>
      <c r="HT25" s="371">
        <f t="shared" si="8"/>
        <v>2.5</v>
      </c>
      <c r="HU25" s="371">
        <f t="shared" si="8"/>
        <v>2.055</v>
      </c>
      <c r="HV25" s="371">
        <f t="shared" si="8"/>
        <v>1.99</v>
      </c>
      <c r="HW25" s="371">
        <f t="shared" si="8"/>
        <v>3.06</v>
      </c>
      <c r="HX25" s="371">
        <f t="shared" si="8"/>
        <v>3.47</v>
      </c>
      <c r="HY25" s="371">
        <f t="shared" si="8"/>
        <v>-1487.66</v>
      </c>
      <c r="HZ25" s="371">
        <f t="shared" si="8"/>
        <v>0</v>
      </c>
      <c r="IA25" s="371"/>
      <c r="IB25" s="371"/>
    </row>
    <row r="26" ht="15.75" customHeight="1">
      <c r="A26" s="372" t="s">
        <v>445</v>
      </c>
      <c r="B26" s="49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23">
        <v>1766.5</v>
      </c>
      <c r="U26" s="123">
        <v>1767.008</v>
      </c>
      <c r="V26" s="123">
        <v>1767.625</v>
      </c>
      <c r="W26" s="123">
        <v>1768.585</v>
      </c>
      <c r="X26" s="123">
        <v>1769.608</v>
      </c>
      <c r="Y26" s="123">
        <v>1770.495</v>
      </c>
      <c r="Z26" s="123">
        <v>1772.811</v>
      </c>
      <c r="AA26" s="123">
        <v>1773.882</v>
      </c>
      <c r="AB26" s="123">
        <v>1774.5</v>
      </c>
      <c r="AC26" s="123">
        <v>1775.1</v>
      </c>
      <c r="AD26" s="123">
        <v>1775.68</v>
      </c>
      <c r="AE26" s="123">
        <v>1776.205</v>
      </c>
      <c r="AF26" s="123">
        <v>1776.934</v>
      </c>
      <c r="AG26" s="123">
        <v>1777.975</v>
      </c>
      <c r="AH26" s="123">
        <v>1779.034</v>
      </c>
      <c r="AI26" s="123">
        <v>1780.166</v>
      </c>
      <c r="AJ26" s="123">
        <v>1780.862</v>
      </c>
      <c r="AK26" s="123">
        <v>1781.21</v>
      </c>
      <c r="AL26" s="123">
        <v>1781.535</v>
      </c>
      <c r="AM26" s="123">
        <v>1781.951</v>
      </c>
      <c r="AN26" s="123">
        <v>1782.207</v>
      </c>
      <c r="AO26" s="123">
        <v>1782.548</v>
      </c>
      <c r="AP26" s="123">
        <v>1783.201</v>
      </c>
      <c r="AQ26" s="123">
        <v>1783.622</v>
      </c>
      <c r="AR26" s="123">
        <v>1784.214</v>
      </c>
      <c r="AS26" s="123">
        <v>1784.709</v>
      </c>
      <c r="AT26" s="123">
        <v>1785.191</v>
      </c>
      <c r="AU26" s="123">
        <v>1785.661</v>
      </c>
      <c r="AV26" s="123">
        <v>1786.501</v>
      </c>
      <c r="AW26" s="123">
        <v>1787.309</v>
      </c>
      <c r="AX26" s="123">
        <v>1787.94</v>
      </c>
      <c r="AY26" s="123">
        <v>1788.544</v>
      </c>
      <c r="AZ26" s="123">
        <v>1788.978</v>
      </c>
      <c r="BA26" s="123">
        <v>1789.39</v>
      </c>
      <c r="BB26" s="123">
        <v>1790.187</v>
      </c>
      <c r="BC26" s="123">
        <v>1791.006</v>
      </c>
      <c r="BD26" s="123">
        <v>1791.875</v>
      </c>
      <c r="BE26" s="123">
        <v>1792.743</v>
      </c>
      <c r="BF26" s="123">
        <v>1793.327</v>
      </c>
      <c r="BG26" s="123">
        <v>1793.679</v>
      </c>
      <c r="BH26" s="123">
        <v>1794.304</v>
      </c>
      <c r="BI26" s="123">
        <v>1794.689</v>
      </c>
      <c r="BJ26" s="123">
        <v>1795.508</v>
      </c>
      <c r="BK26" s="123">
        <v>1795.849</v>
      </c>
      <c r="BL26" s="123">
        <v>1796.47</v>
      </c>
      <c r="BM26" s="123">
        <v>1797.301</v>
      </c>
      <c r="BN26" s="123">
        <v>1798.208</v>
      </c>
      <c r="BO26" s="123">
        <v>1799.05</v>
      </c>
      <c r="BP26" s="123">
        <v>1799.87</v>
      </c>
      <c r="BQ26" s="123">
        <v>1800.91</v>
      </c>
      <c r="BR26" s="123">
        <v>1801.4</v>
      </c>
      <c r="BS26" s="123">
        <v>1801.85</v>
      </c>
      <c r="BT26" s="123">
        <v>1802.06</v>
      </c>
      <c r="BU26" s="123">
        <v>1802.65</v>
      </c>
      <c r="BV26" s="123">
        <v>1803.28</v>
      </c>
      <c r="BW26" s="123">
        <v>1803.667</v>
      </c>
      <c r="BX26" s="123">
        <v>1804.257</v>
      </c>
      <c r="BY26" s="123">
        <v>1804.456</v>
      </c>
      <c r="BZ26" s="123">
        <v>1805.002</v>
      </c>
      <c r="CA26" s="123">
        <v>1805.262</v>
      </c>
      <c r="CB26" s="123">
        <v>1805.678</v>
      </c>
      <c r="CC26" s="123">
        <v>1806.172</v>
      </c>
      <c r="CD26" s="123">
        <v>1806.94</v>
      </c>
      <c r="CE26" s="123">
        <v>1807.65</v>
      </c>
      <c r="CF26" s="123">
        <v>1808.38</v>
      </c>
      <c r="CG26" s="123">
        <v>1809.256</v>
      </c>
      <c r="CH26" s="123">
        <v>1809.97</v>
      </c>
      <c r="CI26" s="123">
        <v>1810.63</v>
      </c>
      <c r="CJ26" s="123">
        <v>1811.67</v>
      </c>
      <c r="CK26" s="123">
        <v>1812.22</v>
      </c>
      <c r="CL26" s="123">
        <v>1813.028</v>
      </c>
      <c r="CM26" s="123">
        <v>1813.822</v>
      </c>
      <c r="CN26" s="123">
        <v>1814.425</v>
      </c>
      <c r="CO26" s="123">
        <v>1815.033</v>
      </c>
      <c r="CP26" s="123">
        <v>1815.873</v>
      </c>
      <c r="CQ26" s="123">
        <v>1816.338</v>
      </c>
      <c r="CR26" s="123">
        <v>1817.411</v>
      </c>
      <c r="CS26" s="123">
        <v>1817.822</v>
      </c>
      <c r="CT26" s="123">
        <v>1818.892</v>
      </c>
      <c r="CU26" s="123">
        <v>1819.78</v>
      </c>
      <c r="CV26" s="123">
        <v>1820.137</v>
      </c>
      <c r="CW26" s="123">
        <v>1820.8</v>
      </c>
      <c r="CX26" s="123">
        <v>1821.4</v>
      </c>
      <c r="CY26" s="123">
        <v>1822.4</v>
      </c>
      <c r="CZ26" s="123">
        <v>1823.16</v>
      </c>
      <c r="DA26" s="123">
        <v>1823.9</v>
      </c>
      <c r="DB26" s="123">
        <v>1824.926</v>
      </c>
      <c r="DC26" s="123">
        <v>1825.838</v>
      </c>
      <c r="DD26" s="123">
        <v>1827.01</v>
      </c>
      <c r="DE26" s="123">
        <v>1827.89</v>
      </c>
      <c r="DF26" s="123">
        <v>1828.55</v>
      </c>
      <c r="DG26" s="123">
        <v>1829.28</v>
      </c>
      <c r="DH26" s="123">
        <v>1830.17</v>
      </c>
      <c r="DI26" s="123">
        <v>1831.43</v>
      </c>
      <c r="DJ26" s="123">
        <v>1832.59</v>
      </c>
      <c r="DK26" s="123">
        <v>1833.667</v>
      </c>
      <c r="DL26" s="123">
        <v>1834.735</v>
      </c>
      <c r="DM26" s="123">
        <v>1835.473</v>
      </c>
      <c r="DN26" s="123">
        <v>1836.49</v>
      </c>
      <c r="DO26" s="123">
        <v>1837.12</v>
      </c>
      <c r="DP26" s="123">
        <v>1837.73</v>
      </c>
      <c r="DQ26" s="123">
        <v>1838.43</v>
      </c>
      <c r="DR26" s="123">
        <v>1838.93</v>
      </c>
      <c r="DS26" s="123">
        <v>1839.62</v>
      </c>
      <c r="DT26" s="123">
        <v>1840.27</v>
      </c>
      <c r="DU26" s="123">
        <v>1840.92</v>
      </c>
      <c r="DV26" s="123">
        <v>1841.45</v>
      </c>
      <c r="DW26" s="123">
        <v>1842.029</v>
      </c>
      <c r="DX26" s="123">
        <v>1842.78</v>
      </c>
      <c r="DY26" s="123">
        <v>1843.66</v>
      </c>
      <c r="DZ26" s="123">
        <v>1844.44</v>
      </c>
      <c r="EA26" s="123">
        <v>1845.18</v>
      </c>
      <c r="EB26" s="123">
        <v>1845.78</v>
      </c>
      <c r="EC26" s="123">
        <v>1846.29</v>
      </c>
      <c r="ED26" s="123">
        <v>1847.33</v>
      </c>
      <c r="EE26" s="123">
        <v>1848.25</v>
      </c>
      <c r="EF26" s="123">
        <v>1848.78</v>
      </c>
      <c r="EG26" s="123">
        <v>1849.51</v>
      </c>
      <c r="EH26" s="123">
        <v>1850.05</v>
      </c>
      <c r="EI26" s="123">
        <v>1850.84</v>
      </c>
      <c r="EJ26" s="123">
        <v>1851.75</v>
      </c>
      <c r="EK26" s="123">
        <v>1852.05</v>
      </c>
      <c r="EL26" s="123">
        <v>1852.29</v>
      </c>
      <c r="EM26" s="123">
        <v>1852.68</v>
      </c>
      <c r="EN26" s="123">
        <v>1853.01</v>
      </c>
      <c r="EO26" s="123">
        <v>1853.96</v>
      </c>
      <c r="EP26" s="123">
        <v>1854.02</v>
      </c>
      <c r="EQ26" s="123">
        <v>1854.67</v>
      </c>
      <c r="ER26" s="123">
        <v>1855.72</v>
      </c>
      <c r="ES26" s="123">
        <v>1856.654</v>
      </c>
      <c r="ET26" s="123">
        <v>1857.54</v>
      </c>
      <c r="EU26" s="123">
        <v>1858.32</v>
      </c>
      <c r="EV26" s="123">
        <v>1858.67</v>
      </c>
      <c r="EW26" s="123">
        <v>1858.98</v>
      </c>
      <c r="EX26" s="123">
        <v>1859.08</v>
      </c>
      <c r="EY26" s="123">
        <v>1859.51</v>
      </c>
      <c r="EZ26" s="123">
        <v>1860.01</v>
      </c>
      <c r="FA26" s="123">
        <v>1860.58</v>
      </c>
      <c r="FB26" s="123">
        <v>1861.02</v>
      </c>
      <c r="FC26" s="123">
        <v>1861.59</v>
      </c>
      <c r="FD26" s="123">
        <v>1862.12</v>
      </c>
      <c r="FE26" s="123">
        <v>1862.74</v>
      </c>
      <c r="FF26" s="123">
        <v>1862.89</v>
      </c>
      <c r="FG26" s="123">
        <v>1863.93</v>
      </c>
      <c r="FH26" s="123">
        <v>1864.69</v>
      </c>
      <c r="FI26" s="123">
        <v>1865.39</v>
      </c>
      <c r="FJ26" s="123">
        <v>1866.02</v>
      </c>
      <c r="FK26" s="123">
        <v>1866.54</v>
      </c>
      <c r="FL26" s="123">
        <v>1868.3</v>
      </c>
      <c r="FM26" s="123">
        <v>1868.84</v>
      </c>
      <c r="FN26" s="123">
        <v>1869.94</v>
      </c>
      <c r="FO26" s="123">
        <v>1871.12</v>
      </c>
      <c r="FP26" s="123">
        <v>1871.81</v>
      </c>
      <c r="FQ26" s="123">
        <v>1872.31</v>
      </c>
      <c r="FR26" s="123">
        <v>1872.87</v>
      </c>
      <c r="FS26" s="123">
        <v>1873.02</v>
      </c>
      <c r="FT26" s="123">
        <v>1873.54</v>
      </c>
      <c r="FU26" s="123">
        <v>1873.94</v>
      </c>
      <c r="FV26" s="123">
        <v>1874.56</v>
      </c>
      <c r="FW26" s="123">
        <v>1875.02</v>
      </c>
      <c r="FX26" s="123">
        <v>1875.69</v>
      </c>
      <c r="FY26" s="123">
        <v>1876.22</v>
      </c>
      <c r="FZ26" s="123">
        <v>1876.97</v>
      </c>
      <c r="GA26" s="123">
        <v>1877.86</v>
      </c>
      <c r="GB26" s="123">
        <v>1878.47</v>
      </c>
      <c r="GC26" s="123">
        <v>1879.45</v>
      </c>
      <c r="GD26" s="123">
        <v>1880.36</v>
      </c>
      <c r="GE26" s="123">
        <v>1881.13</v>
      </c>
      <c r="GF26" s="123">
        <v>1881.81</v>
      </c>
      <c r="GG26" s="123">
        <v>1882.67</v>
      </c>
      <c r="GH26" s="123">
        <v>1883.21</v>
      </c>
      <c r="GI26" s="123">
        <v>1883.95</v>
      </c>
      <c r="GJ26" s="123">
        <v>1884.67</v>
      </c>
      <c r="GK26" s="123">
        <v>1885.18</v>
      </c>
      <c r="GL26" s="123">
        <v>1886.05</v>
      </c>
      <c r="GM26" s="123">
        <v>1886.92</v>
      </c>
      <c r="GN26" s="123">
        <v>1887.9</v>
      </c>
      <c r="GO26" s="123">
        <v>1888.6</v>
      </c>
      <c r="GP26" s="123">
        <v>1889.44</v>
      </c>
      <c r="GQ26" s="123">
        <v>1890.54</v>
      </c>
      <c r="GR26" s="123">
        <v>1891.48</v>
      </c>
      <c r="GS26" s="123">
        <v>1891.98</v>
      </c>
      <c r="GT26" s="123">
        <v>1892.97</v>
      </c>
      <c r="GU26" s="123">
        <v>1893.67</v>
      </c>
      <c r="GV26" s="123">
        <v>1894.1</v>
      </c>
      <c r="GW26" s="123">
        <v>1894.98</v>
      </c>
      <c r="GX26" s="123">
        <v>1895.02</v>
      </c>
      <c r="GY26" s="123">
        <v>1895.68</v>
      </c>
      <c r="GZ26" s="123">
        <v>1896.01</v>
      </c>
      <c r="HA26" s="123">
        <v>1896.44</v>
      </c>
      <c r="HB26" s="123">
        <v>1896.84</v>
      </c>
      <c r="HC26" s="123">
        <v>1897.01</v>
      </c>
      <c r="HD26" s="123">
        <v>1897.43</v>
      </c>
      <c r="HE26" s="123">
        <v>1897.81</v>
      </c>
      <c r="HF26" s="123">
        <v>1898.22</v>
      </c>
      <c r="HG26" s="123">
        <v>1898.84</v>
      </c>
      <c r="HH26" s="123">
        <v>1899.75</v>
      </c>
      <c r="HI26" s="123">
        <v>1900.73</v>
      </c>
      <c r="HJ26" s="123">
        <v>1901.56</v>
      </c>
      <c r="HK26" s="123">
        <v>1902.02</v>
      </c>
      <c r="HL26" s="123">
        <v>1902.78</v>
      </c>
      <c r="HM26" s="123">
        <v>1903.32</v>
      </c>
      <c r="HN26" s="123">
        <v>1903.55</v>
      </c>
      <c r="HO26" s="123">
        <v>1903.72</v>
      </c>
      <c r="HP26" s="123">
        <v>1904.16</v>
      </c>
      <c r="HQ26" s="123">
        <v>1904.65</v>
      </c>
      <c r="HR26" s="123">
        <v>1905.01</v>
      </c>
      <c r="HS26" s="123">
        <v>1905.25</v>
      </c>
      <c r="HT26" s="123">
        <v>1905.45</v>
      </c>
      <c r="HU26" s="123">
        <v>1905.98</v>
      </c>
      <c r="HV26" s="123">
        <v>1906.04</v>
      </c>
      <c r="HW26" s="123">
        <v>1906.71</v>
      </c>
      <c r="HX26" s="123">
        <v>1907.02</v>
      </c>
      <c r="HY26" s="123"/>
      <c r="HZ26" s="123"/>
      <c r="IA26" s="123"/>
      <c r="IB26" s="123"/>
    </row>
    <row r="27" ht="15.75" customHeight="1">
      <c r="A27" s="369" t="s">
        <v>446</v>
      </c>
      <c r="B27" s="49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>
        <f t="shared" ref="U27:IB27" si="9">U26-T26</f>
        <v>0.508</v>
      </c>
      <c r="V27" s="130">
        <f t="shared" si="9"/>
        <v>0.617</v>
      </c>
      <c r="W27" s="130">
        <f t="shared" si="9"/>
        <v>0.96</v>
      </c>
      <c r="X27" s="130">
        <f t="shared" si="9"/>
        <v>1.023</v>
      </c>
      <c r="Y27" s="130">
        <f t="shared" si="9"/>
        <v>0.887</v>
      </c>
      <c r="Z27" s="130">
        <f t="shared" si="9"/>
        <v>2.316</v>
      </c>
      <c r="AA27" s="130">
        <f t="shared" si="9"/>
        <v>1.071</v>
      </c>
      <c r="AB27" s="130">
        <f t="shared" si="9"/>
        <v>0.618</v>
      </c>
      <c r="AC27" s="130">
        <f t="shared" si="9"/>
        <v>0.6</v>
      </c>
      <c r="AD27" s="130">
        <f t="shared" si="9"/>
        <v>0.58</v>
      </c>
      <c r="AE27" s="130">
        <f t="shared" si="9"/>
        <v>0.525</v>
      </c>
      <c r="AF27" s="130">
        <f t="shared" si="9"/>
        <v>0.729</v>
      </c>
      <c r="AG27" s="130">
        <f t="shared" si="9"/>
        <v>1.041</v>
      </c>
      <c r="AH27" s="130">
        <f t="shared" si="9"/>
        <v>1.059</v>
      </c>
      <c r="AI27" s="130">
        <f t="shared" si="9"/>
        <v>1.132</v>
      </c>
      <c r="AJ27" s="130">
        <f t="shared" si="9"/>
        <v>0.696</v>
      </c>
      <c r="AK27" s="130">
        <f t="shared" si="9"/>
        <v>0.348</v>
      </c>
      <c r="AL27" s="130">
        <f t="shared" si="9"/>
        <v>0.325</v>
      </c>
      <c r="AM27" s="130">
        <f t="shared" si="9"/>
        <v>0.416</v>
      </c>
      <c r="AN27" s="130">
        <f t="shared" si="9"/>
        <v>0.256</v>
      </c>
      <c r="AO27" s="130">
        <f t="shared" si="9"/>
        <v>0.341</v>
      </c>
      <c r="AP27" s="130">
        <f t="shared" si="9"/>
        <v>0.653</v>
      </c>
      <c r="AQ27" s="130">
        <f t="shared" si="9"/>
        <v>0.421</v>
      </c>
      <c r="AR27" s="130">
        <f t="shared" si="9"/>
        <v>0.592</v>
      </c>
      <c r="AS27" s="130">
        <f t="shared" si="9"/>
        <v>0.495</v>
      </c>
      <c r="AT27" s="130">
        <f t="shared" si="9"/>
        <v>0.482</v>
      </c>
      <c r="AU27" s="130">
        <f t="shared" si="9"/>
        <v>0.47</v>
      </c>
      <c r="AV27" s="130">
        <f t="shared" si="9"/>
        <v>0.84</v>
      </c>
      <c r="AW27" s="130">
        <f t="shared" si="9"/>
        <v>0.808</v>
      </c>
      <c r="AX27" s="130">
        <f t="shared" si="9"/>
        <v>0.631</v>
      </c>
      <c r="AY27" s="130">
        <f t="shared" si="9"/>
        <v>0.604</v>
      </c>
      <c r="AZ27" s="130">
        <f t="shared" si="9"/>
        <v>0.434</v>
      </c>
      <c r="BA27" s="130">
        <f t="shared" si="9"/>
        <v>0.412</v>
      </c>
      <c r="BB27" s="130">
        <f t="shared" si="9"/>
        <v>0.797</v>
      </c>
      <c r="BC27" s="130">
        <f t="shared" si="9"/>
        <v>0.819</v>
      </c>
      <c r="BD27" s="130">
        <f t="shared" si="9"/>
        <v>0.869</v>
      </c>
      <c r="BE27" s="130">
        <f t="shared" si="9"/>
        <v>0.868</v>
      </c>
      <c r="BF27" s="130">
        <f t="shared" si="9"/>
        <v>0.584</v>
      </c>
      <c r="BG27" s="130">
        <f t="shared" si="9"/>
        <v>0.352</v>
      </c>
      <c r="BH27" s="130">
        <f t="shared" si="9"/>
        <v>0.625</v>
      </c>
      <c r="BI27" s="130">
        <f t="shared" si="9"/>
        <v>0.385</v>
      </c>
      <c r="BJ27" s="130">
        <f t="shared" si="9"/>
        <v>0.819</v>
      </c>
      <c r="BK27" s="130">
        <f t="shared" si="9"/>
        <v>0.341</v>
      </c>
      <c r="BL27" s="130">
        <f t="shared" si="9"/>
        <v>0.621</v>
      </c>
      <c r="BM27" s="130">
        <f t="shared" si="9"/>
        <v>0.831</v>
      </c>
      <c r="BN27" s="130">
        <f t="shared" si="9"/>
        <v>0.907</v>
      </c>
      <c r="BO27" s="130">
        <f t="shared" si="9"/>
        <v>0.842</v>
      </c>
      <c r="BP27" s="130">
        <f t="shared" si="9"/>
        <v>0.82</v>
      </c>
      <c r="BQ27" s="130">
        <f t="shared" si="9"/>
        <v>1.04</v>
      </c>
      <c r="BR27" s="130">
        <f t="shared" si="9"/>
        <v>0.49</v>
      </c>
      <c r="BS27" s="130">
        <f t="shared" si="9"/>
        <v>0.45</v>
      </c>
      <c r="BT27" s="130">
        <f t="shared" si="9"/>
        <v>0.21</v>
      </c>
      <c r="BU27" s="130">
        <f t="shared" si="9"/>
        <v>0.59</v>
      </c>
      <c r="BV27" s="130">
        <f t="shared" si="9"/>
        <v>0.63</v>
      </c>
      <c r="BW27" s="130">
        <f t="shared" si="9"/>
        <v>0.387</v>
      </c>
      <c r="BX27" s="130">
        <f t="shared" si="9"/>
        <v>0.59</v>
      </c>
      <c r="BY27" s="130">
        <f t="shared" si="9"/>
        <v>0.199</v>
      </c>
      <c r="BZ27" s="130">
        <f t="shared" si="9"/>
        <v>0.546</v>
      </c>
      <c r="CA27" s="130">
        <f t="shared" si="9"/>
        <v>0.26</v>
      </c>
      <c r="CB27" s="130">
        <f t="shared" si="9"/>
        <v>0.416</v>
      </c>
      <c r="CC27" s="130">
        <f t="shared" si="9"/>
        <v>0.494</v>
      </c>
      <c r="CD27" s="130">
        <f t="shared" si="9"/>
        <v>0.768</v>
      </c>
      <c r="CE27" s="130">
        <f t="shared" si="9"/>
        <v>0.71</v>
      </c>
      <c r="CF27" s="130">
        <f t="shared" si="9"/>
        <v>0.73</v>
      </c>
      <c r="CG27" s="130">
        <f t="shared" si="9"/>
        <v>0.876</v>
      </c>
      <c r="CH27" s="130">
        <f t="shared" si="9"/>
        <v>0.714</v>
      </c>
      <c r="CI27" s="130">
        <f t="shared" si="9"/>
        <v>0.66</v>
      </c>
      <c r="CJ27" s="130">
        <f t="shared" si="9"/>
        <v>1.04</v>
      </c>
      <c r="CK27" s="130">
        <f t="shared" si="9"/>
        <v>0.55</v>
      </c>
      <c r="CL27" s="130">
        <f t="shared" si="9"/>
        <v>0.808</v>
      </c>
      <c r="CM27" s="130">
        <f t="shared" si="9"/>
        <v>0.794</v>
      </c>
      <c r="CN27" s="130">
        <f t="shared" si="9"/>
        <v>0.603</v>
      </c>
      <c r="CO27" s="130">
        <f t="shared" si="9"/>
        <v>0.608</v>
      </c>
      <c r="CP27" s="130">
        <f t="shared" si="9"/>
        <v>0.84</v>
      </c>
      <c r="CQ27" s="130">
        <f t="shared" si="9"/>
        <v>0.465</v>
      </c>
      <c r="CR27" s="130">
        <f t="shared" si="9"/>
        <v>1.073</v>
      </c>
      <c r="CS27" s="130">
        <f t="shared" si="9"/>
        <v>0.411</v>
      </c>
      <c r="CT27" s="130">
        <f t="shared" si="9"/>
        <v>1.07</v>
      </c>
      <c r="CU27" s="130">
        <f t="shared" si="9"/>
        <v>0.888</v>
      </c>
      <c r="CV27" s="130">
        <f t="shared" si="9"/>
        <v>0.357</v>
      </c>
      <c r="CW27" s="130">
        <f t="shared" si="9"/>
        <v>0.663</v>
      </c>
      <c r="CX27" s="130">
        <f t="shared" si="9"/>
        <v>0.6</v>
      </c>
      <c r="CY27" s="130">
        <f t="shared" si="9"/>
        <v>1</v>
      </c>
      <c r="CZ27" s="130">
        <f t="shared" si="9"/>
        <v>0.76</v>
      </c>
      <c r="DA27" s="130">
        <f t="shared" si="9"/>
        <v>0.74</v>
      </c>
      <c r="DB27" s="130">
        <f t="shared" si="9"/>
        <v>1.026</v>
      </c>
      <c r="DC27" s="130">
        <f t="shared" si="9"/>
        <v>0.912</v>
      </c>
      <c r="DD27" s="130">
        <f t="shared" si="9"/>
        <v>1.172</v>
      </c>
      <c r="DE27" s="130">
        <f t="shared" si="9"/>
        <v>0.88</v>
      </c>
      <c r="DF27" s="130">
        <f t="shared" si="9"/>
        <v>0.66</v>
      </c>
      <c r="DG27" s="130">
        <f t="shared" si="9"/>
        <v>0.73</v>
      </c>
      <c r="DH27" s="130">
        <f t="shared" si="9"/>
        <v>0.89</v>
      </c>
      <c r="DI27" s="130">
        <f t="shared" si="9"/>
        <v>1.26</v>
      </c>
      <c r="DJ27" s="130">
        <f t="shared" si="9"/>
        <v>1.16</v>
      </c>
      <c r="DK27" s="130">
        <f t="shared" si="9"/>
        <v>1.077</v>
      </c>
      <c r="DL27" s="130">
        <f t="shared" si="9"/>
        <v>1.068</v>
      </c>
      <c r="DM27" s="130">
        <f t="shared" si="9"/>
        <v>0.738</v>
      </c>
      <c r="DN27" s="130">
        <f t="shared" si="9"/>
        <v>1.017</v>
      </c>
      <c r="DO27" s="130">
        <f t="shared" si="9"/>
        <v>0.63</v>
      </c>
      <c r="DP27" s="130">
        <f t="shared" si="9"/>
        <v>0.61</v>
      </c>
      <c r="DQ27" s="130">
        <f t="shared" si="9"/>
        <v>0.7</v>
      </c>
      <c r="DR27" s="130">
        <f t="shared" si="9"/>
        <v>0.5</v>
      </c>
      <c r="DS27" s="130">
        <f t="shared" si="9"/>
        <v>0.69</v>
      </c>
      <c r="DT27" s="130">
        <f t="shared" si="9"/>
        <v>0.65</v>
      </c>
      <c r="DU27" s="130">
        <f t="shared" si="9"/>
        <v>0.65</v>
      </c>
      <c r="DV27" s="130">
        <f t="shared" si="9"/>
        <v>0.53</v>
      </c>
      <c r="DW27" s="130">
        <f t="shared" si="9"/>
        <v>0.579</v>
      </c>
      <c r="DX27" s="130">
        <f t="shared" si="9"/>
        <v>0.751</v>
      </c>
      <c r="DY27" s="130">
        <f t="shared" si="9"/>
        <v>0.88</v>
      </c>
      <c r="DZ27" s="130">
        <f t="shared" si="9"/>
        <v>0.78</v>
      </c>
      <c r="EA27" s="130">
        <f t="shared" si="9"/>
        <v>0.74</v>
      </c>
      <c r="EB27" s="130">
        <f t="shared" si="9"/>
        <v>0.6</v>
      </c>
      <c r="EC27" s="130">
        <f t="shared" si="9"/>
        <v>0.51</v>
      </c>
      <c r="ED27" s="130">
        <f t="shared" si="9"/>
        <v>1.04</v>
      </c>
      <c r="EE27" s="130">
        <f t="shared" si="9"/>
        <v>0.92</v>
      </c>
      <c r="EF27" s="130">
        <f t="shared" si="9"/>
        <v>0.53</v>
      </c>
      <c r="EG27" s="130">
        <f t="shared" si="9"/>
        <v>0.73</v>
      </c>
      <c r="EH27" s="130">
        <f t="shared" si="9"/>
        <v>0.54</v>
      </c>
      <c r="EI27" s="130">
        <f t="shared" si="9"/>
        <v>0.79</v>
      </c>
      <c r="EJ27" s="130">
        <f t="shared" si="9"/>
        <v>0.91</v>
      </c>
      <c r="EK27" s="130">
        <f t="shared" si="9"/>
        <v>0.3</v>
      </c>
      <c r="EL27" s="130">
        <f t="shared" si="9"/>
        <v>0.24</v>
      </c>
      <c r="EM27" s="130">
        <f t="shared" si="9"/>
        <v>0.39</v>
      </c>
      <c r="EN27" s="130">
        <f t="shared" si="9"/>
        <v>0.33</v>
      </c>
      <c r="EO27" s="130">
        <f t="shared" si="9"/>
        <v>0.95</v>
      </c>
      <c r="EP27" s="130">
        <f t="shared" si="9"/>
        <v>0.06</v>
      </c>
      <c r="EQ27" s="130">
        <f t="shared" si="9"/>
        <v>0.65</v>
      </c>
      <c r="ER27" s="130">
        <f t="shared" si="9"/>
        <v>1.05</v>
      </c>
      <c r="ES27" s="130">
        <f t="shared" si="9"/>
        <v>0.934</v>
      </c>
      <c r="ET27" s="130">
        <f t="shared" si="9"/>
        <v>0.886</v>
      </c>
      <c r="EU27" s="130">
        <f t="shared" si="9"/>
        <v>0.78</v>
      </c>
      <c r="EV27" s="130">
        <f t="shared" si="9"/>
        <v>0.35</v>
      </c>
      <c r="EW27" s="130">
        <f t="shared" si="9"/>
        <v>0.31</v>
      </c>
      <c r="EX27" s="130">
        <f t="shared" si="9"/>
        <v>0.1</v>
      </c>
      <c r="EY27" s="130">
        <f t="shared" si="9"/>
        <v>0.43</v>
      </c>
      <c r="EZ27" s="130">
        <f t="shared" si="9"/>
        <v>0.5</v>
      </c>
      <c r="FA27" s="130">
        <f t="shared" si="9"/>
        <v>0.57</v>
      </c>
      <c r="FB27" s="130">
        <f t="shared" si="9"/>
        <v>0.44</v>
      </c>
      <c r="FC27" s="130">
        <f t="shared" si="9"/>
        <v>0.57</v>
      </c>
      <c r="FD27" s="130">
        <f t="shared" si="9"/>
        <v>0.53</v>
      </c>
      <c r="FE27" s="130">
        <f t="shared" si="9"/>
        <v>0.62</v>
      </c>
      <c r="FF27" s="130">
        <f t="shared" si="9"/>
        <v>0.15</v>
      </c>
      <c r="FG27" s="130">
        <f t="shared" si="9"/>
        <v>1.04</v>
      </c>
      <c r="FH27" s="130">
        <f t="shared" si="9"/>
        <v>0.76</v>
      </c>
      <c r="FI27" s="130">
        <f t="shared" si="9"/>
        <v>0.7</v>
      </c>
      <c r="FJ27" s="130">
        <f t="shared" si="9"/>
        <v>0.63</v>
      </c>
      <c r="FK27" s="130">
        <f t="shared" si="9"/>
        <v>0.52</v>
      </c>
      <c r="FL27" s="130">
        <f t="shared" si="9"/>
        <v>1.76</v>
      </c>
      <c r="FM27" s="130">
        <f t="shared" si="9"/>
        <v>0.54</v>
      </c>
      <c r="FN27" s="130">
        <f t="shared" si="9"/>
        <v>1.1</v>
      </c>
      <c r="FO27" s="130">
        <f t="shared" si="9"/>
        <v>1.18</v>
      </c>
      <c r="FP27" s="130">
        <f t="shared" si="9"/>
        <v>0.69</v>
      </c>
      <c r="FQ27" s="130">
        <f t="shared" si="9"/>
        <v>0.5</v>
      </c>
      <c r="FR27" s="130">
        <f t="shared" si="9"/>
        <v>0.56</v>
      </c>
      <c r="FS27" s="130">
        <f t="shared" si="9"/>
        <v>0.15</v>
      </c>
      <c r="FT27" s="130">
        <f t="shared" si="9"/>
        <v>0.52</v>
      </c>
      <c r="FU27" s="130">
        <f t="shared" si="9"/>
        <v>0.4</v>
      </c>
      <c r="FV27" s="130">
        <f t="shared" si="9"/>
        <v>0.62</v>
      </c>
      <c r="FW27" s="130">
        <f t="shared" si="9"/>
        <v>0.46</v>
      </c>
      <c r="FX27" s="130">
        <f t="shared" si="9"/>
        <v>0.67</v>
      </c>
      <c r="FY27" s="130">
        <f t="shared" si="9"/>
        <v>0.53</v>
      </c>
      <c r="FZ27" s="130">
        <f t="shared" si="9"/>
        <v>0.75</v>
      </c>
      <c r="GA27" s="130">
        <f t="shared" si="9"/>
        <v>0.89</v>
      </c>
      <c r="GB27" s="130">
        <f t="shared" si="9"/>
        <v>0.61</v>
      </c>
      <c r="GC27" s="130">
        <f t="shared" si="9"/>
        <v>0.98</v>
      </c>
      <c r="GD27" s="130">
        <f t="shared" si="9"/>
        <v>0.91</v>
      </c>
      <c r="GE27" s="130">
        <f t="shared" si="9"/>
        <v>0.77</v>
      </c>
      <c r="GF27" s="130">
        <f t="shared" si="9"/>
        <v>0.68</v>
      </c>
      <c r="GG27" s="130">
        <f t="shared" si="9"/>
        <v>0.86</v>
      </c>
      <c r="GH27" s="130">
        <f t="shared" si="9"/>
        <v>0.54</v>
      </c>
      <c r="GI27" s="130">
        <f t="shared" si="9"/>
        <v>0.74</v>
      </c>
      <c r="GJ27" s="130">
        <f t="shared" si="9"/>
        <v>0.72</v>
      </c>
      <c r="GK27" s="130">
        <f t="shared" si="9"/>
        <v>0.51</v>
      </c>
      <c r="GL27" s="130">
        <f t="shared" si="9"/>
        <v>0.87</v>
      </c>
      <c r="GM27" s="130">
        <f t="shared" si="9"/>
        <v>0.87</v>
      </c>
      <c r="GN27" s="130">
        <f t="shared" si="9"/>
        <v>0.98</v>
      </c>
      <c r="GO27" s="130">
        <f t="shared" si="9"/>
        <v>0.7</v>
      </c>
      <c r="GP27" s="130">
        <f t="shared" si="9"/>
        <v>0.84</v>
      </c>
      <c r="GQ27" s="130">
        <f t="shared" si="9"/>
        <v>1.1</v>
      </c>
      <c r="GR27" s="130">
        <f t="shared" si="9"/>
        <v>0.94</v>
      </c>
      <c r="GS27" s="130">
        <f t="shared" si="9"/>
        <v>0.5</v>
      </c>
      <c r="GT27" s="130">
        <f t="shared" si="9"/>
        <v>0.99</v>
      </c>
      <c r="GU27" s="130">
        <f t="shared" si="9"/>
        <v>0.7</v>
      </c>
      <c r="GV27" s="130">
        <f t="shared" si="9"/>
        <v>0.43</v>
      </c>
      <c r="GW27" s="130">
        <f t="shared" si="9"/>
        <v>0.88</v>
      </c>
      <c r="GX27" s="130">
        <f t="shared" si="9"/>
        <v>0.04</v>
      </c>
      <c r="GY27" s="130">
        <f t="shared" si="9"/>
        <v>0.66</v>
      </c>
      <c r="GZ27" s="130">
        <f t="shared" si="9"/>
        <v>0.33</v>
      </c>
      <c r="HA27" s="130">
        <f t="shared" si="9"/>
        <v>0.43</v>
      </c>
      <c r="HB27" s="130">
        <f t="shared" si="9"/>
        <v>0.4</v>
      </c>
      <c r="HC27" s="130">
        <f t="shared" si="9"/>
        <v>0.17</v>
      </c>
      <c r="HD27" s="130">
        <f t="shared" si="9"/>
        <v>0.42</v>
      </c>
      <c r="HE27" s="130">
        <f t="shared" si="9"/>
        <v>0.38</v>
      </c>
      <c r="HF27" s="130">
        <f t="shared" si="9"/>
        <v>0.41</v>
      </c>
      <c r="HG27" s="130">
        <f t="shared" si="9"/>
        <v>0.62</v>
      </c>
      <c r="HH27" s="130">
        <f t="shared" si="9"/>
        <v>0.91</v>
      </c>
      <c r="HI27" s="130">
        <f t="shared" si="9"/>
        <v>0.98</v>
      </c>
      <c r="HJ27" s="130">
        <f t="shared" si="9"/>
        <v>0.83</v>
      </c>
      <c r="HK27" s="130">
        <f t="shared" si="9"/>
        <v>0.46</v>
      </c>
      <c r="HL27" s="130">
        <f t="shared" si="9"/>
        <v>0.76</v>
      </c>
      <c r="HM27" s="130">
        <f t="shared" si="9"/>
        <v>0.54</v>
      </c>
      <c r="HN27" s="130">
        <f t="shared" si="9"/>
        <v>0.23</v>
      </c>
      <c r="HO27" s="130">
        <f t="shared" si="9"/>
        <v>0.17</v>
      </c>
      <c r="HP27" s="130">
        <f t="shared" si="9"/>
        <v>0.44</v>
      </c>
      <c r="HQ27" s="130">
        <f t="shared" si="9"/>
        <v>0.49</v>
      </c>
      <c r="HR27" s="130">
        <f t="shared" si="9"/>
        <v>0.36</v>
      </c>
      <c r="HS27" s="130">
        <f t="shared" si="9"/>
        <v>0.24</v>
      </c>
      <c r="HT27" s="130">
        <f t="shared" si="9"/>
        <v>0.2</v>
      </c>
      <c r="HU27" s="130">
        <f t="shared" si="9"/>
        <v>0.53</v>
      </c>
      <c r="HV27" s="130">
        <f t="shared" si="9"/>
        <v>0.06</v>
      </c>
      <c r="HW27" s="130">
        <f t="shared" si="9"/>
        <v>0.67</v>
      </c>
      <c r="HX27" s="130">
        <f t="shared" si="9"/>
        <v>0.31</v>
      </c>
      <c r="HY27" s="130">
        <f t="shared" si="9"/>
        <v>-1907.02</v>
      </c>
      <c r="HZ27" s="130">
        <f t="shared" si="9"/>
        <v>0</v>
      </c>
      <c r="IA27" s="130">
        <f t="shared" si="9"/>
        <v>0</v>
      </c>
      <c r="IB27" s="130">
        <f t="shared" si="9"/>
        <v>0</v>
      </c>
    </row>
    <row r="28" ht="15.75" customHeight="1">
      <c r="A28" s="373" t="s">
        <v>447</v>
      </c>
      <c r="B28" s="365"/>
      <c r="C28" s="371"/>
      <c r="D28" s="371"/>
      <c r="E28" s="371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4">
        <f t="shared" ref="U28:HX28" si="10">U27*0.0419</f>
        <v>0.0212852</v>
      </c>
      <c r="V28" s="374">
        <f t="shared" si="10"/>
        <v>0.0258523</v>
      </c>
      <c r="W28" s="374">
        <f t="shared" si="10"/>
        <v>0.040224</v>
      </c>
      <c r="X28" s="374">
        <f t="shared" si="10"/>
        <v>0.0428637</v>
      </c>
      <c r="Y28" s="374">
        <f t="shared" si="10"/>
        <v>0.0371653</v>
      </c>
      <c r="Z28" s="374">
        <f t="shared" si="10"/>
        <v>0.0970404</v>
      </c>
      <c r="AA28" s="374">
        <f t="shared" si="10"/>
        <v>0.0448749</v>
      </c>
      <c r="AB28" s="374">
        <f t="shared" si="10"/>
        <v>0.0258942</v>
      </c>
      <c r="AC28" s="374">
        <f t="shared" si="10"/>
        <v>0.02514</v>
      </c>
      <c r="AD28" s="374">
        <f t="shared" si="10"/>
        <v>0.024302</v>
      </c>
      <c r="AE28" s="374">
        <f t="shared" si="10"/>
        <v>0.0219975</v>
      </c>
      <c r="AF28" s="374">
        <f t="shared" si="10"/>
        <v>0.0305451</v>
      </c>
      <c r="AG28" s="374">
        <f t="shared" si="10"/>
        <v>0.0436179</v>
      </c>
      <c r="AH28" s="374">
        <f t="shared" si="10"/>
        <v>0.0443721</v>
      </c>
      <c r="AI28" s="374">
        <f t="shared" si="10"/>
        <v>0.0474308</v>
      </c>
      <c r="AJ28" s="374">
        <f t="shared" si="10"/>
        <v>0.0291624</v>
      </c>
      <c r="AK28" s="374">
        <f t="shared" si="10"/>
        <v>0.0145812</v>
      </c>
      <c r="AL28" s="374">
        <f t="shared" si="10"/>
        <v>0.0136175</v>
      </c>
      <c r="AM28" s="374">
        <f t="shared" si="10"/>
        <v>0.0174304</v>
      </c>
      <c r="AN28" s="374">
        <f t="shared" si="10"/>
        <v>0.0107264</v>
      </c>
      <c r="AO28" s="374">
        <f t="shared" si="10"/>
        <v>0.0142879</v>
      </c>
      <c r="AP28" s="374">
        <f t="shared" si="10"/>
        <v>0.0273607</v>
      </c>
      <c r="AQ28" s="374">
        <f t="shared" si="10"/>
        <v>0.0176399</v>
      </c>
      <c r="AR28" s="374">
        <f t="shared" si="10"/>
        <v>0.0248048</v>
      </c>
      <c r="AS28" s="374">
        <f t="shared" si="10"/>
        <v>0.0207405</v>
      </c>
      <c r="AT28" s="374">
        <f t="shared" si="10"/>
        <v>0.0201958</v>
      </c>
      <c r="AU28" s="374">
        <f t="shared" si="10"/>
        <v>0.019693</v>
      </c>
      <c r="AV28" s="374">
        <f t="shared" si="10"/>
        <v>0.035196</v>
      </c>
      <c r="AW28" s="374">
        <f t="shared" si="10"/>
        <v>0.0338552</v>
      </c>
      <c r="AX28" s="374">
        <f t="shared" si="10"/>
        <v>0.0264389</v>
      </c>
      <c r="AY28" s="374">
        <f t="shared" si="10"/>
        <v>0.0253076</v>
      </c>
      <c r="AZ28" s="374">
        <f t="shared" si="10"/>
        <v>0.0181846</v>
      </c>
      <c r="BA28" s="374">
        <f t="shared" si="10"/>
        <v>0.0172628</v>
      </c>
      <c r="BB28" s="374">
        <f t="shared" si="10"/>
        <v>0.0333943</v>
      </c>
      <c r="BC28" s="374">
        <f t="shared" si="10"/>
        <v>0.0343161</v>
      </c>
      <c r="BD28" s="374">
        <f t="shared" si="10"/>
        <v>0.0364111</v>
      </c>
      <c r="BE28" s="374">
        <f t="shared" si="10"/>
        <v>0.0363692</v>
      </c>
      <c r="BF28" s="374">
        <f t="shared" si="10"/>
        <v>0.0244696</v>
      </c>
      <c r="BG28" s="374">
        <f t="shared" si="10"/>
        <v>0.0147488</v>
      </c>
      <c r="BH28" s="374">
        <f t="shared" si="10"/>
        <v>0.0261875</v>
      </c>
      <c r="BI28" s="374">
        <f t="shared" si="10"/>
        <v>0.0161315</v>
      </c>
      <c r="BJ28" s="374">
        <f t="shared" si="10"/>
        <v>0.0343161</v>
      </c>
      <c r="BK28" s="374">
        <f t="shared" si="10"/>
        <v>0.0142879</v>
      </c>
      <c r="BL28" s="374">
        <f t="shared" si="10"/>
        <v>0.0260199</v>
      </c>
      <c r="BM28" s="374">
        <f t="shared" si="10"/>
        <v>0.0348189</v>
      </c>
      <c r="BN28" s="374">
        <f t="shared" si="10"/>
        <v>0.0380033</v>
      </c>
      <c r="BO28" s="374">
        <f t="shared" si="10"/>
        <v>0.0352798</v>
      </c>
      <c r="BP28" s="374">
        <f t="shared" si="10"/>
        <v>0.034358</v>
      </c>
      <c r="BQ28" s="374">
        <f t="shared" si="10"/>
        <v>0.043576</v>
      </c>
      <c r="BR28" s="374">
        <f t="shared" si="10"/>
        <v>0.020531</v>
      </c>
      <c r="BS28" s="374">
        <f t="shared" si="10"/>
        <v>0.018855</v>
      </c>
      <c r="BT28" s="374">
        <f t="shared" si="10"/>
        <v>0.008799</v>
      </c>
      <c r="BU28" s="374">
        <f t="shared" si="10"/>
        <v>0.024721</v>
      </c>
      <c r="BV28" s="374">
        <f t="shared" si="10"/>
        <v>0.026397</v>
      </c>
      <c r="BW28" s="374">
        <f t="shared" si="10"/>
        <v>0.0162153</v>
      </c>
      <c r="BX28" s="374">
        <f t="shared" si="10"/>
        <v>0.024721</v>
      </c>
      <c r="BY28" s="374">
        <f t="shared" si="10"/>
        <v>0.0083381</v>
      </c>
      <c r="BZ28" s="374">
        <f t="shared" si="10"/>
        <v>0.0228774</v>
      </c>
      <c r="CA28" s="374">
        <f t="shared" si="10"/>
        <v>0.010894</v>
      </c>
      <c r="CB28" s="374">
        <f t="shared" si="10"/>
        <v>0.0174304</v>
      </c>
      <c r="CC28" s="374">
        <f t="shared" si="10"/>
        <v>0.0206986</v>
      </c>
      <c r="CD28" s="374">
        <f t="shared" si="10"/>
        <v>0.0321792</v>
      </c>
      <c r="CE28" s="374">
        <f t="shared" si="10"/>
        <v>0.029749</v>
      </c>
      <c r="CF28" s="374">
        <f t="shared" si="10"/>
        <v>0.030587</v>
      </c>
      <c r="CG28" s="374">
        <f t="shared" si="10"/>
        <v>0.0367044</v>
      </c>
      <c r="CH28" s="374">
        <f t="shared" si="10"/>
        <v>0.0299166</v>
      </c>
      <c r="CI28" s="374">
        <f t="shared" si="10"/>
        <v>0.027654</v>
      </c>
      <c r="CJ28" s="374">
        <f t="shared" si="10"/>
        <v>0.043576</v>
      </c>
      <c r="CK28" s="374">
        <f t="shared" si="10"/>
        <v>0.023045</v>
      </c>
      <c r="CL28" s="374">
        <f t="shared" si="10"/>
        <v>0.0338552</v>
      </c>
      <c r="CM28" s="374">
        <f t="shared" si="10"/>
        <v>0.0332686</v>
      </c>
      <c r="CN28" s="374">
        <f t="shared" si="10"/>
        <v>0.0252657</v>
      </c>
      <c r="CO28" s="374">
        <f t="shared" si="10"/>
        <v>0.0254752</v>
      </c>
      <c r="CP28" s="374">
        <f t="shared" si="10"/>
        <v>0.035196</v>
      </c>
      <c r="CQ28" s="374">
        <f t="shared" si="10"/>
        <v>0.0194835</v>
      </c>
      <c r="CR28" s="374">
        <f t="shared" si="10"/>
        <v>0.0449587</v>
      </c>
      <c r="CS28" s="374">
        <f t="shared" si="10"/>
        <v>0.0172209</v>
      </c>
      <c r="CT28" s="374">
        <f t="shared" si="10"/>
        <v>0.044833</v>
      </c>
      <c r="CU28" s="374">
        <f t="shared" si="10"/>
        <v>0.0372072</v>
      </c>
      <c r="CV28" s="374">
        <f t="shared" si="10"/>
        <v>0.0149583</v>
      </c>
      <c r="CW28" s="374">
        <f t="shared" si="10"/>
        <v>0.0277797</v>
      </c>
      <c r="CX28" s="374">
        <f t="shared" si="10"/>
        <v>0.02514</v>
      </c>
      <c r="CY28" s="374">
        <f t="shared" si="10"/>
        <v>0.0419</v>
      </c>
      <c r="CZ28" s="374">
        <f t="shared" si="10"/>
        <v>0.031844</v>
      </c>
      <c r="DA28" s="374">
        <f t="shared" si="10"/>
        <v>0.031006</v>
      </c>
      <c r="DB28" s="374">
        <f t="shared" si="10"/>
        <v>0.0429894</v>
      </c>
      <c r="DC28" s="374">
        <f t="shared" si="10"/>
        <v>0.0382128</v>
      </c>
      <c r="DD28" s="374">
        <f t="shared" si="10"/>
        <v>0.0491068</v>
      </c>
      <c r="DE28" s="374">
        <f t="shared" si="10"/>
        <v>0.036872</v>
      </c>
      <c r="DF28" s="374">
        <f t="shared" si="10"/>
        <v>0.027654</v>
      </c>
      <c r="DG28" s="374">
        <f t="shared" si="10"/>
        <v>0.030587</v>
      </c>
      <c r="DH28" s="374">
        <f t="shared" si="10"/>
        <v>0.037291</v>
      </c>
      <c r="DI28" s="374">
        <f t="shared" si="10"/>
        <v>0.052794</v>
      </c>
      <c r="DJ28" s="374">
        <f t="shared" si="10"/>
        <v>0.048604</v>
      </c>
      <c r="DK28" s="374">
        <f t="shared" si="10"/>
        <v>0.0451263</v>
      </c>
      <c r="DL28" s="374">
        <f t="shared" si="10"/>
        <v>0.0447492</v>
      </c>
      <c r="DM28" s="374">
        <f t="shared" si="10"/>
        <v>0.0309222</v>
      </c>
      <c r="DN28" s="374">
        <f t="shared" si="10"/>
        <v>0.0426123</v>
      </c>
      <c r="DO28" s="374">
        <f t="shared" si="10"/>
        <v>0.026397</v>
      </c>
      <c r="DP28" s="374">
        <f t="shared" si="10"/>
        <v>0.025559</v>
      </c>
      <c r="DQ28" s="374">
        <f t="shared" si="10"/>
        <v>0.02933</v>
      </c>
      <c r="DR28" s="374">
        <f t="shared" si="10"/>
        <v>0.02095</v>
      </c>
      <c r="DS28" s="374">
        <f t="shared" si="10"/>
        <v>0.028911</v>
      </c>
      <c r="DT28" s="374">
        <f t="shared" si="10"/>
        <v>0.027235</v>
      </c>
      <c r="DU28" s="374">
        <f t="shared" si="10"/>
        <v>0.027235</v>
      </c>
      <c r="DV28" s="374">
        <f t="shared" si="10"/>
        <v>0.022207</v>
      </c>
      <c r="DW28" s="374">
        <f t="shared" si="10"/>
        <v>0.0242601</v>
      </c>
      <c r="DX28" s="374">
        <f t="shared" si="10"/>
        <v>0.0314669</v>
      </c>
      <c r="DY28" s="374">
        <f t="shared" si="10"/>
        <v>0.036872</v>
      </c>
      <c r="DZ28" s="374">
        <f t="shared" si="10"/>
        <v>0.032682</v>
      </c>
      <c r="EA28" s="374">
        <f t="shared" si="10"/>
        <v>0.031006</v>
      </c>
      <c r="EB28" s="374">
        <f t="shared" si="10"/>
        <v>0.02514</v>
      </c>
      <c r="EC28" s="374">
        <f t="shared" si="10"/>
        <v>0.021369</v>
      </c>
      <c r="ED28" s="374">
        <f t="shared" si="10"/>
        <v>0.043576</v>
      </c>
      <c r="EE28" s="374">
        <f t="shared" si="10"/>
        <v>0.038548</v>
      </c>
      <c r="EF28" s="374">
        <f t="shared" si="10"/>
        <v>0.022207</v>
      </c>
      <c r="EG28" s="374">
        <f t="shared" si="10"/>
        <v>0.030587</v>
      </c>
      <c r="EH28" s="374">
        <f t="shared" si="10"/>
        <v>0.022626</v>
      </c>
      <c r="EI28" s="374">
        <f t="shared" si="10"/>
        <v>0.033101</v>
      </c>
      <c r="EJ28" s="374">
        <f t="shared" si="10"/>
        <v>0.038129</v>
      </c>
      <c r="EK28" s="374">
        <f t="shared" si="10"/>
        <v>0.01257</v>
      </c>
      <c r="EL28" s="374">
        <f t="shared" si="10"/>
        <v>0.010056</v>
      </c>
      <c r="EM28" s="374">
        <f t="shared" si="10"/>
        <v>0.016341</v>
      </c>
      <c r="EN28" s="374">
        <f t="shared" si="10"/>
        <v>0.013827</v>
      </c>
      <c r="EO28" s="374">
        <f t="shared" si="10"/>
        <v>0.039805</v>
      </c>
      <c r="EP28" s="374">
        <f t="shared" si="10"/>
        <v>0.002514</v>
      </c>
      <c r="EQ28" s="374">
        <f t="shared" si="10"/>
        <v>0.027235</v>
      </c>
      <c r="ER28" s="374">
        <f t="shared" si="10"/>
        <v>0.043995</v>
      </c>
      <c r="ES28" s="374">
        <f t="shared" si="10"/>
        <v>0.0391346</v>
      </c>
      <c r="ET28" s="374">
        <f t="shared" si="10"/>
        <v>0.0371234</v>
      </c>
      <c r="EU28" s="374">
        <f t="shared" si="10"/>
        <v>0.032682</v>
      </c>
      <c r="EV28" s="374">
        <f t="shared" si="10"/>
        <v>0.014665</v>
      </c>
      <c r="EW28" s="374">
        <f t="shared" si="10"/>
        <v>0.012989</v>
      </c>
      <c r="EX28" s="374">
        <f t="shared" si="10"/>
        <v>0.00419</v>
      </c>
      <c r="EY28" s="374">
        <f t="shared" si="10"/>
        <v>0.018017</v>
      </c>
      <c r="EZ28" s="374">
        <f t="shared" si="10"/>
        <v>0.02095</v>
      </c>
      <c r="FA28" s="374">
        <f t="shared" si="10"/>
        <v>0.023883</v>
      </c>
      <c r="FB28" s="374">
        <f t="shared" si="10"/>
        <v>0.018436</v>
      </c>
      <c r="FC28" s="374">
        <f t="shared" si="10"/>
        <v>0.023883</v>
      </c>
      <c r="FD28" s="374">
        <f t="shared" si="10"/>
        <v>0.022207</v>
      </c>
      <c r="FE28" s="374">
        <f t="shared" si="10"/>
        <v>0.025978</v>
      </c>
      <c r="FF28" s="374">
        <f t="shared" si="10"/>
        <v>0.006285</v>
      </c>
      <c r="FG28" s="374">
        <f t="shared" si="10"/>
        <v>0.043576</v>
      </c>
      <c r="FH28" s="374">
        <f t="shared" si="10"/>
        <v>0.031844</v>
      </c>
      <c r="FI28" s="374">
        <f t="shared" si="10"/>
        <v>0.02933</v>
      </c>
      <c r="FJ28" s="374">
        <f t="shared" si="10"/>
        <v>0.026397</v>
      </c>
      <c r="FK28" s="374">
        <f t="shared" si="10"/>
        <v>0.021788</v>
      </c>
      <c r="FL28" s="374">
        <f t="shared" si="10"/>
        <v>0.073744</v>
      </c>
      <c r="FM28" s="374">
        <f t="shared" si="10"/>
        <v>0.022626</v>
      </c>
      <c r="FN28" s="374">
        <f t="shared" si="10"/>
        <v>0.04609</v>
      </c>
      <c r="FO28" s="374">
        <f t="shared" si="10"/>
        <v>0.049442</v>
      </c>
      <c r="FP28" s="374">
        <f t="shared" si="10"/>
        <v>0.028911</v>
      </c>
      <c r="FQ28" s="374">
        <f t="shared" si="10"/>
        <v>0.02095</v>
      </c>
      <c r="FR28" s="374">
        <f t="shared" si="10"/>
        <v>0.023464</v>
      </c>
      <c r="FS28" s="374">
        <f t="shared" si="10"/>
        <v>0.006285</v>
      </c>
      <c r="FT28" s="374">
        <f t="shared" si="10"/>
        <v>0.021788</v>
      </c>
      <c r="FU28" s="374">
        <f t="shared" si="10"/>
        <v>0.01676</v>
      </c>
      <c r="FV28" s="374">
        <f t="shared" si="10"/>
        <v>0.025978</v>
      </c>
      <c r="FW28" s="374">
        <f t="shared" si="10"/>
        <v>0.019274</v>
      </c>
      <c r="FX28" s="374">
        <f t="shared" si="10"/>
        <v>0.028073</v>
      </c>
      <c r="FY28" s="374">
        <f t="shared" si="10"/>
        <v>0.022207</v>
      </c>
      <c r="FZ28" s="374">
        <f t="shared" si="10"/>
        <v>0.031425</v>
      </c>
      <c r="GA28" s="374">
        <f t="shared" si="10"/>
        <v>0.037291</v>
      </c>
      <c r="GB28" s="374">
        <f t="shared" si="10"/>
        <v>0.025559</v>
      </c>
      <c r="GC28" s="374">
        <f t="shared" si="10"/>
        <v>0.041062</v>
      </c>
      <c r="GD28" s="374">
        <f t="shared" si="10"/>
        <v>0.038129</v>
      </c>
      <c r="GE28" s="374">
        <f t="shared" si="10"/>
        <v>0.032263</v>
      </c>
      <c r="GF28" s="374">
        <f t="shared" si="10"/>
        <v>0.028492</v>
      </c>
      <c r="GG28" s="374">
        <f t="shared" si="10"/>
        <v>0.036034</v>
      </c>
      <c r="GH28" s="374">
        <f t="shared" si="10"/>
        <v>0.022626</v>
      </c>
      <c r="GI28" s="374">
        <f t="shared" si="10"/>
        <v>0.031006</v>
      </c>
      <c r="GJ28" s="374">
        <f t="shared" si="10"/>
        <v>0.030168</v>
      </c>
      <c r="GK28" s="374">
        <f t="shared" si="10"/>
        <v>0.021369</v>
      </c>
      <c r="GL28" s="374">
        <f t="shared" si="10"/>
        <v>0.036453</v>
      </c>
      <c r="GM28" s="374">
        <f t="shared" si="10"/>
        <v>0.036453</v>
      </c>
      <c r="GN28" s="374">
        <f t="shared" si="10"/>
        <v>0.041062</v>
      </c>
      <c r="GO28" s="374">
        <f t="shared" si="10"/>
        <v>0.02933</v>
      </c>
      <c r="GP28" s="374">
        <f t="shared" si="10"/>
        <v>0.035196</v>
      </c>
      <c r="GQ28" s="374">
        <f t="shared" si="10"/>
        <v>0.04609</v>
      </c>
      <c r="GR28" s="374">
        <f t="shared" si="10"/>
        <v>0.039386</v>
      </c>
      <c r="GS28" s="374">
        <f t="shared" si="10"/>
        <v>0.02095</v>
      </c>
      <c r="GT28" s="374">
        <f t="shared" si="10"/>
        <v>0.041481</v>
      </c>
      <c r="GU28" s="374">
        <f t="shared" si="10"/>
        <v>0.02933</v>
      </c>
      <c r="GV28" s="374">
        <f t="shared" si="10"/>
        <v>0.018017</v>
      </c>
      <c r="GW28" s="374">
        <f t="shared" si="10"/>
        <v>0.036872</v>
      </c>
      <c r="GX28" s="374">
        <f t="shared" si="10"/>
        <v>0.001676</v>
      </c>
      <c r="GY28" s="374">
        <f t="shared" si="10"/>
        <v>0.027654</v>
      </c>
      <c r="GZ28" s="374">
        <f t="shared" si="10"/>
        <v>0.013827</v>
      </c>
      <c r="HA28" s="374">
        <f t="shared" si="10"/>
        <v>0.018017</v>
      </c>
      <c r="HB28" s="374">
        <f t="shared" si="10"/>
        <v>0.01676</v>
      </c>
      <c r="HC28" s="374">
        <f t="shared" si="10"/>
        <v>0.007123</v>
      </c>
      <c r="HD28" s="374">
        <f t="shared" si="10"/>
        <v>0.017598</v>
      </c>
      <c r="HE28" s="374">
        <f t="shared" si="10"/>
        <v>0.015922</v>
      </c>
      <c r="HF28" s="374">
        <f t="shared" si="10"/>
        <v>0.017179</v>
      </c>
      <c r="HG28" s="374">
        <f t="shared" si="10"/>
        <v>0.025978</v>
      </c>
      <c r="HH28" s="374">
        <f t="shared" si="10"/>
        <v>0.038129</v>
      </c>
      <c r="HI28" s="374">
        <f t="shared" si="10"/>
        <v>0.041062</v>
      </c>
      <c r="HJ28" s="374">
        <f t="shared" si="10"/>
        <v>0.034777</v>
      </c>
      <c r="HK28" s="374">
        <f t="shared" si="10"/>
        <v>0.019274</v>
      </c>
      <c r="HL28" s="374">
        <f t="shared" si="10"/>
        <v>0.031844</v>
      </c>
      <c r="HM28" s="374">
        <f t="shared" si="10"/>
        <v>0.022626</v>
      </c>
      <c r="HN28" s="374">
        <f t="shared" si="10"/>
        <v>0.009637</v>
      </c>
      <c r="HO28" s="374">
        <f t="shared" si="10"/>
        <v>0.007123</v>
      </c>
      <c r="HP28" s="374">
        <f t="shared" si="10"/>
        <v>0.018436</v>
      </c>
      <c r="HQ28" s="374">
        <f t="shared" si="10"/>
        <v>0.020531</v>
      </c>
      <c r="HR28" s="374">
        <f t="shared" si="10"/>
        <v>0.015084</v>
      </c>
      <c r="HS28" s="374">
        <f t="shared" si="10"/>
        <v>0.010056</v>
      </c>
      <c r="HT28" s="374">
        <f t="shared" si="10"/>
        <v>0.00838</v>
      </c>
      <c r="HU28" s="374">
        <f t="shared" si="10"/>
        <v>0.022207</v>
      </c>
      <c r="HV28" s="374">
        <f t="shared" si="10"/>
        <v>0.002514</v>
      </c>
      <c r="HW28" s="374">
        <f t="shared" si="10"/>
        <v>0.028073</v>
      </c>
      <c r="HX28" s="374">
        <f t="shared" si="10"/>
        <v>0.012989</v>
      </c>
      <c r="HY28" s="374"/>
      <c r="HZ28" s="374"/>
      <c r="IA28" s="374"/>
      <c r="IB28" s="374"/>
    </row>
    <row r="29" ht="15.75" customHeight="1">
      <c r="A29" s="364" t="s">
        <v>448</v>
      </c>
      <c r="B29" s="365"/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4">
        <f t="shared" ref="U29:HX29" si="11">U25-U28</f>
        <v>0.4187148</v>
      </c>
      <c r="V29" s="374">
        <f t="shared" si="11"/>
        <v>0.6741477</v>
      </c>
      <c r="W29" s="374">
        <f t="shared" si="11"/>
        <v>0.789776</v>
      </c>
      <c r="X29" s="374">
        <f t="shared" si="11"/>
        <v>0.8171363</v>
      </c>
      <c r="Y29" s="374">
        <f t="shared" si="11"/>
        <v>0.8828347</v>
      </c>
      <c r="Z29" s="374">
        <f t="shared" si="11"/>
        <v>1.1829596</v>
      </c>
      <c r="AA29" s="374">
        <f t="shared" si="11"/>
        <v>0.3451251</v>
      </c>
      <c r="AB29" s="374">
        <f t="shared" si="11"/>
        <v>0.9941058</v>
      </c>
      <c r="AC29" s="374">
        <f t="shared" si="11"/>
        <v>0.67486</v>
      </c>
      <c r="AD29" s="374">
        <f t="shared" si="11"/>
        <v>0.765698</v>
      </c>
      <c r="AE29" s="374">
        <f t="shared" si="11"/>
        <v>0.5880025</v>
      </c>
      <c r="AF29" s="374">
        <f t="shared" si="11"/>
        <v>0.5444549</v>
      </c>
      <c r="AG29" s="374">
        <f t="shared" si="11"/>
        <v>0.7353821</v>
      </c>
      <c r="AH29" s="374">
        <f t="shared" si="11"/>
        <v>0.8196279</v>
      </c>
      <c r="AI29" s="374">
        <f t="shared" si="11"/>
        <v>0.7805692</v>
      </c>
      <c r="AJ29" s="374">
        <f t="shared" si="11"/>
        <v>0.8348376</v>
      </c>
      <c r="AK29" s="374">
        <f t="shared" si="11"/>
        <v>0.6354188</v>
      </c>
      <c r="AL29" s="374">
        <f t="shared" si="11"/>
        <v>0.6563825</v>
      </c>
      <c r="AM29" s="374">
        <f t="shared" si="11"/>
        <v>0.5865696</v>
      </c>
      <c r="AN29" s="374">
        <f t="shared" si="11"/>
        <v>0.7422736</v>
      </c>
      <c r="AO29" s="374">
        <f t="shared" si="11"/>
        <v>0.7347121</v>
      </c>
      <c r="AP29" s="374">
        <f t="shared" si="11"/>
        <v>0.9556393</v>
      </c>
      <c r="AQ29" s="374">
        <f t="shared" si="11"/>
        <v>0.6293601</v>
      </c>
      <c r="AR29" s="374">
        <f t="shared" si="11"/>
        <v>0.6261952</v>
      </c>
      <c r="AS29" s="374">
        <f t="shared" si="11"/>
        <v>0.5582595</v>
      </c>
      <c r="AT29" s="374">
        <f t="shared" si="11"/>
        <v>0.6518042</v>
      </c>
      <c r="AU29" s="374">
        <f t="shared" si="11"/>
        <v>0.517307</v>
      </c>
      <c r="AV29" s="374">
        <f t="shared" si="11"/>
        <v>0.359804</v>
      </c>
      <c r="AW29" s="374">
        <f t="shared" si="11"/>
        <v>0.6061448</v>
      </c>
      <c r="AX29" s="374">
        <f t="shared" si="11"/>
        <v>0.3435611</v>
      </c>
      <c r="AY29" s="374">
        <f t="shared" si="11"/>
        <v>0.4546924</v>
      </c>
      <c r="AZ29" s="374">
        <f t="shared" si="11"/>
        <v>0.3318154</v>
      </c>
      <c r="BA29" s="374">
        <f t="shared" si="11"/>
        <v>0.2527372</v>
      </c>
      <c r="BB29" s="374">
        <f t="shared" si="11"/>
        <v>0.4766057</v>
      </c>
      <c r="BC29" s="374">
        <f t="shared" si="11"/>
        <v>0.4556839</v>
      </c>
      <c r="BD29" s="374">
        <f t="shared" si="11"/>
        <v>0.5735889</v>
      </c>
      <c r="BE29" s="374">
        <f t="shared" si="11"/>
        <v>0.6436308</v>
      </c>
      <c r="BF29" s="374">
        <f t="shared" si="11"/>
        <v>0.5755304</v>
      </c>
      <c r="BG29" s="374">
        <f t="shared" si="11"/>
        <v>0.3652512</v>
      </c>
      <c r="BH29" s="374">
        <f t="shared" si="11"/>
        <v>0.5438125</v>
      </c>
      <c r="BI29" s="374">
        <f t="shared" si="11"/>
        <v>0.3038685</v>
      </c>
      <c r="BJ29" s="374">
        <f t="shared" si="11"/>
        <v>0.4536839</v>
      </c>
      <c r="BK29" s="374">
        <f t="shared" si="11"/>
        <v>0.2877121</v>
      </c>
      <c r="BL29" s="374">
        <f t="shared" si="11"/>
        <v>0.2739801</v>
      </c>
      <c r="BM29" s="374">
        <f t="shared" si="11"/>
        <v>0.3851811</v>
      </c>
      <c r="BN29" s="374">
        <f t="shared" si="11"/>
        <v>0.0319967</v>
      </c>
      <c r="BO29" s="374">
        <f t="shared" si="11"/>
        <v>0.4247202</v>
      </c>
      <c r="BP29" s="374">
        <f t="shared" si="11"/>
        <v>0.417642</v>
      </c>
      <c r="BQ29" s="374">
        <f t="shared" si="11"/>
        <v>0.434424</v>
      </c>
      <c r="BR29" s="374">
        <f t="shared" si="11"/>
        <v>0.379469</v>
      </c>
      <c r="BS29" s="374">
        <f t="shared" si="11"/>
        <v>0.331145</v>
      </c>
      <c r="BT29" s="374">
        <f t="shared" si="11"/>
        <v>0.271201</v>
      </c>
      <c r="BU29" s="374">
        <f t="shared" si="11"/>
        <v>0.365279</v>
      </c>
      <c r="BV29" s="374">
        <f t="shared" si="11"/>
        <v>0.353603</v>
      </c>
      <c r="BW29" s="374">
        <f t="shared" si="11"/>
        <v>0.3037847</v>
      </c>
      <c r="BX29" s="374">
        <f t="shared" si="11"/>
        <v>0.415279</v>
      </c>
      <c r="BY29" s="374">
        <f t="shared" si="11"/>
        <v>0.2516619</v>
      </c>
      <c r="BZ29" s="374">
        <f t="shared" si="11"/>
        <v>0.3371226</v>
      </c>
      <c r="CA29" s="374">
        <f t="shared" si="11"/>
        <v>0.289106</v>
      </c>
      <c r="CB29" s="374">
        <f t="shared" si="11"/>
        <v>0.1425696</v>
      </c>
      <c r="CC29" s="374">
        <f t="shared" si="11"/>
        <v>0.5393014</v>
      </c>
      <c r="CD29" s="374">
        <f t="shared" si="11"/>
        <v>0.2878208</v>
      </c>
      <c r="CE29" s="374">
        <f t="shared" si="11"/>
        <v>0.500251</v>
      </c>
      <c r="CF29" s="374">
        <f t="shared" si="11"/>
        <v>0.429413</v>
      </c>
      <c r="CG29" s="374">
        <f t="shared" si="11"/>
        <v>0.1832956</v>
      </c>
      <c r="CH29" s="374">
        <f t="shared" si="11"/>
        <v>0.3700834</v>
      </c>
      <c r="CI29" s="374">
        <f t="shared" si="11"/>
        <v>0.302346</v>
      </c>
      <c r="CJ29" s="374">
        <f t="shared" si="11"/>
        <v>0.506424</v>
      </c>
      <c r="CK29" s="374">
        <f t="shared" si="11"/>
        <v>0.376955</v>
      </c>
      <c r="CL29" s="374">
        <f t="shared" si="11"/>
        <v>0.3861448</v>
      </c>
      <c r="CM29" s="374">
        <f t="shared" si="11"/>
        <v>0.3267314</v>
      </c>
      <c r="CN29" s="374">
        <f t="shared" si="11"/>
        <v>0.4287343</v>
      </c>
      <c r="CO29" s="374">
        <f t="shared" si="11"/>
        <v>0.2805248</v>
      </c>
      <c r="CP29" s="374">
        <f t="shared" si="11"/>
        <v>0.434804</v>
      </c>
      <c r="CQ29" s="374">
        <f t="shared" si="11"/>
        <v>0.2805165</v>
      </c>
      <c r="CR29" s="374">
        <f t="shared" si="11"/>
        <v>0.5160413</v>
      </c>
      <c r="CS29" s="374">
        <f t="shared" si="11"/>
        <v>0.2547791</v>
      </c>
      <c r="CT29" s="374">
        <f t="shared" si="11"/>
        <v>0.437167</v>
      </c>
      <c r="CU29" s="374">
        <f t="shared" si="11"/>
        <v>0.4677928</v>
      </c>
      <c r="CV29" s="374">
        <f t="shared" si="11"/>
        <v>0.2950417</v>
      </c>
      <c r="CW29" s="374">
        <f t="shared" si="11"/>
        <v>0.3422203</v>
      </c>
      <c r="CX29" s="374">
        <f t="shared" si="11"/>
        <v>0.31486</v>
      </c>
      <c r="CY29" s="374">
        <f t="shared" si="11"/>
        <v>0.4581</v>
      </c>
      <c r="CZ29" s="374">
        <f t="shared" si="11"/>
        <v>0.318156</v>
      </c>
      <c r="DA29" s="374">
        <f t="shared" si="11"/>
        <v>0.378994</v>
      </c>
      <c r="DB29" s="374">
        <f t="shared" si="11"/>
        <v>0.4670106</v>
      </c>
      <c r="DC29" s="374">
        <f t="shared" si="11"/>
        <v>0.4217872</v>
      </c>
      <c r="DD29" s="374">
        <f t="shared" si="11"/>
        <v>0.4508932</v>
      </c>
      <c r="DE29" s="374">
        <f t="shared" si="11"/>
        <v>0.353128</v>
      </c>
      <c r="DF29" s="374">
        <f t="shared" si="11"/>
        <v>0.692346</v>
      </c>
      <c r="DG29" s="374">
        <f t="shared" si="11"/>
        <v>0.279413</v>
      </c>
      <c r="DH29" s="374">
        <f t="shared" si="11"/>
        <v>0.432709</v>
      </c>
      <c r="DI29" s="374">
        <f t="shared" si="11"/>
        <v>0.477206</v>
      </c>
      <c r="DJ29" s="374">
        <f t="shared" si="11"/>
        <v>0.541396</v>
      </c>
      <c r="DK29" s="374">
        <f t="shared" si="11"/>
        <v>0.4448737</v>
      </c>
      <c r="DL29" s="374">
        <f t="shared" si="11"/>
        <v>0.3452508</v>
      </c>
      <c r="DM29" s="374">
        <f t="shared" si="11"/>
        <v>0.4070778</v>
      </c>
      <c r="DN29" s="374">
        <f t="shared" si="11"/>
        <v>0.4093877</v>
      </c>
      <c r="DO29" s="374">
        <f t="shared" si="11"/>
        <v>0.373603</v>
      </c>
      <c r="DP29" s="374">
        <f t="shared" si="11"/>
        <v>0.364441</v>
      </c>
      <c r="DQ29" s="374">
        <f t="shared" si="11"/>
        <v>0.38667</v>
      </c>
      <c r="DR29" s="374">
        <f t="shared" si="11"/>
        <v>0.40305</v>
      </c>
      <c r="DS29" s="374">
        <f t="shared" si="11"/>
        <v>0.811089</v>
      </c>
      <c r="DT29" s="374">
        <f t="shared" si="11"/>
        <v>0.062765</v>
      </c>
      <c r="DU29" s="374">
        <f t="shared" si="11"/>
        <v>0.172765</v>
      </c>
      <c r="DV29" s="374">
        <f t="shared" si="11"/>
        <v>0.327793</v>
      </c>
      <c r="DW29" s="374">
        <f t="shared" si="11"/>
        <v>0.3457399</v>
      </c>
      <c r="DX29" s="374">
        <f t="shared" si="11"/>
        <v>0.3885331</v>
      </c>
      <c r="DY29" s="374">
        <f t="shared" si="11"/>
        <v>0.423128</v>
      </c>
      <c r="DZ29" s="374">
        <f t="shared" si="11"/>
        <v>0.367318</v>
      </c>
      <c r="EA29" s="374">
        <f t="shared" si="11"/>
        <v>0.358994</v>
      </c>
      <c r="EB29" s="374">
        <f t="shared" si="11"/>
        <v>0.54486</v>
      </c>
      <c r="EC29" s="374">
        <f t="shared" si="11"/>
        <v>0.018631</v>
      </c>
      <c r="ED29" s="374">
        <f t="shared" si="11"/>
        <v>0.776424</v>
      </c>
      <c r="EE29" s="374">
        <f t="shared" si="11"/>
        <v>0.741452</v>
      </c>
      <c r="EF29" s="374">
        <f t="shared" si="11"/>
        <v>0.307793</v>
      </c>
      <c r="EG29" s="374">
        <f t="shared" si="11"/>
        <v>0.359413</v>
      </c>
      <c r="EH29" s="374">
        <f t="shared" si="11"/>
        <v>0.357374</v>
      </c>
      <c r="EI29" s="374">
        <f t="shared" si="11"/>
        <v>0.406899</v>
      </c>
      <c r="EJ29" s="374">
        <f t="shared" si="11"/>
        <v>0.431871</v>
      </c>
      <c r="EK29" s="374">
        <f t="shared" si="11"/>
        <v>0.24743</v>
      </c>
      <c r="EL29" s="374">
        <f t="shared" si="11"/>
        <v>0.299944</v>
      </c>
      <c r="EM29" s="374">
        <f t="shared" si="11"/>
        <v>0.353659</v>
      </c>
      <c r="EN29" s="374">
        <f t="shared" si="11"/>
        <v>0.346173</v>
      </c>
      <c r="EO29" s="374">
        <f t="shared" si="11"/>
        <v>0.310195</v>
      </c>
      <c r="EP29" s="374">
        <f t="shared" si="11"/>
        <v>0.407486</v>
      </c>
      <c r="EQ29" s="374">
        <f t="shared" si="11"/>
        <v>0.482765</v>
      </c>
      <c r="ER29" s="374">
        <f t="shared" si="11"/>
        <v>0.376005</v>
      </c>
      <c r="ES29" s="374">
        <f t="shared" si="11"/>
        <v>0.9308654</v>
      </c>
      <c r="ET29" s="374">
        <f t="shared" si="11"/>
        <v>0.3728766</v>
      </c>
      <c r="EU29" s="374">
        <f t="shared" si="11"/>
        <v>0.367318</v>
      </c>
      <c r="EV29" s="374">
        <f t="shared" si="11"/>
        <v>0.245335</v>
      </c>
      <c r="EW29" s="374">
        <f t="shared" si="11"/>
        <v>0.547011</v>
      </c>
      <c r="EX29" s="374">
        <f t="shared" si="11"/>
        <v>0.60581</v>
      </c>
      <c r="EY29" s="374">
        <f t="shared" si="11"/>
        <v>0.521983</v>
      </c>
      <c r="EZ29" s="374">
        <f t="shared" si="11"/>
        <v>0.50905</v>
      </c>
      <c r="FA29" s="374">
        <f t="shared" si="11"/>
        <v>0.576117</v>
      </c>
      <c r="FB29" s="374">
        <f t="shared" si="11"/>
        <v>0.411564</v>
      </c>
      <c r="FC29" s="374">
        <f t="shared" si="11"/>
        <v>0.696117</v>
      </c>
      <c r="FD29" s="374">
        <f t="shared" si="11"/>
        <v>0.467793</v>
      </c>
      <c r="FE29" s="374">
        <f t="shared" si="11"/>
        <v>0.414022</v>
      </c>
      <c r="FF29" s="374">
        <f t="shared" si="11"/>
        <v>0.363715</v>
      </c>
      <c r="FG29" s="374">
        <f t="shared" si="11"/>
        <v>0.636424</v>
      </c>
      <c r="FH29" s="374">
        <f t="shared" si="11"/>
        <v>0.378156</v>
      </c>
      <c r="FI29" s="374">
        <f t="shared" si="11"/>
        <v>0.74067</v>
      </c>
      <c r="FJ29" s="374">
        <f t="shared" si="11"/>
        <v>0.837603</v>
      </c>
      <c r="FK29" s="374">
        <f t="shared" si="11"/>
        <v>0.824212</v>
      </c>
      <c r="FL29" s="374">
        <f t="shared" si="11"/>
        <v>1.426256</v>
      </c>
      <c r="FM29" s="374">
        <f t="shared" si="11"/>
        <v>0.787374</v>
      </c>
      <c r="FN29" s="374">
        <f t="shared" si="11"/>
        <v>2.11391</v>
      </c>
      <c r="FO29" s="374">
        <f t="shared" si="11"/>
        <v>1.060558</v>
      </c>
      <c r="FP29" s="374">
        <f t="shared" si="11"/>
        <v>1.241089</v>
      </c>
      <c r="FQ29" s="374">
        <f t="shared" si="11"/>
        <v>1.24905</v>
      </c>
      <c r="FR29" s="374">
        <f t="shared" si="11"/>
        <v>1.116536</v>
      </c>
      <c r="FS29" s="374">
        <f t="shared" si="11"/>
        <v>0.633715</v>
      </c>
      <c r="FT29" s="374">
        <f t="shared" si="11"/>
        <v>0.758212</v>
      </c>
      <c r="FU29" s="374">
        <f t="shared" si="11"/>
        <v>0.48324</v>
      </c>
      <c r="FV29" s="374">
        <f t="shared" si="11"/>
        <v>0.084022</v>
      </c>
      <c r="FW29" s="374">
        <f t="shared" si="11"/>
        <v>0.410726</v>
      </c>
      <c r="FX29" s="374">
        <f t="shared" si="11"/>
        <v>0.661927</v>
      </c>
      <c r="FY29" s="374">
        <f t="shared" si="11"/>
        <v>0.697793</v>
      </c>
      <c r="FZ29" s="374">
        <f t="shared" si="11"/>
        <v>0.748575</v>
      </c>
      <c r="GA29" s="374">
        <f t="shared" si="11"/>
        <v>0.572709</v>
      </c>
      <c r="GB29" s="374">
        <f t="shared" si="11"/>
        <v>0.964441</v>
      </c>
      <c r="GC29" s="374">
        <f t="shared" si="11"/>
        <v>0.968938</v>
      </c>
      <c r="GD29" s="374">
        <f t="shared" si="11"/>
        <v>0.911871</v>
      </c>
      <c r="GE29" s="374">
        <f t="shared" si="11"/>
        <v>0.907737</v>
      </c>
      <c r="GF29" s="374">
        <f t="shared" si="11"/>
        <v>1.091508</v>
      </c>
      <c r="GG29" s="374">
        <f t="shared" si="11"/>
        <v>1.263966</v>
      </c>
      <c r="GH29" s="374">
        <f t="shared" si="11"/>
        <v>1.387374</v>
      </c>
      <c r="GI29" s="374">
        <f t="shared" si="11"/>
        <v>1.278994</v>
      </c>
      <c r="GJ29" s="374">
        <f t="shared" si="11"/>
        <v>1.149832</v>
      </c>
      <c r="GK29" s="374">
        <f t="shared" si="11"/>
        <v>1.038631</v>
      </c>
      <c r="GL29" s="374">
        <f t="shared" si="11"/>
        <v>1.003547</v>
      </c>
      <c r="GM29" s="374">
        <f t="shared" si="11"/>
        <v>1.103547</v>
      </c>
      <c r="GN29" s="374">
        <f t="shared" si="11"/>
        <v>1.008938</v>
      </c>
      <c r="GO29" s="374">
        <f t="shared" si="11"/>
        <v>1.21067</v>
      </c>
      <c r="GP29" s="374">
        <f t="shared" si="11"/>
        <v>1.314804</v>
      </c>
      <c r="GQ29" s="374">
        <f t="shared" si="11"/>
        <v>1.18391</v>
      </c>
      <c r="GR29" s="374">
        <f t="shared" si="11"/>
        <v>1.240614</v>
      </c>
      <c r="GS29" s="374">
        <f t="shared" si="11"/>
        <v>1.17805</v>
      </c>
      <c r="GT29" s="374">
        <f t="shared" si="11"/>
        <v>1.569519</v>
      </c>
      <c r="GU29" s="374">
        <f t="shared" si="11"/>
        <v>1.60067</v>
      </c>
      <c r="GV29" s="374">
        <f t="shared" si="11"/>
        <v>1.211983</v>
      </c>
      <c r="GW29" s="374">
        <f t="shared" si="11"/>
        <v>1.243128</v>
      </c>
      <c r="GX29" s="374">
        <f t="shared" si="11"/>
        <v>1.228324</v>
      </c>
      <c r="GY29" s="374">
        <f t="shared" si="11"/>
        <v>1.552346</v>
      </c>
      <c r="GZ29" s="374">
        <f t="shared" si="11"/>
        <v>0.956173</v>
      </c>
      <c r="HA29" s="374">
        <f t="shared" si="11"/>
        <v>1.201983</v>
      </c>
      <c r="HB29" s="374">
        <f t="shared" si="11"/>
        <v>0.85324</v>
      </c>
      <c r="HC29" s="374">
        <f t="shared" si="11"/>
        <v>0.402877</v>
      </c>
      <c r="HD29" s="374">
        <f t="shared" si="11"/>
        <v>0.982402</v>
      </c>
      <c r="HE29" s="374">
        <f t="shared" si="11"/>
        <v>1.164078</v>
      </c>
      <c r="HF29" s="374">
        <f t="shared" si="11"/>
        <v>0.222821</v>
      </c>
      <c r="HG29" s="374">
        <f t="shared" si="11"/>
        <v>0.504022</v>
      </c>
      <c r="HH29" s="374">
        <f t="shared" si="11"/>
        <v>1.801871</v>
      </c>
      <c r="HI29" s="374">
        <f t="shared" si="11"/>
        <v>4.138938</v>
      </c>
      <c r="HJ29" s="374">
        <f t="shared" si="11"/>
        <v>1.225223</v>
      </c>
      <c r="HK29" s="374">
        <f t="shared" si="11"/>
        <v>1.530726</v>
      </c>
      <c r="HL29" s="374">
        <f t="shared" si="11"/>
        <v>1.518156</v>
      </c>
      <c r="HM29" s="374">
        <f t="shared" si="11"/>
        <v>1.427374</v>
      </c>
      <c r="HN29" s="374">
        <f t="shared" si="11"/>
        <v>0.330363</v>
      </c>
      <c r="HO29" s="374">
        <f t="shared" si="11"/>
        <v>1.092877</v>
      </c>
      <c r="HP29" s="374">
        <f t="shared" si="11"/>
        <v>1.251564</v>
      </c>
      <c r="HQ29" s="374">
        <f t="shared" si="11"/>
        <v>1.339469</v>
      </c>
      <c r="HR29" s="374">
        <f t="shared" si="11"/>
        <v>1.254916</v>
      </c>
      <c r="HS29" s="374">
        <f t="shared" si="11"/>
        <v>2.394944</v>
      </c>
      <c r="HT29" s="374">
        <f t="shared" si="11"/>
        <v>2.49162</v>
      </c>
      <c r="HU29" s="374">
        <f t="shared" si="11"/>
        <v>2.032793</v>
      </c>
      <c r="HV29" s="374">
        <f t="shared" si="11"/>
        <v>1.987486</v>
      </c>
      <c r="HW29" s="374">
        <f t="shared" si="11"/>
        <v>3.031927</v>
      </c>
      <c r="HX29" s="374">
        <f t="shared" si="11"/>
        <v>3.457011</v>
      </c>
      <c r="HY29" s="374"/>
      <c r="HZ29" s="374"/>
      <c r="IA29" s="374"/>
      <c r="IB29" s="374"/>
    </row>
    <row r="30" ht="15.75" customHeight="1">
      <c r="A30" s="126" t="s">
        <v>159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ht="15.75" customHeight="1"/>
    <row r="32" ht="15.75" customHeight="1"/>
    <row r="33" ht="15.75" customHeight="1">
      <c r="A33" s="375" t="s">
        <v>449</v>
      </c>
      <c r="B33" s="354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63"/>
      <c r="P33" s="363"/>
      <c r="Q33" s="363"/>
      <c r="R33" s="363"/>
      <c r="S33" s="363"/>
      <c r="T33" s="363"/>
      <c r="U33" s="363"/>
      <c r="V33" s="363"/>
      <c r="W33" s="363"/>
      <c r="X33" s="363"/>
      <c r="Y33" s="363"/>
      <c r="Z33" s="363"/>
      <c r="AA33" s="363"/>
      <c r="AB33" s="363"/>
      <c r="AC33" s="363"/>
      <c r="AD33" s="363"/>
      <c r="AE33" s="363"/>
      <c r="AF33" s="363"/>
      <c r="AG33" s="363"/>
      <c r="AH33" s="363"/>
      <c r="AI33" s="363"/>
      <c r="AJ33" s="363"/>
      <c r="AK33" s="363"/>
      <c r="AL33" s="363"/>
      <c r="AM33" s="363"/>
      <c r="AN33" s="363"/>
      <c r="AO33" s="363"/>
      <c r="AP33" s="363"/>
      <c r="AQ33" s="363"/>
      <c r="AR33" s="363"/>
      <c r="AS33" s="363"/>
      <c r="AT33" s="363"/>
      <c r="AU33" s="363"/>
      <c r="AV33" s="363"/>
      <c r="AW33" s="363"/>
      <c r="AX33" s="363"/>
      <c r="AY33" s="363"/>
      <c r="AZ33" s="363"/>
      <c r="BA33" s="363"/>
      <c r="BB33" s="363"/>
      <c r="BC33" s="363"/>
      <c r="BD33" s="363"/>
      <c r="BE33" s="363"/>
      <c r="BF33" s="363"/>
      <c r="BG33" s="363"/>
      <c r="BH33" s="363"/>
      <c r="BI33" s="363"/>
      <c r="BJ33" s="363"/>
      <c r="BK33" s="363"/>
      <c r="BL33" s="363"/>
      <c r="BM33" s="363"/>
      <c r="BN33" s="363"/>
      <c r="BO33" s="363"/>
      <c r="BP33" s="363"/>
      <c r="BQ33" s="363"/>
      <c r="BR33" s="363"/>
      <c r="BS33" s="363"/>
      <c r="BT33" s="363"/>
      <c r="BU33" s="363"/>
      <c r="BV33" s="363"/>
      <c r="BW33" s="363"/>
      <c r="BX33" s="363"/>
      <c r="BY33" s="363"/>
      <c r="BZ33" s="363"/>
      <c r="CA33" s="363"/>
      <c r="CB33" s="363"/>
      <c r="CC33" s="363"/>
      <c r="CD33" s="363"/>
      <c r="CE33" s="363"/>
      <c r="CF33" s="363"/>
      <c r="CG33" s="363"/>
      <c r="CH33" s="363"/>
      <c r="CI33" s="363"/>
      <c r="CJ33" s="363"/>
      <c r="CK33" s="363"/>
      <c r="CL33" s="363"/>
      <c r="CM33" s="363"/>
      <c r="CN33" s="363"/>
      <c r="CO33" s="363"/>
      <c r="CP33" s="363"/>
      <c r="CQ33" s="363"/>
      <c r="CR33" s="363"/>
      <c r="CS33" s="363"/>
      <c r="CT33" s="363"/>
      <c r="CU33" s="363"/>
      <c r="CV33" s="363"/>
      <c r="CW33" s="363"/>
      <c r="CX33" s="363"/>
      <c r="CY33" s="363"/>
      <c r="CZ33" s="363"/>
      <c r="DA33" s="363"/>
      <c r="DB33" s="363"/>
      <c r="DC33" s="363"/>
      <c r="DD33" s="363"/>
      <c r="DE33" s="363"/>
      <c r="DF33" s="363"/>
      <c r="DG33" s="363"/>
      <c r="DH33" s="363"/>
      <c r="DI33" s="363"/>
      <c r="DJ33" s="363"/>
      <c r="DK33" s="363"/>
      <c r="DL33" s="363"/>
      <c r="DM33" s="363"/>
      <c r="DN33" s="363"/>
      <c r="DO33" s="363"/>
      <c r="DP33" s="363"/>
      <c r="DQ33" s="363"/>
      <c r="DR33" s="363"/>
      <c r="DS33" s="363"/>
      <c r="DT33" s="363"/>
      <c r="DU33" s="363"/>
      <c r="DV33" s="363"/>
      <c r="DW33" s="363"/>
      <c r="DX33" s="363"/>
      <c r="DY33" s="363"/>
      <c r="DZ33" s="363"/>
      <c r="EA33" s="363"/>
      <c r="EB33" s="363"/>
      <c r="EC33" s="363"/>
      <c r="ED33" s="363"/>
      <c r="EE33" s="363"/>
      <c r="EF33" s="363"/>
      <c r="EG33" s="363"/>
      <c r="EH33" s="363"/>
      <c r="EI33" s="363"/>
      <c r="EJ33" s="363"/>
      <c r="EK33" s="363"/>
      <c r="EL33" s="363"/>
      <c r="EM33" s="363"/>
      <c r="EN33" s="363"/>
      <c r="EO33" s="363"/>
      <c r="EP33" s="363"/>
      <c r="EQ33" s="363"/>
      <c r="ER33" s="363"/>
      <c r="ES33" s="363"/>
      <c r="ET33" s="363"/>
      <c r="EU33" s="363"/>
      <c r="EV33" s="363"/>
      <c r="EW33" s="363"/>
      <c r="EX33" s="363"/>
      <c r="EY33" s="363"/>
      <c r="EZ33" s="363"/>
      <c r="FA33" s="363"/>
      <c r="FB33" s="363"/>
      <c r="FC33" s="363"/>
      <c r="FD33" s="363"/>
      <c r="FE33" s="363"/>
      <c r="FF33" s="363"/>
      <c r="FG33" s="363"/>
      <c r="FH33" s="363"/>
      <c r="FI33" s="363"/>
      <c r="FJ33" s="363"/>
      <c r="FK33" s="363"/>
      <c r="FL33" s="363"/>
      <c r="FM33" s="363"/>
      <c r="FN33" s="363"/>
      <c r="FO33" s="363"/>
      <c r="FP33" s="363"/>
      <c r="FQ33" s="363"/>
      <c r="FR33" s="363"/>
      <c r="FS33" s="363"/>
      <c r="FT33" s="363"/>
      <c r="FU33" s="363"/>
      <c r="FV33" s="363"/>
      <c r="FW33" s="363"/>
      <c r="FX33" s="363"/>
      <c r="FY33" s="363"/>
      <c r="FZ33" s="363"/>
      <c r="GA33" s="363"/>
      <c r="GB33" s="363"/>
      <c r="GC33" s="363"/>
      <c r="GD33" s="363"/>
      <c r="GE33" s="363"/>
      <c r="GF33" s="363"/>
      <c r="GG33" s="363"/>
      <c r="GH33" s="363"/>
      <c r="GI33" s="363"/>
      <c r="GJ33" s="363"/>
      <c r="GK33" s="363"/>
      <c r="GL33" s="363"/>
      <c r="GM33" s="363"/>
      <c r="GN33" s="363"/>
      <c r="GO33" s="363"/>
      <c r="GP33" s="363"/>
      <c r="GQ33" s="363"/>
      <c r="GR33" s="363"/>
      <c r="GS33" s="363"/>
      <c r="GT33" s="363"/>
      <c r="GU33" s="363"/>
      <c r="GV33" s="363"/>
      <c r="GW33" s="363"/>
      <c r="GX33" s="363"/>
      <c r="GY33" s="363"/>
      <c r="GZ33" s="363"/>
      <c r="HA33" s="363"/>
      <c r="HB33" s="363"/>
      <c r="HC33" s="363"/>
      <c r="HD33" s="363"/>
      <c r="HE33" s="363"/>
      <c r="HF33" s="363"/>
      <c r="HG33" s="363"/>
      <c r="HH33" s="363"/>
      <c r="HI33" s="363"/>
      <c r="HJ33" s="363"/>
      <c r="HK33" s="363"/>
      <c r="HL33" s="363"/>
      <c r="HM33" s="363"/>
      <c r="HN33" s="363"/>
      <c r="HO33" s="363"/>
      <c r="HP33" s="363"/>
      <c r="HQ33" s="363"/>
      <c r="HR33" s="363"/>
      <c r="HS33" s="363"/>
      <c r="HT33" s="363"/>
      <c r="HU33" s="363"/>
      <c r="HV33" s="363"/>
      <c r="HW33" s="363"/>
      <c r="HX33" s="363"/>
      <c r="HY33" s="363"/>
      <c r="HZ33" s="363"/>
      <c r="IA33" s="363"/>
      <c r="IB33" s="363"/>
    </row>
    <row r="34" ht="15.75" customHeight="1">
      <c r="A34" s="126" t="s">
        <v>162</v>
      </c>
      <c r="D34" s="3">
        <v>788.0</v>
      </c>
      <c r="E34" s="3">
        <v>854.0</v>
      </c>
      <c r="F34" s="3">
        <v>885.45</v>
      </c>
      <c r="G34" s="3">
        <v>920.11</v>
      </c>
      <c r="H34" s="3">
        <v>940.08</v>
      </c>
      <c r="I34" s="3">
        <v>983.9</v>
      </c>
      <c r="J34" s="3">
        <v>1021.6</v>
      </c>
      <c r="K34" s="3">
        <v>1062.0</v>
      </c>
      <c r="L34" s="3">
        <v>1095.0</v>
      </c>
      <c r="M34" s="3">
        <v>1129.0</v>
      </c>
      <c r="N34" s="3">
        <v>1157.9</v>
      </c>
      <c r="O34" s="3">
        <v>1195.2</v>
      </c>
      <c r="P34" s="3">
        <v>1233.6</v>
      </c>
      <c r="Q34" s="3">
        <v>1274.5</v>
      </c>
      <c r="R34" s="3">
        <v>1313.7</v>
      </c>
      <c r="S34" s="3">
        <v>1359.6</v>
      </c>
      <c r="T34" s="3">
        <v>1382.5</v>
      </c>
      <c r="U34" s="3">
        <v>1410.0</v>
      </c>
      <c r="V34" s="3">
        <v>1460.0</v>
      </c>
      <c r="W34" s="3">
        <v>1506.7</v>
      </c>
      <c r="X34" s="3">
        <v>1553.0</v>
      </c>
      <c r="Y34" s="3">
        <v>1592.2</v>
      </c>
      <c r="Z34" s="3">
        <v>1647.7</v>
      </c>
      <c r="AA34" s="3">
        <v>1683.0</v>
      </c>
      <c r="AB34" s="3">
        <v>1700.0</v>
      </c>
      <c r="AC34" s="3">
        <v>1713.0</v>
      </c>
      <c r="AD34" s="3">
        <v>1749.6</v>
      </c>
      <c r="AE34" s="3">
        <v>1767.2</v>
      </c>
      <c r="AF34" s="3">
        <v>1792.4</v>
      </c>
      <c r="AG34" s="3">
        <v>1820.0</v>
      </c>
      <c r="AH34" s="3">
        <v>1840.5</v>
      </c>
      <c r="AI34" s="3">
        <v>1871.1</v>
      </c>
      <c r="AJ34" s="3">
        <v>1931.2</v>
      </c>
      <c r="AK34" s="3">
        <v>1941.6</v>
      </c>
      <c r="AL34" s="3">
        <v>1987.8</v>
      </c>
      <c r="AM34" s="3">
        <v>2024.1</v>
      </c>
      <c r="AN34" s="3">
        <v>2051.0</v>
      </c>
      <c r="AO34" s="3">
        <v>2098.4</v>
      </c>
      <c r="AP34" s="3">
        <v>2122.0</v>
      </c>
      <c r="AQ34" s="3">
        <v>2126.8</v>
      </c>
      <c r="AR34" s="3">
        <v>2154.1</v>
      </c>
      <c r="AS34" s="3">
        <v>2162.4</v>
      </c>
      <c r="AT34" s="3">
        <v>2202.0</v>
      </c>
      <c r="AU34" s="3">
        <v>2230.02</v>
      </c>
      <c r="AV34" s="3">
        <v>2248.07</v>
      </c>
      <c r="AW34" s="3">
        <v>2265.1</v>
      </c>
      <c r="AX34" s="3">
        <v>2270.5</v>
      </c>
      <c r="AY34" s="3">
        <v>2311.15</v>
      </c>
      <c r="AZ34" s="3">
        <v>2332.3</v>
      </c>
      <c r="BA34" s="3">
        <v>2345.3</v>
      </c>
      <c r="BB34" s="3">
        <v>2391.7</v>
      </c>
      <c r="BC34" s="3">
        <v>2398.4</v>
      </c>
      <c r="BD34" s="3">
        <v>2417.0</v>
      </c>
      <c r="BE34" s="3">
        <v>2438.0</v>
      </c>
      <c r="BF34" s="3">
        <v>2471.1</v>
      </c>
      <c r="BG34" s="3">
        <v>2490.8</v>
      </c>
      <c r="BH34" s="3">
        <v>2542.6</v>
      </c>
      <c r="BI34" s="3">
        <v>2592.6</v>
      </c>
      <c r="BJ34" s="3">
        <v>2615.6</v>
      </c>
      <c r="BK34" s="3">
        <v>2621.0</v>
      </c>
      <c r="BL34" s="3">
        <v>2663.55</v>
      </c>
      <c r="BM34" s="3">
        <v>2702.8</v>
      </c>
      <c r="BN34" s="3">
        <v>2746.7</v>
      </c>
      <c r="BO34" s="3">
        <v>2779.1</v>
      </c>
      <c r="BP34" s="3">
        <v>2818.8</v>
      </c>
      <c r="BQ34" s="3">
        <v>2841.3</v>
      </c>
      <c r="BR34" s="3">
        <v>2880.8</v>
      </c>
      <c r="BS34" s="3">
        <v>2918.8</v>
      </c>
      <c r="BT34" s="3">
        <v>2955.6</v>
      </c>
      <c r="BU34" s="3">
        <v>2991.2</v>
      </c>
      <c r="BV34" s="3">
        <v>3017.8</v>
      </c>
      <c r="BW34" s="3">
        <v>3036.1</v>
      </c>
      <c r="BX34" s="3">
        <v>3089.1</v>
      </c>
      <c r="BY34" s="3">
        <v>3093.1</v>
      </c>
      <c r="BZ34" s="3">
        <v>3125.6</v>
      </c>
      <c r="CA34" s="3">
        <v>3182.2</v>
      </c>
      <c r="CB34" s="3">
        <v>3220.3</v>
      </c>
      <c r="CC34" s="3">
        <v>3227.8</v>
      </c>
      <c r="CD34" s="3">
        <v>3245.5</v>
      </c>
      <c r="CE34" s="3">
        <v>3296.4</v>
      </c>
      <c r="CF34" s="3">
        <v>3351.02</v>
      </c>
      <c r="CG34" s="3">
        <v>3391.7</v>
      </c>
      <c r="CH34" s="3">
        <v>3438.8</v>
      </c>
      <c r="CI34" s="3">
        <v>3476.6</v>
      </c>
      <c r="CJ34" s="3">
        <v>3587.5</v>
      </c>
      <c r="CK34" s="3">
        <v>3662.6</v>
      </c>
      <c r="CL34" s="3">
        <v>3701.2</v>
      </c>
      <c r="CM34" s="3">
        <v>3766.8</v>
      </c>
      <c r="CN34" s="3">
        <v>3840.7</v>
      </c>
      <c r="CO34" s="3">
        <v>3867.9</v>
      </c>
      <c r="CP34" s="3">
        <v>3932.7</v>
      </c>
      <c r="CQ34" s="3">
        <v>3939.0</v>
      </c>
      <c r="CR34" s="3">
        <v>3971.0</v>
      </c>
      <c r="CS34" s="3">
        <v>3984.7</v>
      </c>
      <c r="CT34" s="3">
        <v>4045.4</v>
      </c>
      <c r="CU34" s="3">
        <v>4104.4</v>
      </c>
      <c r="CV34" s="3">
        <v>4123.4</v>
      </c>
      <c r="CW34" s="3">
        <v>4151.7</v>
      </c>
      <c r="CX34" s="3">
        <v>4229.5</v>
      </c>
      <c r="CY34" s="3">
        <v>4293.9</v>
      </c>
      <c r="CZ34" s="3">
        <v>4307.1</v>
      </c>
      <c r="DA34" s="3">
        <v>4341.2</v>
      </c>
      <c r="DB34" s="3">
        <v>4397.2</v>
      </c>
      <c r="DC34" s="3">
        <v>4462.3</v>
      </c>
      <c r="DD34" s="3">
        <v>4501.2</v>
      </c>
      <c r="DE34" s="3">
        <v>4535.7</v>
      </c>
      <c r="DF34" s="3">
        <v>4595.2</v>
      </c>
      <c r="DG34" s="3">
        <v>4597.6</v>
      </c>
      <c r="DH34" s="3">
        <v>4664.9</v>
      </c>
      <c r="DI34" s="3">
        <v>4710.4</v>
      </c>
      <c r="DJ34" s="3">
        <v>4749.5</v>
      </c>
      <c r="DK34" s="3">
        <v>4784.2</v>
      </c>
      <c r="DL34" s="3">
        <v>4829.3</v>
      </c>
      <c r="DM34" s="3">
        <v>4870.8</v>
      </c>
      <c r="DN34" s="3">
        <v>4923.9</v>
      </c>
      <c r="DO34" s="3">
        <v>4946.8</v>
      </c>
      <c r="DP34" s="3">
        <v>5009.0</v>
      </c>
      <c r="DQ34" s="3">
        <v>5067.0</v>
      </c>
      <c r="DR34" s="3">
        <v>5105.0</v>
      </c>
      <c r="DS34" s="3">
        <v>5146.0</v>
      </c>
      <c r="DT34" s="3">
        <v>5178.0</v>
      </c>
      <c r="DU34" s="3">
        <v>5198.0</v>
      </c>
      <c r="DV34" s="3">
        <v>5245.0</v>
      </c>
      <c r="DW34" s="3">
        <v>5269.0</v>
      </c>
      <c r="DX34" s="3">
        <v>5325.0</v>
      </c>
      <c r="DY34" s="3">
        <v>5387.0</v>
      </c>
      <c r="DZ34" s="3">
        <v>5424.0</v>
      </c>
      <c r="EA34" s="3">
        <v>5476.0</v>
      </c>
      <c r="EB34" s="3">
        <v>5552.0</v>
      </c>
      <c r="EC34" s="3">
        <v>5553.0</v>
      </c>
      <c r="ED34" s="3">
        <v>5593.0</v>
      </c>
      <c r="EE34" s="3">
        <v>5640.0</v>
      </c>
      <c r="EF34" s="3">
        <v>5683.0</v>
      </c>
      <c r="EG34" s="3">
        <v>5719.0</v>
      </c>
      <c r="EH34" s="3">
        <v>5765.0</v>
      </c>
      <c r="EI34" s="3">
        <v>5823.0</v>
      </c>
      <c r="EJ34" s="3">
        <v>5856.0</v>
      </c>
      <c r="EK34" s="3">
        <v>5856.0</v>
      </c>
      <c r="EL34" s="3">
        <v>5886.0</v>
      </c>
      <c r="EM34" s="3">
        <v>5899.0</v>
      </c>
      <c r="EN34" s="3">
        <v>5913.0</v>
      </c>
      <c r="EO34" s="3">
        <v>5969.0</v>
      </c>
      <c r="EP34" s="3">
        <v>5975.0</v>
      </c>
      <c r="EQ34" s="3">
        <v>5977.0</v>
      </c>
      <c r="ER34" s="3">
        <v>6006.0</v>
      </c>
      <c r="ES34" s="3">
        <v>6083.0</v>
      </c>
      <c r="ET34" s="3">
        <v>6100.0</v>
      </c>
      <c r="EU34" s="3">
        <v>6115.0</v>
      </c>
      <c r="EV34" s="3">
        <v>6133.0</v>
      </c>
      <c r="EW34" s="3">
        <v>6155.0</v>
      </c>
      <c r="EX34" s="3">
        <v>6180.0</v>
      </c>
      <c r="EY34" s="3">
        <v>6224.0</v>
      </c>
      <c r="EZ34" s="3">
        <v>6252.0</v>
      </c>
      <c r="FA34" s="3">
        <v>6264.0</v>
      </c>
      <c r="FB34" s="3">
        <v>6298.0</v>
      </c>
      <c r="FC34" s="3">
        <v>6318.0</v>
      </c>
      <c r="FD34" s="3">
        <v>6344.0</v>
      </c>
      <c r="FE34" s="3">
        <v>6377.0</v>
      </c>
      <c r="FF34" s="3">
        <v>6415.0</v>
      </c>
      <c r="FG34" s="3">
        <v>6437.0</v>
      </c>
      <c r="FH34" s="3">
        <v>6485.0</v>
      </c>
      <c r="FI34" s="3">
        <v>6512.0</v>
      </c>
      <c r="FJ34" s="3">
        <v>6528.0</v>
      </c>
      <c r="FK34" s="3">
        <v>6557.0</v>
      </c>
      <c r="FL34" s="3">
        <v>6597.0</v>
      </c>
      <c r="FM34" s="3">
        <v>6627.0</v>
      </c>
      <c r="FN34" s="3">
        <v>6699.0</v>
      </c>
      <c r="FO34" s="3">
        <v>6730.0</v>
      </c>
      <c r="FP34" s="3">
        <v>6744.0</v>
      </c>
      <c r="FQ34" s="3">
        <v>6775.0</v>
      </c>
      <c r="FR34" s="3">
        <v>6795.0</v>
      </c>
      <c r="FS34" s="3">
        <v>6808.0</v>
      </c>
      <c r="FT34" s="3">
        <v>6848.0</v>
      </c>
      <c r="FU34" s="3">
        <v>6874.0</v>
      </c>
      <c r="FV34" s="3">
        <v>6899.0</v>
      </c>
      <c r="FW34" s="3">
        <v>6910.0</v>
      </c>
      <c r="FX34" s="3">
        <v>6942.0</v>
      </c>
      <c r="FY34" s="3">
        <v>6975.0</v>
      </c>
      <c r="FZ34" s="3">
        <v>7017.0</v>
      </c>
      <c r="GA34" s="3">
        <v>7052.0</v>
      </c>
      <c r="GB34" s="3">
        <v>7073.0</v>
      </c>
      <c r="GC34" s="3">
        <v>7143.0</v>
      </c>
      <c r="GD34" s="3">
        <v>7155.0</v>
      </c>
      <c r="GE34" s="3">
        <v>7187.0</v>
      </c>
      <c r="GF34" s="3">
        <v>7237.0</v>
      </c>
      <c r="GG34" s="3">
        <v>7274.0</v>
      </c>
      <c r="GH34" s="3">
        <v>7309.0</v>
      </c>
      <c r="GI34" s="3">
        <v>7347.0</v>
      </c>
      <c r="GJ34" s="3">
        <v>7389.0</v>
      </c>
      <c r="GK34" s="3">
        <v>7421.0</v>
      </c>
      <c r="GL34" s="3">
        <v>7455.0</v>
      </c>
      <c r="GM34" s="3">
        <v>7495.0</v>
      </c>
      <c r="GN34" s="3">
        <v>7515.0</v>
      </c>
      <c r="GO34" s="3">
        <v>7555.0</v>
      </c>
      <c r="GP34" s="3">
        <v>7560.0</v>
      </c>
      <c r="GQ34" s="3">
        <v>7563.0</v>
      </c>
      <c r="GR34" s="3">
        <v>7632.0</v>
      </c>
      <c r="GS34" s="3">
        <v>7692.0</v>
      </c>
      <c r="GT34" s="3">
        <v>7715.0</v>
      </c>
      <c r="GU34" s="3">
        <v>7745.0</v>
      </c>
      <c r="GV34" s="3">
        <v>7790.0</v>
      </c>
      <c r="GW34" s="3">
        <v>7816.0</v>
      </c>
      <c r="GX34" s="3">
        <v>7866.0</v>
      </c>
      <c r="GY34" s="3">
        <v>7917.0</v>
      </c>
      <c r="GZ34" s="3">
        <v>7930.0</v>
      </c>
      <c r="HA34" s="3">
        <v>7945.0</v>
      </c>
      <c r="HB34" s="3">
        <v>7965.0</v>
      </c>
      <c r="HC34" s="3">
        <v>8001.0</v>
      </c>
      <c r="HD34" s="3">
        <v>8039.0</v>
      </c>
      <c r="HE34" s="3">
        <v>8067.0</v>
      </c>
      <c r="HF34" s="3">
        <v>8111.0</v>
      </c>
      <c r="HG34" s="3">
        <v>8145.0</v>
      </c>
      <c r="HH34" s="3">
        <v>8178.0</v>
      </c>
      <c r="HI34" s="3">
        <v>8208.0</v>
      </c>
      <c r="HJ34" s="3">
        <v>8234.0</v>
      </c>
      <c r="HK34" s="3">
        <v>8253.0</v>
      </c>
      <c r="HL34" s="3">
        <v>8277.0</v>
      </c>
      <c r="HM34" s="3">
        <v>8294.0</v>
      </c>
      <c r="HN34" s="3">
        <v>8343.0</v>
      </c>
      <c r="HO34" s="3">
        <v>8370.0</v>
      </c>
      <c r="HP34" s="3">
        <v>8395.0</v>
      </c>
      <c r="HQ34" s="3">
        <v>8417.0</v>
      </c>
      <c r="HR34" s="3">
        <v>8438.0</v>
      </c>
      <c r="HS34" s="3">
        <v>8448.0</v>
      </c>
      <c r="HT34" s="3">
        <v>8466.0</v>
      </c>
      <c r="HU34" s="3">
        <v>8478.0</v>
      </c>
      <c r="HV34" s="3">
        <v>8490.0</v>
      </c>
      <c r="HW34" s="3">
        <v>8512.0</v>
      </c>
      <c r="HX34" s="3">
        <v>8538.0</v>
      </c>
      <c r="HY34" s="3"/>
      <c r="HZ34" s="3"/>
      <c r="IA34" s="3"/>
      <c r="IB34" s="3"/>
    </row>
    <row r="35" ht="15.75" customHeight="1">
      <c r="A35" s="364" t="s">
        <v>148</v>
      </c>
      <c r="B35" s="365"/>
      <c r="C35" s="365"/>
      <c r="D35" s="365"/>
      <c r="E35" s="365">
        <f t="shared" ref="E35:HX35" si="12">E34-D34</f>
        <v>66</v>
      </c>
      <c r="F35" s="365">
        <f t="shared" si="12"/>
        <v>31.45</v>
      </c>
      <c r="G35" s="365">
        <f t="shared" si="12"/>
        <v>34.66</v>
      </c>
      <c r="H35" s="365">
        <f t="shared" si="12"/>
        <v>19.97</v>
      </c>
      <c r="I35" s="365">
        <f t="shared" si="12"/>
        <v>43.82</v>
      </c>
      <c r="J35" s="365">
        <f t="shared" si="12"/>
        <v>37.7</v>
      </c>
      <c r="K35" s="365">
        <f t="shared" si="12"/>
        <v>40.4</v>
      </c>
      <c r="L35" s="365">
        <f t="shared" si="12"/>
        <v>33</v>
      </c>
      <c r="M35" s="365">
        <f t="shared" si="12"/>
        <v>34</v>
      </c>
      <c r="N35" s="365">
        <f t="shared" si="12"/>
        <v>28.9</v>
      </c>
      <c r="O35" s="365">
        <f t="shared" si="12"/>
        <v>37.3</v>
      </c>
      <c r="P35" s="365">
        <f t="shared" si="12"/>
        <v>38.4</v>
      </c>
      <c r="Q35" s="365">
        <f t="shared" si="12"/>
        <v>40.9</v>
      </c>
      <c r="R35" s="365">
        <f t="shared" si="12"/>
        <v>39.2</v>
      </c>
      <c r="S35" s="365">
        <f t="shared" si="12"/>
        <v>45.9</v>
      </c>
      <c r="T35" s="365">
        <f t="shared" si="12"/>
        <v>22.9</v>
      </c>
      <c r="U35" s="365">
        <f t="shared" si="12"/>
        <v>27.5</v>
      </c>
      <c r="V35" s="365">
        <f t="shared" si="12"/>
        <v>50</v>
      </c>
      <c r="W35" s="365">
        <f t="shared" si="12"/>
        <v>46.7</v>
      </c>
      <c r="X35" s="365">
        <f t="shared" si="12"/>
        <v>46.3</v>
      </c>
      <c r="Y35" s="365">
        <f t="shared" si="12"/>
        <v>39.2</v>
      </c>
      <c r="Z35" s="365">
        <f t="shared" si="12"/>
        <v>55.5</v>
      </c>
      <c r="AA35" s="365">
        <f t="shared" si="12"/>
        <v>35.3</v>
      </c>
      <c r="AB35" s="365">
        <f t="shared" si="12"/>
        <v>17</v>
      </c>
      <c r="AC35" s="365">
        <f t="shared" si="12"/>
        <v>13</v>
      </c>
      <c r="AD35" s="365">
        <f t="shared" si="12"/>
        <v>36.6</v>
      </c>
      <c r="AE35" s="365">
        <f t="shared" si="12"/>
        <v>17.6</v>
      </c>
      <c r="AF35" s="365">
        <f t="shared" si="12"/>
        <v>25.2</v>
      </c>
      <c r="AG35" s="365">
        <f t="shared" si="12"/>
        <v>27.6</v>
      </c>
      <c r="AH35" s="365">
        <f t="shared" si="12"/>
        <v>20.5</v>
      </c>
      <c r="AI35" s="365">
        <f t="shared" si="12"/>
        <v>30.6</v>
      </c>
      <c r="AJ35" s="365">
        <f t="shared" si="12"/>
        <v>60.1</v>
      </c>
      <c r="AK35" s="365">
        <f t="shared" si="12"/>
        <v>10.4</v>
      </c>
      <c r="AL35" s="365">
        <f t="shared" si="12"/>
        <v>46.2</v>
      </c>
      <c r="AM35" s="365">
        <f t="shared" si="12"/>
        <v>36.3</v>
      </c>
      <c r="AN35" s="365">
        <f t="shared" si="12"/>
        <v>26.9</v>
      </c>
      <c r="AO35" s="365">
        <f t="shared" si="12"/>
        <v>47.4</v>
      </c>
      <c r="AP35" s="365">
        <f t="shared" si="12"/>
        <v>23.6</v>
      </c>
      <c r="AQ35" s="365">
        <f t="shared" si="12"/>
        <v>4.8</v>
      </c>
      <c r="AR35" s="365">
        <f t="shared" si="12"/>
        <v>27.3</v>
      </c>
      <c r="AS35" s="365">
        <f t="shared" si="12"/>
        <v>8.3</v>
      </c>
      <c r="AT35" s="365">
        <f t="shared" si="12"/>
        <v>39.6</v>
      </c>
      <c r="AU35" s="365">
        <f t="shared" si="12"/>
        <v>28.02</v>
      </c>
      <c r="AV35" s="365">
        <f t="shared" si="12"/>
        <v>18.05</v>
      </c>
      <c r="AW35" s="365">
        <f t="shared" si="12"/>
        <v>17.03</v>
      </c>
      <c r="AX35" s="365">
        <f t="shared" si="12"/>
        <v>5.4</v>
      </c>
      <c r="AY35" s="365">
        <f t="shared" si="12"/>
        <v>40.65</v>
      </c>
      <c r="AZ35" s="365">
        <f t="shared" si="12"/>
        <v>21.15</v>
      </c>
      <c r="BA35" s="365">
        <f t="shared" si="12"/>
        <v>13</v>
      </c>
      <c r="BB35" s="365">
        <f t="shared" si="12"/>
        <v>46.4</v>
      </c>
      <c r="BC35" s="365">
        <f t="shared" si="12"/>
        <v>6.7</v>
      </c>
      <c r="BD35" s="365">
        <f t="shared" si="12"/>
        <v>18.6</v>
      </c>
      <c r="BE35" s="365">
        <f t="shared" si="12"/>
        <v>21</v>
      </c>
      <c r="BF35" s="365">
        <f t="shared" si="12"/>
        <v>33.1</v>
      </c>
      <c r="BG35" s="365">
        <f t="shared" si="12"/>
        <v>19.7</v>
      </c>
      <c r="BH35" s="365">
        <f t="shared" si="12"/>
        <v>51.8</v>
      </c>
      <c r="BI35" s="365">
        <f t="shared" si="12"/>
        <v>50</v>
      </c>
      <c r="BJ35" s="365">
        <f t="shared" si="12"/>
        <v>23</v>
      </c>
      <c r="BK35" s="365">
        <f t="shared" si="12"/>
        <v>5.4</v>
      </c>
      <c r="BL35" s="365">
        <f t="shared" si="12"/>
        <v>42.55</v>
      </c>
      <c r="BM35" s="365">
        <f t="shared" si="12"/>
        <v>39.25</v>
      </c>
      <c r="BN35" s="365">
        <f t="shared" si="12"/>
        <v>43.9</v>
      </c>
      <c r="BO35" s="365">
        <f t="shared" si="12"/>
        <v>32.4</v>
      </c>
      <c r="BP35" s="365">
        <f t="shared" si="12"/>
        <v>39.7</v>
      </c>
      <c r="BQ35" s="365">
        <f t="shared" si="12"/>
        <v>22.5</v>
      </c>
      <c r="BR35" s="365">
        <f t="shared" si="12"/>
        <v>39.5</v>
      </c>
      <c r="BS35" s="365">
        <f t="shared" si="12"/>
        <v>38</v>
      </c>
      <c r="BT35" s="365">
        <f t="shared" si="12"/>
        <v>36.8</v>
      </c>
      <c r="BU35" s="365">
        <f t="shared" si="12"/>
        <v>35.6</v>
      </c>
      <c r="BV35" s="365">
        <f t="shared" si="12"/>
        <v>26.6</v>
      </c>
      <c r="BW35" s="365">
        <f t="shared" si="12"/>
        <v>18.3</v>
      </c>
      <c r="BX35" s="365">
        <f t="shared" si="12"/>
        <v>53</v>
      </c>
      <c r="BY35" s="365">
        <f t="shared" si="12"/>
        <v>4</v>
      </c>
      <c r="BZ35" s="365">
        <f t="shared" si="12"/>
        <v>32.5</v>
      </c>
      <c r="CA35" s="365">
        <f t="shared" si="12"/>
        <v>56.6</v>
      </c>
      <c r="CB35" s="365">
        <f t="shared" si="12"/>
        <v>38.1</v>
      </c>
      <c r="CC35" s="365">
        <f t="shared" si="12"/>
        <v>7.5</v>
      </c>
      <c r="CD35" s="365">
        <f t="shared" si="12"/>
        <v>17.7</v>
      </c>
      <c r="CE35" s="365">
        <f t="shared" si="12"/>
        <v>50.9</v>
      </c>
      <c r="CF35" s="365">
        <f t="shared" si="12"/>
        <v>54.62</v>
      </c>
      <c r="CG35" s="365">
        <f t="shared" si="12"/>
        <v>40.68</v>
      </c>
      <c r="CH35" s="365">
        <f t="shared" si="12"/>
        <v>47.1</v>
      </c>
      <c r="CI35" s="365">
        <f t="shared" si="12"/>
        <v>37.8</v>
      </c>
      <c r="CJ35" s="365">
        <f t="shared" si="12"/>
        <v>110.9</v>
      </c>
      <c r="CK35" s="365">
        <f t="shared" si="12"/>
        <v>75.1</v>
      </c>
      <c r="CL35" s="365">
        <f t="shared" si="12"/>
        <v>38.6</v>
      </c>
      <c r="CM35" s="365">
        <f t="shared" si="12"/>
        <v>65.6</v>
      </c>
      <c r="CN35" s="365">
        <f t="shared" si="12"/>
        <v>73.9</v>
      </c>
      <c r="CO35" s="365">
        <f t="shared" si="12"/>
        <v>27.2</v>
      </c>
      <c r="CP35" s="365">
        <f t="shared" si="12"/>
        <v>64.8</v>
      </c>
      <c r="CQ35" s="365">
        <f t="shared" si="12"/>
        <v>6.3</v>
      </c>
      <c r="CR35" s="365">
        <f t="shared" si="12"/>
        <v>32</v>
      </c>
      <c r="CS35" s="365">
        <f t="shared" si="12"/>
        <v>13.7</v>
      </c>
      <c r="CT35" s="365">
        <f t="shared" si="12"/>
        <v>60.7</v>
      </c>
      <c r="CU35" s="365">
        <f t="shared" si="12"/>
        <v>59</v>
      </c>
      <c r="CV35" s="365">
        <f t="shared" si="12"/>
        <v>19</v>
      </c>
      <c r="CW35" s="365">
        <f t="shared" si="12"/>
        <v>28.3</v>
      </c>
      <c r="CX35" s="365">
        <f t="shared" si="12"/>
        <v>77.8</v>
      </c>
      <c r="CY35" s="365">
        <f t="shared" si="12"/>
        <v>64.4</v>
      </c>
      <c r="CZ35" s="365">
        <f t="shared" si="12"/>
        <v>13.2</v>
      </c>
      <c r="DA35" s="365">
        <f t="shared" si="12"/>
        <v>34.1</v>
      </c>
      <c r="DB35" s="365">
        <f t="shared" si="12"/>
        <v>56</v>
      </c>
      <c r="DC35" s="365">
        <f t="shared" si="12"/>
        <v>65.1</v>
      </c>
      <c r="DD35" s="365">
        <f t="shared" si="12"/>
        <v>38.9</v>
      </c>
      <c r="DE35" s="365">
        <f t="shared" si="12"/>
        <v>34.5</v>
      </c>
      <c r="DF35" s="365">
        <f t="shared" si="12"/>
        <v>59.5</v>
      </c>
      <c r="DG35" s="365">
        <f t="shared" si="12"/>
        <v>2.4</v>
      </c>
      <c r="DH35" s="365">
        <f t="shared" si="12"/>
        <v>67.3</v>
      </c>
      <c r="DI35" s="365">
        <f t="shared" si="12"/>
        <v>45.5</v>
      </c>
      <c r="DJ35" s="365">
        <f t="shared" si="12"/>
        <v>39.1</v>
      </c>
      <c r="DK35" s="365">
        <f t="shared" si="12"/>
        <v>34.7</v>
      </c>
      <c r="DL35" s="365">
        <f t="shared" si="12"/>
        <v>45.1</v>
      </c>
      <c r="DM35" s="365">
        <f t="shared" si="12"/>
        <v>41.5</v>
      </c>
      <c r="DN35" s="365">
        <f t="shared" si="12"/>
        <v>53.1</v>
      </c>
      <c r="DO35" s="365">
        <f t="shared" si="12"/>
        <v>22.9</v>
      </c>
      <c r="DP35" s="365">
        <f t="shared" si="12"/>
        <v>62.2</v>
      </c>
      <c r="DQ35" s="365">
        <f t="shared" si="12"/>
        <v>58</v>
      </c>
      <c r="DR35" s="365">
        <f t="shared" si="12"/>
        <v>38</v>
      </c>
      <c r="DS35" s="365">
        <f t="shared" si="12"/>
        <v>41</v>
      </c>
      <c r="DT35" s="365">
        <f t="shared" si="12"/>
        <v>32</v>
      </c>
      <c r="DU35" s="365">
        <f t="shared" si="12"/>
        <v>20</v>
      </c>
      <c r="DV35" s="365">
        <f t="shared" si="12"/>
        <v>47</v>
      </c>
      <c r="DW35" s="365">
        <f t="shared" si="12"/>
        <v>24</v>
      </c>
      <c r="DX35" s="365">
        <f t="shared" si="12"/>
        <v>56</v>
      </c>
      <c r="DY35" s="365">
        <f t="shared" si="12"/>
        <v>62</v>
      </c>
      <c r="DZ35" s="365">
        <f t="shared" si="12"/>
        <v>37</v>
      </c>
      <c r="EA35" s="365">
        <f t="shared" si="12"/>
        <v>52</v>
      </c>
      <c r="EB35" s="365">
        <f t="shared" si="12"/>
        <v>76</v>
      </c>
      <c r="EC35" s="365">
        <f t="shared" si="12"/>
        <v>1</v>
      </c>
      <c r="ED35" s="365">
        <f t="shared" si="12"/>
        <v>40</v>
      </c>
      <c r="EE35" s="365">
        <f t="shared" si="12"/>
        <v>47</v>
      </c>
      <c r="EF35" s="365">
        <f t="shared" si="12"/>
        <v>43</v>
      </c>
      <c r="EG35" s="365">
        <f t="shared" si="12"/>
        <v>36</v>
      </c>
      <c r="EH35" s="365">
        <f t="shared" si="12"/>
        <v>46</v>
      </c>
      <c r="EI35" s="365">
        <f t="shared" si="12"/>
        <v>58</v>
      </c>
      <c r="EJ35" s="365">
        <f t="shared" si="12"/>
        <v>33</v>
      </c>
      <c r="EK35" s="365">
        <f t="shared" si="12"/>
        <v>0</v>
      </c>
      <c r="EL35" s="365">
        <f t="shared" si="12"/>
        <v>30</v>
      </c>
      <c r="EM35" s="365">
        <f t="shared" si="12"/>
        <v>13</v>
      </c>
      <c r="EN35" s="365">
        <f t="shared" si="12"/>
        <v>14</v>
      </c>
      <c r="EO35" s="365">
        <f t="shared" si="12"/>
        <v>56</v>
      </c>
      <c r="EP35" s="365">
        <f t="shared" si="12"/>
        <v>6</v>
      </c>
      <c r="EQ35" s="365">
        <f t="shared" si="12"/>
        <v>2</v>
      </c>
      <c r="ER35" s="365">
        <f t="shared" si="12"/>
        <v>29</v>
      </c>
      <c r="ES35" s="365">
        <f t="shared" si="12"/>
        <v>77</v>
      </c>
      <c r="ET35" s="365">
        <f t="shared" si="12"/>
        <v>17</v>
      </c>
      <c r="EU35" s="365">
        <f t="shared" si="12"/>
        <v>15</v>
      </c>
      <c r="EV35" s="365">
        <f t="shared" si="12"/>
        <v>18</v>
      </c>
      <c r="EW35" s="365">
        <f t="shared" si="12"/>
        <v>22</v>
      </c>
      <c r="EX35" s="365">
        <f t="shared" si="12"/>
        <v>25</v>
      </c>
      <c r="EY35" s="365">
        <f t="shared" si="12"/>
        <v>44</v>
      </c>
      <c r="EZ35" s="365">
        <f t="shared" si="12"/>
        <v>28</v>
      </c>
      <c r="FA35" s="365">
        <f t="shared" si="12"/>
        <v>12</v>
      </c>
      <c r="FB35" s="365">
        <f t="shared" si="12"/>
        <v>34</v>
      </c>
      <c r="FC35" s="365">
        <f t="shared" si="12"/>
        <v>20</v>
      </c>
      <c r="FD35" s="365">
        <f t="shared" si="12"/>
        <v>26</v>
      </c>
      <c r="FE35" s="365">
        <f t="shared" si="12"/>
        <v>33</v>
      </c>
      <c r="FF35" s="365">
        <f t="shared" si="12"/>
        <v>38</v>
      </c>
      <c r="FG35" s="365">
        <f t="shared" si="12"/>
        <v>22</v>
      </c>
      <c r="FH35" s="365">
        <f t="shared" si="12"/>
        <v>48</v>
      </c>
      <c r="FI35" s="365">
        <f t="shared" si="12"/>
        <v>27</v>
      </c>
      <c r="FJ35" s="365">
        <f t="shared" si="12"/>
        <v>16</v>
      </c>
      <c r="FK35" s="365">
        <f t="shared" si="12"/>
        <v>29</v>
      </c>
      <c r="FL35" s="365">
        <f t="shared" si="12"/>
        <v>40</v>
      </c>
      <c r="FM35" s="365">
        <f t="shared" si="12"/>
        <v>30</v>
      </c>
      <c r="FN35" s="365">
        <f t="shared" si="12"/>
        <v>72</v>
      </c>
      <c r="FO35" s="365">
        <f t="shared" si="12"/>
        <v>31</v>
      </c>
      <c r="FP35" s="365">
        <f t="shared" si="12"/>
        <v>14</v>
      </c>
      <c r="FQ35" s="365">
        <f t="shared" si="12"/>
        <v>31</v>
      </c>
      <c r="FR35" s="365">
        <f t="shared" si="12"/>
        <v>20</v>
      </c>
      <c r="FS35" s="365">
        <f t="shared" si="12"/>
        <v>13</v>
      </c>
      <c r="FT35" s="365">
        <f t="shared" si="12"/>
        <v>40</v>
      </c>
      <c r="FU35" s="365">
        <f t="shared" si="12"/>
        <v>26</v>
      </c>
      <c r="FV35" s="365">
        <f t="shared" si="12"/>
        <v>25</v>
      </c>
      <c r="FW35" s="365">
        <f t="shared" si="12"/>
        <v>11</v>
      </c>
      <c r="FX35" s="365">
        <f t="shared" si="12"/>
        <v>32</v>
      </c>
      <c r="FY35" s="365">
        <f t="shared" si="12"/>
        <v>33</v>
      </c>
      <c r="FZ35" s="365">
        <f t="shared" si="12"/>
        <v>42</v>
      </c>
      <c r="GA35" s="365">
        <f t="shared" si="12"/>
        <v>35</v>
      </c>
      <c r="GB35" s="365">
        <f t="shared" si="12"/>
        <v>21</v>
      </c>
      <c r="GC35" s="365">
        <f t="shared" si="12"/>
        <v>70</v>
      </c>
      <c r="GD35" s="365">
        <f t="shared" si="12"/>
        <v>12</v>
      </c>
      <c r="GE35" s="365">
        <f t="shared" si="12"/>
        <v>32</v>
      </c>
      <c r="GF35" s="365">
        <f t="shared" si="12"/>
        <v>50</v>
      </c>
      <c r="GG35" s="365">
        <f t="shared" si="12"/>
        <v>37</v>
      </c>
      <c r="GH35" s="365">
        <f t="shared" si="12"/>
        <v>35</v>
      </c>
      <c r="GI35" s="365">
        <f t="shared" si="12"/>
        <v>38</v>
      </c>
      <c r="GJ35" s="365">
        <f t="shared" si="12"/>
        <v>42</v>
      </c>
      <c r="GK35" s="365">
        <f t="shared" si="12"/>
        <v>32</v>
      </c>
      <c r="GL35" s="365">
        <f t="shared" si="12"/>
        <v>34</v>
      </c>
      <c r="GM35" s="365">
        <f t="shared" si="12"/>
        <v>40</v>
      </c>
      <c r="GN35" s="365">
        <f t="shared" si="12"/>
        <v>20</v>
      </c>
      <c r="GO35" s="365">
        <f t="shared" si="12"/>
        <v>40</v>
      </c>
      <c r="GP35" s="365">
        <f t="shared" si="12"/>
        <v>5</v>
      </c>
      <c r="GQ35" s="365">
        <f t="shared" si="12"/>
        <v>3</v>
      </c>
      <c r="GR35" s="365">
        <f t="shared" si="12"/>
        <v>69</v>
      </c>
      <c r="GS35" s="365">
        <f t="shared" si="12"/>
        <v>60</v>
      </c>
      <c r="GT35" s="365">
        <f t="shared" si="12"/>
        <v>23</v>
      </c>
      <c r="GU35" s="365">
        <f t="shared" si="12"/>
        <v>30</v>
      </c>
      <c r="GV35" s="365">
        <f t="shared" si="12"/>
        <v>45</v>
      </c>
      <c r="GW35" s="365">
        <f t="shared" si="12"/>
        <v>26</v>
      </c>
      <c r="GX35" s="365">
        <f t="shared" si="12"/>
        <v>50</v>
      </c>
      <c r="GY35" s="365">
        <f t="shared" si="12"/>
        <v>51</v>
      </c>
      <c r="GZ35" s="365">
        <f t="shared" si="12"/>
        <v>13</v>
      </c>
      <c r="HA35" s="365">
        <f t="shared" si="12"/>
        <v>15</v>
      </c>
      <c r="HB35" s="365">
        <f t="shared" si="12"/>
        <v>20</v>
      </c>
      <c r="HC35" s="365">
        <f t="shared" si="12"/>
        <v>36</v>
      </c>
      <c r="HD35" s="365">
        <f t="shared" si="12"/>
        <v>38</v>
      </c>
      <c r="HE35" s="365">
        <f t="shared" si="12"/>
        <v>28</v>
      </c>
      <c r="HF35" s="365">
        <f t="shared" si="12"/>
        <v>44</v>
      </c>
      <c r="HG35" s="365">
        <f t="shared" si="12"/>
        <v>34</v>
      </c>
      <c r="HH35" s="365">
        <f t="shared" si="12"/>
        <v>33</v>
      </c>
      <c r="HI35" s="365">
        <f t="shared" si="12"/>
        <v>30</v>
      </c>
      <c r="HJ35" s="365">
        <f t="shared" si="12"/>
        <v>26</v>
      </c>
      <c r="HK35" s="365">
        <f t="shared" si="12"/>
        <v>19</v>
      </c>
      <c r="HL35" s="365">
        <f t="shared" si="12"/>
        <v>24</v>
      </c>
      <c r="HM35" s="365">
        <f t="shared" si="12"/>
        <v>17</v>
      </c>
      <c r="HN35" s="365">
        <f t="shared" si="12"/>
        <v>49</v>
      </c>
      <c r="HO35" s="365">
        <f t="shared" si="12"/>
        <v>27</v>
      </c>
      <c r="HP35" s="365">
        <f t="shared" si="12"/>
        <v>25</v>
      </c>
      <c r="HQ35" s="365">
        <f t="shared" si="12"/>
        <v>22</v>
      </c>
      <c r="HR35" s="365">
        <f t="shared" si="12"/>
        <v>21</v>
      </c>
      <c r="HS35" s="365">
        <f t="shared" si="12"/>
        <v>10</v>
      </c>
      <c r="HT35" s="365">
        <f t="shared" si="12"/>
        <v>18</v>
      </c>
      <c r="HU35" s="365">
        <f t="shared" si="12"/>
        <v>12</v>
      </c>
      <c r="HV35" s="365">
        <f t="shared" si="12"/>
        <v>12</v>
      </c>
      <c r="HW35" s="365">
        <f t="shared" si="12"/>
        <v>22</v>
      </c>
      <c r="HX35" s="365">
        <f t="shared" si="12"/>
        <v>26</v>
      </c>
      <c r="HY35" s="365"/>
      <c r="HZ35" s="365"/>
      <c r="IA35" s="365"/>
      <c r="IB35" s="365"/>
    </row>
    <row r="36" ht="15.75" customHeight="1">
      <c r="A36" s="126" t="s">
        <v>450</v>
      </c>
      <c r="D36" s="15">
        <v>3.0</v>
      </c>
      <c r="E36" s="15">
        <v>4.0</v>
      </c>
      <c r="F36" s="15">
        <v>3.0</v>
      </c>
      <c r="G36" s="15">
        <v>3.0</v>
      </c>
      <c r="H36" s="15">
        <v>1.0</v>
      </c>
      <c r="I36" s="15">
        <v>5.0</v>
      </c>
      <c r="J36" s="15">
        <v>4.0</v>
      </c>
      <c r="K36" s="15">
        <v>2.0</v>
      </c>
      <c r="L36" s="15">
        <v>6.0</v>
      </c>
      <c r="M36" s="15">
        <v>4.0</v>
      </c>
      <c r="N36" s="15">
        <v>2.0</v>
      </c>
      <c r="O36" s="15">
        <v>5.0</v>
      </c>
      <c r="P36" s="15">
        <v>4.0</v>
      </c>
      <c r="Q36" s="15">
        <v>6.0</v>
      </c>
      <c r="R36" s="15">
        <v>3.0</v>
      </c>
      <c r="S36" s="15">
        <v>5.0</v>
      </c>
      <c r="T36" s="15">
        <v>3.0</v>
      </c>
      <c r="U36" s="15">
        <v>3.0</v>
      </c>
      <c r="V36" s="15">
        <v>6.0</v>
      </c>
      <c r="W36" s="15">
        <v>4.0</v>
      </c>
      <c r="X36" s="15">
        <v>4.0</v>
      </c>
      <c r="Y36" s="15">
        <v>5.0</v>
      </c>
      <c r="Z36" s="15">
        <v>2.0</v>
      </c>
      <c r="AA36" s="15">
        <v>2.0</v>
      </c>
      <c r="AB36" s="15">
        <v>5.0</v>
      </c>
      <c r="AC36" s="15">
        <v>4.0</v>
      </c>
      <c r="AD36" s="15">
        <v>3.0</v>
      </c>
      <c r="AE36" s="15">
        <v>1.0</v>
      </c>
      <c r="AF36" s="15">
        <v>2.0</v>
      </c>
      <c r="AG36" s="15">
        <v>2.0</v>
      </c>
      <c r="AH36" s="15">
        <v>3.0</v>
      </c>
      <c r="AI36" s="15">
        <v>3.0</v>
      </c>
      <c r="AJ36" s="15">
        <v>6.0</v>
      </c>
      <c r="AK36" s="15">
        <v>3.0</v>
      </c>
      <c r="AL36" s="15">
        <v>3.0</v>
      </c>
      <c r="AM36" s="15">
        <v>3.0</v>
      </c>
      <c r="AN36" s="15">
        <v>2.0</v>
      </c>
      <c r="AO36" s="15">
        <v>1.0</v>
      </c>
      <c r="AP36" s="15">
        <v>3.0</v>
      </c>
      <c r="AQ36" s="15">
        <v>2.0</v>
      </c>
      <c r="AR36" s="15">
        <v>2.0</v>
      </c>
      <c r="AS36" s="15">
        <v>2.0</v>
      </c>
      <c r="AT36" s="15">
        <v>2.0</v>
      </c>
      <c r="AU36" s="15">
        <v>2.0</v>
      </c>
      <c r="AV36" s="15">
        <v>2.0</v>
      </c>
      <c r="AW36" s="15">
        <v>2.0</v>
      </c>
      <c r="AX36" s="15">
        <v>0.0</v>
      </c>
      <c r="AY36" s="15">
        <v>3.0</v>
      </c>
      <c r="AZ36" s="15">
        <v>3.0</v>
      </c>
      <c r="BA36" s="15">
        <v>2.0</v>
      </c>
      <c r="BB36" s="15">
        <v>4.0</v>
      </c>
      <c r="BC36" s="15">
        <v>0.0</v>
      </c>
      <c r="BD36" s="15">
        <v>1.0</v>
      </c>
      <c r="BE36" s="15">
        <v>3.0</v>
      </c>
      <c r="BF36" s="15">
        <v>2.0</v>
      </c>
      <c r="BG36" s="15">
        <v>3.0</v>
      </c>
      <c r="BH36" s="15">
        <v>5.0</v>
      </c>
      <c r="BI36" s="15">
        <v>5.0</v>
      </c>
      <c r="BJ36" s="15">
        <v>3.0</v>
      </c>
      <c r="BK36" s="15">
        <v>1.0</v>
      </c>
      <c r="BL36" s="15">
        <v>4.0</v>
      </c>
      <c r="BM36" s="15">
        <v>4.0</v>
      </c>
      <c r="BN36" s="15">
        <v>4.0</v>
      </c>
      <c r="BO36" s="377">
        <v>3.0</v>
      </c>
      <c r="BP36" s="377">
        <v>4.0</v>
      </c>
      <c r="BQ36" s="377">
        <v>3.0</v>
      </c>
      <c r="BR36" s="377">
        <v>4.0</v>
      </c>
      <c r="BS36" s="377">
        <v>3.0</v>
      </c>
      <c r="BT36" s="377">
        <v>3.0</v>
      </c>
      <c r="BU36" s="377">
        <v>3.0</v>
      </c>
      <c r="BV36" s="377">
        <v>3.0</v>
      </c>
      <c r="BW36" s="377">
        <v>3.0</v>
      </c>
      <c r="BX36" s="377">
        <v>3.0</v>
      </c>
      <c r="BY36" s="378">
        <v>0.0</v>
      </c>
      <c r="BZ36" s="377">
        <v>4.0</v>
      </c>
      <c r="CA36" s="15">
        <v>3.0</v>
      </c>
      <c r="CB36" s="15">
        <v>2.0</v>
      </c>
      <c r="CC36" s="15">
        <v>2.0</v>
      </c>
      <c r="CD36" s="15">
        <v>2.0</v>
      </c>
      <c r="CE36" s="15">
        <v>4.0</v>
      </c>
      <c r="CF36" s="15">
        <v>3.0</v>
      </c>
      <c r="CG36" s="15">
        <v>4.0</v>
      </c>
      <c r="CH36" s="15">
        <v>4.0</v>
      </c>
      <c r="CI36" s="15">
        <v>5.0</v>
      </c>
      <c r="CJ36" s="15">
        <v>7.0</v>
      </c>
      <c r="CK36" s="15">
        <v>7.0</v>
      </c>
      <c r="CL36" s="15">
        <v>8.0</v>
      </c>
      <c r="CM36" s="15">
        <v>5.0</v>
      </c>
      <c r="CN36" s="15">
        <v>4.0</v>
      </c>
      <c r="CO36" s="15">
        <v>5.0</v>
      </c>
      <c r="CP36" s="15">
        <v>3.0</v>
      </c>
      <c r="CQ36" s="15">
        <v>4.0</v>
      </c>
      <c r="CR36" s="15">
        <v>3.0</v>
      </c>
      <c r="CS36" s="15">
        <v>3.0</v>
      </c>
      <c r="CT36" s="15">
        <v>5.0</v>
      </c>
      <c r="CU36" s="15">
        <v>4.0</v>
      </c>
      <c r="CV36" s="15">
        <v>5.0</v>
      </c>
      <c r="CW36" s="15">
        <v>4.0</v>
      </c>
      <c r="CX36" s="15">
        <v>4.0</v>
      </c>
      <c r="CY36" s="15">
        <v>5.0</v>
      </c>
      <c r="CZ36" s="15">
        <v>5.0</v>
      </c>
      <c r="DA36" s="15">
        <v>3.0</v>
      </c>
      <c r="DB36" s="15">
        <v>2.0</v>
      </c>
      <c r="DC36" s="15">
        <v>4.0</v>
      </c>
      <c r="DD36" s="15">
        <v>5.0</v>
      </c>
      <c r="DE36" s="15">
        <v>6.0</v>
      </c>
      <c r="DF36" s="15">
        <v>5.0</v>
      </c>
      <c r="DG36" s="15">
        <v>3.0</v>
      </c>
      <c r="DH36" s="15">
        <v>5.0</v>
      </c>
      <c r="DI36" s="15">
        <v>5.0</v>
      </c>
      <c r="DJ36" s="15">
        <v>5.0</v>
      </c>
      <c r="DK36" s="15">
        <v>5.0</v>
      </c>
      <c r="DL36" s="15">
        <v>5.0</v>
      </c>
      <c r="DM36" s="15">
        <v>5.0</v>
      </c>
      <c r="DN36" s="15">
        <v>6.0</v>
      </c>
      <c r="DO36" s="15">
        <v>7.0</v>
      </c>
      <c r="DP36" s="15">
        <v>8.0</v>
      </c>
      <c r="DQ36" s="15">
        <v>6.0</v>
      </c>
      <c r="DR36" s="15">
        <v>4.0</v>
      </c>
      <c r="DS36" s="15">
        <v>4.0</v>
      </c>
      <c r="DT36" s="15">
        <v>3.0</v>
      </c>
      <c r="DU36" s="15">
        <v>2.0</v>
      </c>
      <c r="DV36" s="15">
        <v>3.0</v>
      </c>
      <c r="DW36" s="15">
        <v>3.0</v>
      </c>
      <c r="DX36" s="15">
        <v>6.0</v>
      </c>
      <c r="DY36" s="15">
        <v>6.0</v>
      </c>
      <c r="DZ36" s="15">
        <v>5.0</v>
      </c>
      <c r="EA36" s="15">
        <v>4.0</v>
      </c>
      <c r="EB36" s="15">
        <v>6.0</v>
      </c>
      <c r="EC36" s="15">
        <v>5.0</v>
      </c>
      <c r="ED36" s="15">
        <v>6.0</v>
      </c>
      <c r="EE36" s="15">
        <v>5.0</v>
      </c>
      <c r="EF36" s="15">
        <v>4.0</v>
      </c>
      <c r="EG36" s="15">
        <v>7.0</v>
      </c>
      <c r="EH36" s="15">
        <v>6.0</v>
      </c>
      <c r="EI36" s="15">
        <v>7.0</v>
      </c>
      <c r="EJ36" s="15">
        <v>7.0</v>
      </c>
      <c r="EK36" s="15">
        <v>5.0</v>
      </c>
      <c r="EL36" s="15">
        <v>2.0</v>
      </c>
      <c r="EM36" s="15">
        <v>4.0</v>
      </c>
      <c r="EN36" s="15">
        <v>4.0</v>
      </c>
      <c r="EO36" s="15">
        <v>3.0</v>
      </c>
      <c r="EP36" s="15">
        <v>6.0</v>
      </c>
      <c r="EQ36" s="15">
        <v>2.0</v>
      </c>
      <c r="ER36" s="15">
        <v>1.0</v>
      </c>
      <c r="ES36" s="15">
        <v>3.0</v>
      </c>
      <c r="ET36" s="15">
        <v>7.0</v>
      </c>
      <c r="EU36" s="15">
        <v>3.0</v>
      </c>
      <c r="EV36" s="15">
        <v>4.0</v>
      </c>
      <c r="EW36" s="15">
        <v>3.0</v>
      </c>
      <c r="EX36" s="15">
        <v>4.0</v>
      </c>
      <c r="EY36" s="15">
        <v>5.0</v>
      </c>
      <c r="EZ36" s="15">
        <v>4.0</v>
      </c>
      <c r="FA36" s="15">
        <v>2.0</v>
      </c>
      <c r="FB36" s="15">
        <v>5.0</v>
      </c>
      <c r="FC36" s="15">
        <v>4.0</v>
      </c>
      <c r="FD36" s="15">
        <v>4.0</v>
      </c>
      <c r="FE36" s="15">
        <v>4.0</v>
      </c>
      <c r="FF36" s="15">
        <v>4.0</v>
      </c>
      <c r="FG36" s="15">
        <v>2.0</v>
      </c>
      <c r="FH36" s="15">
        <v>9.0</v>
      </c>
      <c r="FI36" s="15"/>
      <c r="FJ36" s="15">
        <v>4.0</v>
      </c>
      <c r="FK36" s="15">
        <v>5.0</v>
      </c>
      <c r="FL36" s="15">
        <v>5.0</v>
      </c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</row>
    <row r="37" ht="15.75" customHeight="1">
      <c r="A37" s="126" t="s">
        <v>451</v>
      </c>
      <c r="D37" s="15">
        <v>4.0</v>
      </c>
      <c r="E37" s="15">
        <v>4.0</v>
      </c>
      <c r="F37" s="15">
        <v>3.0</v>
      </c>
      <c r="G37" s="15">
        <v>3.0</v>
      </c>
      <c r="H37" s="15">
        <v>1.0</v>
      </c>
      <c r="I37" s="15">
        <v>5.0</v>
      </c>
      <c r="J37" s="15">
        <v>4.0</v>
      </c>
      <c r="K37" s="15">
        <v>2.0</v>
      </c>
      <c r="L37" s="15">
        <v>4.0</v>
      </c>
      <c r="M37" s="15">
        <v>5.0</v>
      </c>
      <c r="N37" s="15">
        <v>2.0</v>
      </c>
      <c r="O37" s="15">
        <v>4.0</v>
      </c>
      <c r="P37" s="15">
        <v>4.0</v>
      </c>
      <c r="Q37" s="15">
        <v>3.0</v>
      </c>
      <c r="R37" s="15">
        <v>3.0</v>
      </c>
      <c r="S37" s="15">
        <v>5.0</v>
      </c>
      <c r="T37" s="15">
        <v>3.0</v>
      </c>
      <c r="U37" s="15">
        <v>3.0</v>
      </c>
      <c r="V37" s="15">
        <v>7.0</v>
      </c>
      <c r="W37" s="15">
        <v>5.0</v>
      </c>
      <c r="X37" s="15">
        <v>4.0</v>
      </c>
      <c r="Y37" s="15">
        <v>5.0</v>
      </c>
      <c r="Z37" s="15">
        <v>2.0</v>
      </c>
      <c r="AA37" s="15">
        <v>1.0</v>
      </c>
      <c r="AB37" s="15">
        <v>4.0</v>
      </c>
      <c r="AC37" s="15">
        <v>3.0</v>
      </c>
      <c r="AD37" s="15">
        <v>2.0</v>
      </c>
      <c r="AE37" s="15">
        <v>1.0</v>
      </c>
      <c r="AF37" s="15">
        <v>1.0</v>
      </c>
      <c r="AG37" s="15">
        <v>3.0</v>
      </c>
      <c r="AH37" s="15">
        <v>3.0</v>
      </c>
      <c r="AI37" s="15">
        <v>3.0</v>
      </c>
      <c r="AJ37" s="15">
        <v>6.0</v>
      </c>
      <c r="AK37" s="15">
        <v>4.0</v>
      </c>
      <c r="AL37" s="15">
        <v>4.0</v>
      </c>
      <c r="AM37" s="15">
        <v>4.0</v>
      </c>
      <c r="AN37" s="15">
        <v>2.0</v>
      </c>
      <c r="AO37" s="15">
        <v>2.0</v>
      </c>
      <c r="AP37" s="15">
        <v>3.0</v>
      </c>
      <c r="AQ37" s="15">
        <v>2.0</v>
      </c>
      <c r="AR37" s="15">
        <v>2.0</v>
      </c>
      <c r="AS37" s="15">
        <v>2.0</v>
      </c>
      <c r="AT37" s="15">
        <v>2.0</v>
      </c>
      <c r="AU37" s="15">
        <v>3.0</v>
      </c>
      <c r="AV37" s="15">
        <v>2.0</v>
      </c>
      <c r="AW37" s="15">
        <v>2.0</v>
      </c>
      <c r="AX37" s="15">
        <v>0.0</v>
      </c>
      <c r="AY37" s="15">
        <v>3.0</v>
      </c>
      <c r="AZ37" s="15">
        <v>3.0</v>
      </c>
      <c r="BA37" s="15">
        <v>2.0</v>
      </c>
      <c r="BB37" s="15">
        <v>3.0</v>
      </c>
      <c r="BC37" s="15">
        <v>0.0</v>
      </c>
      <c r="BD37" s="15">
        <v>1.0</v>
      </c>
      <c r="BE37" s="15">
        <v>3.0</v>
      </c>
      <c r="BF37" s="15">
        <v>3.0</v>
      </c>
      <c r="BG37" s="15">
        <v>3.0</v>
      </c>
      <c r="BH37" s="15">
        <v>5.0</v>
      </c>
      <c r="BI37" s="15">
        <v>5.0</v>
      </c>
      <c r="BJ37" s="15">
        <v>3.0</v>
      </c>
      <c r="BK37" s="15">
        <v>2.0</v>
      </c>
      <c r="BL37" s="15">
        <v>4.0</v>
      </c>
      <c r="BM37" s="15">
        <v>3.0</v>
      </c>
      <c r="BN37" s="15">
        <v>4.0</v>
      </c>
      <c r="BO37" s="377">
        <v>2.0</v>
      </c>
      <c r="BP37" s="377">
        <v>4.0</v>
      </c>
      <c r="BQ37" s="377">
        <v>3.0</v>
      </c>
      <c r="BR37" s="377">
        <v>4.0</v>
      </c>
      <c r="BS37" s="377">
        <v>3.0</v>
      </c>
      <c r="BT37" s="377">
        <v>2.0</v>
      </c>
      <c r="BU37" s="377">
        <v>3.0</v>
      </c>
      <c r="BV37" s="377">
        <v>3.0</v>
      </c>
      <c r="BW37" s="377">
        <v>2.0</v>
      </c>
      <c r="BX37" s="377">
        <v>4.0</v>
      </c>
      <c r="BY37" s="378">
        <v>0.0</v>
      </c>
      <c r="BZ37" s="377">
        <v>4.0</v>
      </c>
      <c r="CA37" s="15">
        <v>3.0</v>
      </c>
      <c r="CB37" s="15">
        <v>2.0</v>
      </c>
      <c r="CC37" s="15">
        <v>2.0</v>
      </c>
      <c r="CD37" s="15">
        <v>2.0</v>
      </c>
      <c r="CE37" s="15">
        <v>5.0</v>
      </c>
      <c r="CF37" s="15">
        <v>3.0</v>
      </c>
      <c r="CG37" s="15">
        <v>4.0</v>
      </c>
      <c r="CH37" s="15">
        <v>4.0</v>
      </c>
      <c r="CI37" s="15">
        <v>5.0</v>
      </c>
      <c r="CJ37" s="15">
        <v>8.0</v>
      </c>
      <c r="CK37" s="15">
        <v>8.0</v>
      </c>
      <c r="CL37" s="15">
        <v>9.0</v>
      </c>
      <c r="CM37" s="15">
        <v>6.0</v>
      </c>
      <c r="CN37" s="15">
        <v>5.0</v>
      </c>
      <c r="CO37" s="15">
        <v>6.0</v>
      </c>
      <c r="CP37" s="15">
        <v>2.0</v>
      </c>
      <c r="CQ37" s="15">
        <v>3.0</v>
      </c>
      <c r="CR37" s="15">
        <v>4.0</v>
      </c>
      <c r="CS37" s="15">
        <v>4.0</v>
      </c>
      <c r="CT37" s="15">
        <v>5.0</v>
      </c>
      <c r="CU37" s="15">
        <v>5.0</v>
      </c>
      <c r="CV37" s="15">
        <v>5.0</v>
      </c>
      <c r="CW37" s="15">
        <v>4.0</v>
      </c>
      <c r="CX37" s="15">
        <v>4.0</v>
      </c>
      <c r="CY37" s="15">
        <v>5.0</v>
      </c>
      <c r="CZ37" s="15">
        <v>5.0</v>
      </c>
      <c r="DA37" s="15">
        <v>2.0</v>
      </c>
      <c r="DB37" s="15">
        <v>1.0</v>
      </c>
      <c r="DC37" s="15">
        <v>4.0</v>
      </c>
      <c r="DD37" s="15">
        <v>5.0</v>
      </c>
      <c r="DE37" s="15">
        <v>6.0</v>
      </c>
      <c r="DF37" s="15">
        <v>5.0</v>
      </c>
      <c r="DG37" s="15">
        <v>4.0</v>
      </c>
      <c r="DH37" s="15">
        <v>6.0</v>
      </c>
      <c r="DI37" s="15">
        <v>6.0</v>
      </c>
      <c r="DJ37" s="15">
        <v>6.0</v>
      </c>
      <c r="DK37" s="15">
        <v>6.0</v>
      </c>
      <c r="DL37" s="15">
        <v>5.0</v>
      </c>
      <c r="DM37" s="15">
        <v>6.0</v>
      </c>
      <c r="DN37" s="15">
        <v>6.0</v>
      </c>
      <c r="DO37" s="15">
        <v>7.0</v>
      </c>
      <c r="DP37" s="15">
        <v>8.0</v>
      </c>
      <c r="DQ37" s="15">
        <v>7.0</v>
      </c>
      <c r="DR37" s="15">
        <v>4.0</v>
      </c>
      <c r="DS37" s="15">
        <v>3.0</v>
      </c>
      <c r="DT37" s="15">
        <v>3.0</v>
      </c>
      <c r="DU37" s="15">
        <v>2.0</v>
      </c>
      <c r="DV37" s="15">
        <v>2.0</v>
      </c>
      <c r="DW37" s="15">
        <v>2.0</v>
      </c>
      <c r="DX37" s="15">
        <v>7.0</v>
      </c>
      <c r="DY37" s="15">
        <v>6.0</v>
      </c>
      <c r="DZ37" s="15">
        <v>4.0</v>
      </c>
      <c r="EA37" s="15">
        <v>5.0</v>
      </c>
      <c r="EB37" s="15">
        <v>6.0</v>
      </c>
      <c r="EC37" s="15">
        <v>6.0</v>
      </c>
      <c r="ED37" s="15">
        <v>6.0</v>
      </c>
      <c r="EE37" s="15">
        <v>6.0</v>
      </c>
      <c r="EF37" s="15">
        <v>3.0</v>
      </c>
      <c r="EG37" s="15">
        <v>6.0</v>
      </c>
      <c r="EH37" s="15">
        <v>5.0</v>
      </c>
      <c r="EI37" s="15">
        <v>6.0</v>
      </c>
      <c r="EJ37" s="15">
        <v>7.0</v>
      </c>
      <c r="EK37" s="15">
        <v>5.0</v>
      </c>
      <c r="EL37" s="15">
        <v>2.0</v>
      </c>
      <c r="EM37" s="15">
        <v>4.0</v>
      </c>
      <c r="EN37" s="15">
        <v>4.0</v>
      </c>
      <c r="EO37" s="15">
        <v>3.0</v>
      </c>
      <c r="EP37" s="15">
        <v>5.0</v>
      </c>
      <c r="EQ37" s="15">
        <v>3.0</v>
      </c>
      <c r="ER37" s="15">
        <v>1.0</v>
      </c>
      <c r="ES37" s="15">
        <v>3.0</v>
      </c>
      <c r="ET37" s="15">
        <v>7.0</v>
      </c>
      <c r="EU37" s="15">
        <v>4.0</v>
      </c>
      <c r="EV37" s="15">
        <v>3.0</v>
      </c>
      <c r="EW37" s="15">
        <v>3.0</v>
      </c>
      <c r="EX37" s="15">
        <v>4.0</v>
      </c>
      <c r="EY37" s="15">
        <v>6.0</v>
      </c>
      <c r="EZ37" s="15">
        <v>5.0</v>
      </c>
      <c r="FA37" s="15">
        <v>2.0</v>
      </c>
      <c r="FB37" s="15">
        <v>5.0</v>
      </c>
      <c r="FC37" s="15">
        <v>3.0</v>
      </c>
      <c r="FD37" s="15">
        <v>5.0</v>
      </c>
      <c r="FE37" s="15">
        <v>4.0</v>
      </c>
      <c r="FF37" s="15">
        <v>5.0</v>
      </c>
      <c r="FG37" s="15">
        <v>2.0</v>
      </c>
      <c r="FH37" s="15">
        <v>9.0</v>
      </c>
      <c r="FI37" s="15"/>
      <c r="FJ37" s="15">
        <v>4.0</v>
      </c>
      <c r="FK37" s="15">
        <v>4.0</v>
      </c>
      <c r="FL37" s="15">
        <v>4.0</v>
      </c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</row>
    <row r="38" ht="15.75" customHeight="1"/>
    <row r="39" ht="15.75" customHeight="1">
      <c r="C39" s="184" t="s">
        <v>94</v>
      </c>
      <c r="D39" s="184" t="s">
        <v>452</v>
      </c>
      <c r="E39" s="184" t="s">
        <v>453</v>
      </c>
      <c r="F39" s="379" t="s">
        <v>454</v>
      </c>
      <c r="G39" s="184" t="s">
        <v>455</v>
      </c>
      <c r="H39" s="184" t="s">
        <v>456</v>
      </c>
    </row>
    <row r="40" ht="15.75" customHeight="1">
      <c r="B40" s="15" t="s">
        <v>172</v>
      </c>
      <c r="C40" s="180">
        <v>0.69</v>
      </c>
      <c r="D40" s="180">
        <v>0.73</v>
      </c>
      <c r="E40" s="180">
        <v>0.67</v>
      </c>
      <c r="F40" s="380">
        <v>0.78</v>
      </c>
      <c r="G40" s="180">
        <v>0.55</v>
      </c>
      <c r="H40" s="180">
        <v>0.92</v>
      </c>
    </row>
    <row r="41" ht="15.75" customHeight="1">
      <c r="B41" s="15" t="s">
        <v>457</v>
      </c>
      <c r="C41" s="15">
        <v>54.0</v>
      </c>
      <c r="D41" s="15">
        <v>50.0</v>
      </c>
      <c r="E41" s="15">
        <v>46.0</v>
      </c>
      <c r="F41" s="241">
        <v>49.0</v>
      </c>
      <c r="G41" s="15">
        <v>35.0</v>
      </c>
      <c r="H41" s="15">
        <v>30.0</v>
      </c>
    </row>
    <row r="42" ht="15.75" customHeight="1">
      <c r="B42" s="15" t="s">
        <v>130</v>
      </c>
      <c r="C42" s="15">
        <v>1.82</v>
      </c>
      <c r="D42" s="15">
        <v>2.07</v>
      </c>
      <c r="E42" s="15">
        <v>2.07</v>
      </c>
      <c r="F42" s="241">
        <v>2.02</v>
      </c>
      <c r="G42" s="15">
        <v>1.62</v>
      </c>
      <c r="H42" s="15">
        <v>3.03</v>
      </c>
    </row>
    <row r="43" ht="15.75" customHeight="1">
      <c r="G43" s="15"/>
      <c r="H43" s="15"/>
    </row>
    <row r="44" ht="15.75" customHeight="1">
      <c r="B44" s="15" t="s">
        <v>458</v>
      </c>
      <c r="C44" s="15" t="s">
        <v>459</v>
      </c>
    </row>
    <row r="45" ht="15.75" customHeight="1">
      <c r="B45" s="15" t="s">
        <v>460</v>
      </c>
      <c r="C45" s="15" t="s">
        <v>461</v>
      </c>
    </row>
    <row r="46" ht="15.75" customHeight="1">
      <c r="B46" s="15" t="s">
        <v>462</v>
      </c>
      <c r="C46" s="15" t="s">
        <v>463</v>
      </c>
    </row>
    <row r="47" ht="15.75" customHeight="1">
      <c r="B47" s="15" t="s">
        <v>464</v>
      </c>
      <c r="C47" s="15" t="s">
        <v>465</v>
      </c>
    </row>
    <row r="48" ht="15.75" customHeight="1">
      <c r="B48" s="15" t="s">
        <v>466</v>
      </c>
      <c r="C48" s="15" t="s">
        <v>467</v>
      </c>
    </row>
    <row r="49" ht="15.75" customHeight="1">
      <c r="B49" s="15" t="s">
        <v>468</v>
      </c>
      <c r="C49" s="15" t="s">
        <v>469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 outlineLevelRow="1"/>
  <cols>
    <col customWidth="1" min="1" max="1" width="15.78"/>
    <col customWidth="1" min="2" max="6" width="11.22"/>
    <col customWidth="1" min="68" max="83" width="12.11"/>
  </cols>
  <sheetData>
    <row r="1">
      <c r="A1" s="381"/>
      <c r="B1" s="381"/>
      <c r="C1" s="381"/>
      <c r="D1" s="381"/>
      <c r="E1" s="381"/>
      <c r="F1" s="381"/>
      <c r="G1" s="381"/>
      <c r="H1" s="381"/>
      <c r="I1" s="381"/>
      <c r="J1" s="381"/>
      <c r="K1" s="382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2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2"/>
      <c r="AJ1" s="381"/>
      <c r="AK1" s="381"/>
      <c r="AL1" s="381"/>
      <c r="AM1" s="381"/>
      <c r="AN1" s="381"/>
      <c r="AO1" s="381"/>
      <c r="AP1" s="381"/>
      <c r="AQ1" s="381"/>
      <c r="AR1" s="381"/>
      <c r="AS1" s="381"/>
      <c r="AT1" s="381"/>
      <c r="AU1" s="383"/>
      <c r="AV1" s="38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383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383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</row>
    <row r="2">
      <c r="A2" s="384" t="s">
        <v>470</v>
      </c>
      <c r="B2" s="381">
        <v>2019.0</v>
      </c>
      <c r="C2" s="381"/>
      <c r="D2" s="381"/>
      <c r="E2" s="381"/>
      <c r="F2" s="381"/>
      <c r="G2" s="381"/>
      <c r="H2" s="381"/>
      <c r="I2" s="381"/>
      <c r="J2" s="381"/>
      <c r="K2" s="382"/>
      <c r="L2" s="381">
        <v>2020.0</v>
      </c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2"/>
      <c r="X2" s="381">
        <v>2021.0</v>
      </c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2"/>
      <c r="AJ2" s="385">
        <v>2022.0</v>
      </c>
      <c r="AU2" s="94"/>
      <c r="AV2" s="385">
        <v>2023.0</v>
      </c>
      <c r="BG2" s="94"/>
      <c r="BJ2" s="51"/>
      <c r="BK2" s="51"/>
      <c r="BL2" s="51"/>
      <c r="BM2" s="51"/>
      <c r="BN2" s="51"/>
      <c r="BO2" s="51"/>
      <c r="BP2" s="51"/>
      <c r="BQ2" s="51"/>
      <c r="BR2" s="51"/>
      <c r="BS2" s="383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</row>
    <row r="3">
      <c r="A3" s="381"/>
      <c r="B3" s="381" t="s">
        <v>133</v>
      </c>
      <c r="C3" s="381" t="s">
        <v>56</v>
      </c>
      <c r="D3" s="381" t="s">
        <v>57</v>
      </c>
      <c r="E3" s="381" t="s">
        <v>58</v>
      </c>
      <c r="F3" s="381" t="s">
        <v>10</v>
      </c>
      <c r="G3" s="381" t="s">
        <v>21</v>
      </c>
      <c r="H3" s="381" t="s">
        <v>228</v>
      </c>
      <c r="I3" s="381" t="s">
        <v>60</v>
      </c>
      <c r="J3" s="381" t="s">
        <v>61</v>
      </c>
      <c r="K3" s="382" t="s">
        <v>51</v>
      </c>
      <c r="L3" s="381" t="s">
        <v>63</v>
      </c>
      <c r="M3" s="381" t="s">
        <v>64</v>
      </c>
      <c r="N3" s="381" t="s">
        <v>55</v>
      </c>
      <c r="O3" s="381" t="s">
        <v>56</v>
      </c>
      <c r="P3" s="381" t="s">
        <v>57</v>
      </c>
      <c r="Q3" s="381" t="s">
        <v>58</v>
      </c>
      <c r="R3" s="381" t="s">
        <v>69</v>
      </c>
      <c r="S3" s="381" t="s">
        <v>21</v>
      </c>
      <c r="T3" s="381" t="s">
        <v>471</v>
      </c>
      <c r="U3" s="381" t="s">
        <v>23</v>
      </c>
      <c r="V3" s="381" t="s">
        <v>61</v>
      </c>
      <c r="W3" s="382" t="s">
        <v>51</v>
      </c>
      <c r="X3" s="381" t="s">
        <v>53</v>
      </c>
      <c r="Y3" s="381" t="s">
        <v>64</v>
      </c>
      <c r="Z3" s="381" t="s">
        <v>55</v>
      </c>
      <c r="AA3" s="381" t="s">
        <v>472</v>
      </c>
      <c r="AB3" s="381" t="s">
        <v>57</v>
      </c>
      <c r="AC3" s="381" t="s">
        <v>58</v>
      </c>
      <c r="AD3" s="381" t="s">
        <v>10</v>
      </c>
      <c r="AE3" s="381" t="s">
        <v>21</v>
      </c>
      <c r="AF3" s="381" t="s">
        <v>22</v>
      </c>
      <c r="AG3" s="381" t="s">
        <v>60</v>
      </c>
      <c r="AH3" s="381" t="s">
        <v>61</v>
      </c>
      <c r="AI3" s="382" t="s">
        <v>51</v>
      </c>
      <c r="AJ3" s="381" t="s">
        <v>77</v>
      </c>
      <c r="AK3" s="381" t="s">
        <v>78</v>
      </c>
      <c r="AL3" s="381" t="s">
        <v>79</v>
      </c>
      <c r="AM3" s="381" t="s">
        <v>80</v>
      </c>
      <c r="AN3" s="381" t="s">
        <v>473</v>
      </c>
      <c r="AO3" s="381" t="s">
        <v>474</v>
      </c>
      <c r="AP3" s="381" t="s">
        <v>475</v>
      </c>
      <c r="AQ3" s="381" t="s">
        <v>476</v>
      </c>
      <c r="AR3" s="381" t="s">
        <v>477</v>
      </c>
      <c r="AS3" s="381" t="s">
        <v>478</v>
      </c>
      <c r="AT3" s="381" t="s">
        <v>479</v>
      </c>
      <c r="AU3" s="383" t="s">
        <v>480</v>
      </c>
      <c r="AV3" s="381" t="s">
        <v>85</v>
      </c>
      <c r="AW3" s="381" t="s">
        <v>481</v>
      </c>
      <c r="AX3" s="381" t="s">
        <v>94</v>
      </c>
      <c r="AY3" s="381" t="s">
        <v>454</v>
      </c>
      <c r="AZ3" s="381" t="s">
        <v>482</v>
      </c>
      <c r="BA3" s="381" t="s">
        <v>483</v>
      </c>
      <c r="BB3" s="381" t="s">
        <v>484</v>
      </c>
      <c r="BC3" s="381" t="s">
        <v>485</v>
      </c>
      <c r="BD3" s="381" t="s">
        <v>486</v>
      </c>
      <c r="BE3" s="381" t="s">
        <v>487</v>
      </c>
      <c r="BF3" s="381" t="s">
        <v>488</v>
      </c>
      <c r="BG3" s="383" t="s">
        <v>489</v>
      </c>
      <c r="BH3" s="383" t="s">
        <v>106</v>
      </c>
      <c r="BI3" s="51" t="s">
        <v>107</v>
      </c>
      <c r="BJ3" s="386" t="s">
        <v>452</v>
      </c>
      <c r="BK3" s="386" t="s">
        <v>455</v>
      </c>
      <c r="BL3" s="386" t="s">
        <v>490</v>
      </c>
      <c r="BM3" s="386" t="s">
        <v>491</v>
      </c>
      <c r="BN3" s="386" t="s">
        <v>492</v>
      </c>
      <c r="BO3" s="386" t="s">
        <v>493</v>
      </c>
      <c r="BP3" s="386" t="s">
        <v>494</v>
      </c>
      <c r="BQ3" s="386" t="s">
        <v>495</v>
      </c>
      <c r="BR3" s="386" t="s">
        <v>496</v>
      </c>
      <c r="BS3" s="387" t="s">
        <v>497</v>
      </c>
      <c r="BT3" s="386" t="s">
        <v>126</v>
      </c>
      <c r="BU3" s="51" t="s">
        <v>127</v>
      </c>
      <c r="BV3" s="51" t="s">
        <v>453</v>
      </c>
      <c r="BW3" s="51" t="s">
        <v>498</v>
      </c>
      <c r="BX3" s="386" t="s">
        <v>499</v>
      </c>
      <c r="BY3" s="51" t="s">
        <v>500</v>
      </c>
      <c r="BZ3" s="51" t="s">
        <v>501</v>
      </c>
      <c r="CA3" s="51" t="s">
        <v>502</v>
      </c>
      <c r="CB3" s="51" t="s">
        <v>503</v>
      </c>
      <c r="CC3" s="51" t="s">
        <v>504</v>
      </c>
      <c r="CD3" s="51" t="s">
        <v>505</v>
      </c>
      <c r="CE3" s="51" t="s">
        <v>506</v>
      </c>
    </row>
    <row r="4">
      <c r="A4" s="381" t="s">
        <v>65</v>
      </c>
      <c r="B4" s="388">
        <v>11914.0</v>
      </c>
      <c r="C4" s="388">
        <v>15482.0</v>
      </c>
      <c r="D4" s="388">
        <v>19536.0</v>
      </c>
      <c r="E4" s="388">
        <v>22784.0</v>
      </c>
      <c r="F4" s="388">
        <v>26651.0</v>
      </c>
      <c r="G4" s="388">
        <v>30665.0</v>
      </c>
      <c r="H4" s="388">
        <v>33497.0</v>
      </c>
      <c r="I4" s="388">
        <v>37936.0</v>
      </c>
      <c r="J4" s="388">
        <v>42089.0</v>
      </c>
      <c r="K4" s="389">
        <v>46566.0</v>
      </c>
      <c r="L4" s="388">
        <v>51017.0</v>
      </c>
      <c r="M4" s="388">
        <v>55525.0</v>
      </c>
      <c r="N4" s="388">
        <v>59022.0</v>
      </c>
      <c r="O4" s="388">
        <v>59700.0</v>
      </c>
      <c r="P4" s="388">
        <v>60061.0</v>
      </c>
      <c r="Q4" s="388">
        <v>61906.0</v>
      </c>
      <c r="R4" s="388">
        <v>65659.0</v>
      </c>
      <c r="S4" s="388">
        <v>69833.0</v>
      </c>
      <c r="T4" s="388">
        <v>72186.0</v>
      </c>
      <c r="U4" s="388">
        <v>74395.0</v>
      </c>
      <c r="V4" s="388">
        <v>76591.0</v>
      </c>
      <c r="W4" s="389">
        <v>78833.0</v>
      </c>
      <c r="X4" s="388">
        <v>80968.0</v>
      </c>
      <c r="Y4" s="388">
        <v>83042.0</v>
      </c>
      <c r="Z4" s="388">
        <v>85665.0</v>
      </c>
      <c r="AA4" s="388">
        <v>88227.0</v>
      </c>
      <c r="AB4" s="388">
        <v>90480.0</v>
      </c>
      <c r="AC4" s="388">
        <v>93156.0</v>
      </c>
      <c r="AD4" s="388">
        <v>96766.0</v>
      </c>
      <c r="AE4" s="388">
        <v>100685.0</v>
      </c>
      <c r="AF4" s="388">
        <v>103863.0</v>
      </c>
      <c r="AG4" s="388">
        <v>107163.0</v>
      </c>
      <c r="AH4" s="388">
        <v>110688.0</v>
      </c>
      <c r="AI4" s="389">
        <v>114264.0</v>
      </c>
      <c r="AJ4" s="388">
        <v>118053.0</v>
      </c>
      <c r="AK4" s="388">
        <v>121824.0</v>
      </c>
      <c r="AL4" s="388">
        <v>126154.0</v>
      </c>
      <c r="AM4" s="388">
        <v>130594.0</v>
      </c>
      <c r="AN4" s="388">
        <v>134107.0</v>
      </c>
      <c r="AO4" s="388">
        <v>137634.0</v>
      </c>
      <c r="AP4" s="388">
        <v>141640.0</v>
      </c>
      <c r="AQ4" s="388">
        <v>146201.0</v>
      </c>
      <c r="AR4" s="388">
        <v>149687.0</v>
      </c>
      <c r="AS4" s="388">
        <v>154143.0</v>
      </c>
      <c r="AT4" s="388">
        <v>158816.0</v>
      </c>
      <c r="AU4" s="388">
        <v>163447.0</v>
      </c>
      <c r="AV4" s="388">
        <v>167992.0</v>
      </c>
      <c r="AW4" s="390">
        <v>172740.0</v>
      </c>
      <c r="AX4" s="390">
        <v>177031.0</v>
      </c>
      <c r="AY4" s="390">
        <v>181243.0</v>
      </c>
      <c r="AZ4" s="390">
        <v>185457.0</v>
      </c>
      <c r="BA4" s="390">
        <v>189016.0</v>
      </c>
      <c r="BB4" s="390">
        <v>193575.0</v>
      </c>
      <c r="BC4" s="390">
        <v>197936.0</v>
      </c>
      <c r="BD4" s="390">
        <v>202068.0</v>
      </c>
      <c r="BE4" s="390">
        <v>206619.0</v>
      </c>
      <c r="BF4" s="390">
        <v>211060.0</v>
      </c>
      <c r="BG4" s="391">
        <v>216094.0</v>
      </c>
      <c r="BH4" s="390">
        <v>221130.0</v>
      </c>
      <c r="BI4" s="390">
        <v>226604.0</v>
      </c>
      <c r="BJ4" s="390">
        <v>230910.0</v>
      </c>
      <c r="BK4" s="390">
        <v>235924.0</v>
      </c>
      <c r="BL4" s="390">
        <v>240324.0</v>
      </c>
      <c r="BM4" s="390">
        <v>244197.0</v>
      </c>
      <c r="BN4" s="390">
        <v>249348.0</v>
      </c>
      <c r="BO4" s="390">
        <v>254374.0</v>
      </c>
      <c r="BP4" s="390">
        <v>258851.0</v>
      </c>
      <c r="BQ4" s="390">
        <v>263595.0</v>
      </c>
      <c r="BR4" s="390">
        <v>267883.0</v>
      </c>
      <c r="BS4" s="391">
        <v>273021.0</v>
      </c>
      <c r="BT4" s="390">
        <v>278007.0</v>
      </c>
      <c r="BU4" s="390">
        <v>282863.0</v>
      </c>
      <c r="BV4" s="390"/>
      <c r="BW4" s="390"/>
      <c r="BX4" s="390"/>
      <c r="BY4" s="390"/>
      <c r="BZ4" s="390"/>
      <c r="CA4" s="390"/>
      <c r="CB4" s="390"/>
      <c r="CC4" s="390"/>
      <c r="CD4" s="390"/>
      <c r="CE4" s="390"/>
    </row>
    <row r="5">
      <c r="A5" s="381" t="s">
        <v>507</v>
      </c>
      <c r="B5" s="388">
        <v>17.0</v>
      </c>
      <c r="C5" s="388">
        <v>17.0</v>
      </c>
      <c r="D5" s="388">
        <v>17.0</v>
      </c>
      <c r="E5" s="388">
        <v>17.0</v>
      </c>
      <c r="F5" s="388">
        <v>17.0</v>
      </c>
      <c r="G5" s="388">
        <v>17.0</v>
      </c>
      <c r="H5" s="388">
        <v>17.0</v>
      </c>
      <c r="I5" s="388">
        <v>17.0</v>
      </c>
      <c r="J5" s="388">
        <v>17.0</v>
      </c>
      <c r="K5" s="389">
        <v>17.0</v>
      </c>
      <c r="L5" s="388">
        <v>17.0</v>
      </c>
      <c r="M5" s="388">
        <v>17.0</v>
      </c>
      <c r="N5" s="388">
        <v>17.0</v>
      </c>
      <c r="O5" s="388">
        <v>17.0</v>
      </c>
      <c r="P5" s="388">
        <v>17.0</v>
      </c>
      <c r="Q5" s="388">
        <v>17.0</v>
      </c>
      <c r="R5" s="388">
        <v>17.0</v>
      </c>
      <c r="S5" s="388">
        <v>17.0</v>
      </c>
      <c r="T5" s="388">
        <v>17.0</v>
      </c>
      <c r="U5" s="388">
        <v>17.0</v>
      </c>
      <c r="V5" s="388">
        <v>17.0</v>
      </c>
      <c r="W5" s="389">
        <v>17.0</v>
      </c>
      <c r="X5" s="388">
        <v>17.0</v>
      </c>
      <c r="Y5" s="388">
        <v>17.0</v>
      </c>
      <c r="Z5" s="388">
        <v>17.0</v>
      </c>
      <c r="AA5" s="388">
        <v>17.0</v>
      </c>
      <c r="AB5" s="388">
        <v>17.0</v>
      </c>
      <c r="AC5" s="388">
        <v>17.0</v>
      </c>
      <c r="AD5" s="388">
        <v>17.0</v>
      </c>
      <c r="AE5" s="388">
        <v>17.0</v>
      </c>
      <c r="AF5" s="388">
        <v>17.0</v>
      </c>
      <c r="AG5" s="388">
        <v>17.0</v>
      </c>
      <c r="AH5" s="388">
        <v>17.0</v>
      </c>
      <c r="AI5" s="389">
        <v>17.0</v>
      </c>
      <c r="AJ5" s="388">
        <v>17.0</v>
      </c>
      <c r="AK5" s="388">
        <v>17.0</v>
      </c>
      <c r="AL5" s="388">
        <v>17.0</v>
      </c>
      <c r="AM5" s="388">
        <v>17.0</v>
      </c>
      <c r="AN5" s="388">
        <v>17.0</v>
      </c>
      <c r="AO5" s="388">
        <v>17.0</v>
      </c>
      <c r="AP5" s="388">
        <v>17.0</v>
      </c>
      <c r="AQ5" s="388">
        <v>17.0</v>
      </c>
      <c r="AR5" s="388">
        <v>17.0</v>
      </c>
      <c r="AS5" s="388">
        <v>17.0</v>
      </c>
      <c r="AT5" s="388">
        <v>17.0</v>
      </c>
      <c r="AU5" s="391">
        <v>17.0</v>
      </c>
      <c r="AV5" s="388">
        <v>17.0</v>
      </c>
      <c r="AW5" s="390">
        <v>17.0</v>
      </c>
      <c r="AX5" s="390">
        <v>17.0</v>
      </c>
      <c r="AY5" s="390">
        <v>17.0</v>
      </c>
      <c r="AZ5" s="390">
        <v>17.0</v>
      </c>
      <c r="BA5" s="390">
        <v>17.0</v>
      </c>
      <c r="BB5" s="390">
        <v>17.0</v>
      </c>
      <c r="BC5" s="390">
        <v>17.0</v>
      </c>
      <c r="BD5" s="390">
        <v>17.0</v>
      </c>
      <c r="BE5" s="390">
        <v>17.0</v>
      </c>
      <c r="BF5" s="390">
        <v>17.0</v>
      </c>
      <c r="BG5" s="391">
        <v>17.0</v>
      </c>
      <c r="BH5" s="390">
        <v>17.0</v>
      </c>
      <c r="BI5" s="390">
        <v>17.0</v>
      </c>
      <c r="BJ5" s="390">
        <v>17.0</v>
      </c>
      <c r="BK5" s="390">
        <v>17.0</v>
      </c>
      <c r="BL5" s="390">
        <v>17.0</v>
      </c>
      <c r="BM5" s="390">
        <v>17.0</v>
      </c>
      <c r="BN5" s="390">
        <v>17.0</v>
      </c>
      <c r="BO5" s="390">
        <v>17.0</v>
      </c>
      <c r="BP5" s="390">
        <v>17.0</v>
      </c>
      <c r="BQ5" s="390">
        <v>17.0</v>
      </c>
      <c r="BR5" s="390">
        <v>17.0</v>
      </c>
      <c r="BS5" s="391">
        <v>17.0</v>
      </c>
      <c r="BT5" s="390">
        <v>17.0</v>
      </c>
      <c r="BU5" s="390">
        <v>17.0</v>
      </c>
      <c r="BV5" s="390"/>
      <c r="BW5" s="390"/>
      <c r="BX5" s="390"/>
      <c r="BY5" s="390"/>
      <c r="BZ5" s="390"/>
      <c r="CA5" s="390"/>
      <c r="CB5" s="390"/>
      <c r="CC5" s="390"/>
      <c r="CD5" s="390"/>
      <c r="CE5" s="390"/>
    </row>
    <row r="6" outlineLevel="1">
      <c r="A6" s="392" t="s">
        <v>508</v>
      </c>
      <c r="B6" s="392"/>
      <c r="C6" s="392"/>
      <c r="D6" s="392"/>
      <c r="E6" s="392"/>
      <c r="F6" s="392"/>
      <c r="G6" s="392"/>
      <c r="H6" s="392"/>
      <c r="I6" s="392"/>
      <c r="J6" s="392"/>
      <c r="K6" s="393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3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3"/>
      <c r="AJ6" s="392"/>
      <c r="AK6" s="392"/>
      <c r="AL6" s="392"/>
      <c r="AM6" s="392"/>
      <c r="AN6" s="392"/>
      <c r="AO6" s="392"/>
      <c r="AP6" s="392"/>
      <c r="AQ6" s="392"/>
      <c r="AR6" s="392"/>
      <c r="AS6" s="392"/>
      <c r="AT6" s="392"/>
      <c r="AU6" s="131"/>
      <c r="AV6" s="392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1"/>
      <c r="BH6" s="130"/>
      <c r="BI6" s="130"/>
      <c r="BJ6" s="130"/>
      <c r="BK6" s="130"/>
      <c r="BL6" s="130"/>
      <c r="BM6" s="130"/>
      <c r="BN6" s="130"/>
      <c r="BO6" s="130">
        <v>22.0</v>
      </c>
      <c r="BP6" s="130">
        <v>191.0</v>
      </c>
      <c r="BQ6" s="130">
        <v>437.0</v>
      </c>
      <c r="BR6" s="130">
        <v>678.0</v>
      </c>
      <c r="BS6" s="131">
        <v>868.0</v>
      </c>
      <c r="BT6" s="130">
        <v>1067.0</v>
      </c>
      <c r="BU6" s="130">
        <v>1318.0</v>
      </c>
      <c r="BV6" s="130"/>
      <c r="BW6" s="130"/>
      <c r="BX6" s="130"/>
      <c r="BY6" s="130"/>
      <c r="BZ6" s="130"/>
      <c r="CA6" s="130"/>
      <c r="CB6" s="130"/>
      <c r="CC6" s="130"/>
      <c r="CD6" s="130"/>
      <c r="CE6" s="130"/>
    </row>
    <row r="7" outlineLevel="1">
      <c r="A7" s="392" t="s">
        <v>509</v>
      </c>
      <c r="B7" s="392"/>
      <c r="C7" s="392"/>
      <c r="D7" s="392"/>
      <c r="E7" s="392"/>
      <c r="F7" s="392"/>
      <c r="G7" s="392"/>
      <c r="H7" s="392"/>
      <c r="I7" s="392"/>
      <c r="J7" s="392"/>
      <c r="K7" s="393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3"/>
      <c r="X7" s="392"/>
      <c r="Y7" s="392"/>
      <c r="Z7" s="392"/>
      <c r="AA7" s="392"/>
      <c r="AB7" s="392"/>
      <c r="AC7" s="392"/>
      <c r="AD7" s="392"/>
      <c r="AE7" s="392"/>
      <c r="AF7" s="392"/>
      <c r="AG7" s="392"/>
      <c r="AH7" s="392"/>
      <c r="AI7" s="393"/>
      <c r="AJ7" s="392"/>
      <c r="AK7" s="392"/>
      <c r="AL7" s="392"/>
      <c r="AM7" s="392"/>
      <c r="AN7" s="392"/>
      <c r="AO7" s="392"/>
      <c r="AP7" s="392"/>
      <c r="AQ7" s="392"/>
      <c r="AR7" s="392"/>
      <c r="AS7" s="392"/>
      <c r="AT7" s="392"/>
      <c r="AU7" s="131"/>
      <c r="AV7" s="392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1"/>
      <c r="BH7" s="133"/>
      <c r="BI7" s="133"/>
      <c r="BJ7" s="133"/>
      <c r="BK7" s="133"/>
      <c r="BL7" s="133"/>
      <c r="BM7" s="133"/>
      <c r="BN7" s="133"/>
      <c r="BO7" s="133"/>
      <c r="BP7" s="133">
        <v>138.5</v>
      </c>
      <c r="BQ7" s="133">
        <v>285.7</v>
      </c>
      <c r="BR7" s="133">
        <v>390.0</v>
      </c>
      <c r="BS7" s="134">
        <v>515.0</v>
      </c>
      <c r="BT7" s="133">
        <v>634.0</v>
      </c>
      <c r="BU7" s="133">
        <v>737.0</v>
      </c>
      <c r="BV7" s="133"/>
      <c r="BW7" s="133"/>
      <c r="BX7" s="133"/>
      <c r="BY7" s="133"/>
      <c r="BZ7" s="133"/>
      <c r="CA7" s="133"/>
      <c r="CB7" s="133"/>
      <c r="CC7" s="133"/>
      <c r="CD7" s="133"/>
      <c r="CE7" s="133"/>
    </row>
    <row r="8" outlineLevel="1">
      <c r="A8" s="392" t="s">
        <v>510</v>
      </c>
      <c r="B8" s="392"/>
      <c r="C8" s="392"/>
      <c r="D8" s="392"/>
      <c r="E8" s="392"/>
      <c r="F8" s="392"/>
      <c r="G8" s="392"/>
      <c r="H8" s="392"/>
      <c r="I8" s="392"/>
      <c r="J8" s="392"/>
      <c r="K8" s="393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3"/>
      <c r="X8" s="392"/>
      <c r="Y8" s="392"/>
      <c r="Z8" s="392"/>
      <c r="AA8" s="392"/>
      <c r="AB8" s="392"/>
      <c r="AC8" s="392"/>
      <c r="AD8" s="392"/>
      <c r="AE8" s="392"/>
      <c r="AF8" s="392"/>
      <c r="AG8" s="392"/>
      <c r="AH8" s="392"/>
      <c r="AI8" s="393"/>
      <c r="AJ8" s="392"/>
      <c r="AK8" s="392"/>
      <c r="AL8" s="392"/>
      <c r="AM8" s="392"/>
      <c r="AN8" s="392"/>
      <c r="AO8" s="392"/>
      <c r="AP8" s="392"/>
      <c r="AQ8" s="392"/>
      <c r="AR8" s="392"/>
      <c r="AS8" s="392"/>
      <c r="AT8" s="392"/>
      <c r="AU8" s="131"/>
      <c r="AV8" s="392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1"/>
      <c r="BH8" s="257"/>
      <c r="BI8" s="257"/>
      <c r="BJ8" s="257"/>
      <c r="BK8" s="257"/>
      <c r="BL8" s="257"/>
      <c r="BM8" s="257"/>
      <c r="BN8" s="257"/>
      <c r="BO8" s="257"/>
      <c r="BP8" s="257">
        <v>51.5</v>
      </c>
      <c r="BQ8" s="257">
        <v>148.9</v>
      </c>
      <c r="BR8" s="257">
        <v>285.0</v>
      </c>
      <c r="BS8" s="394">
        <v>349.0</v>
      </c>
      <c r="BT8" s="257">
        <v>431.0</v>
      </c>
      <c r="BU8" s="257">
        <v>576.0</v>
      </c>
      <c r="BV8" s="257"/>
      <c r="BW8" s="257"/>
      <c r="BX8" s="257"/>
      <c r="BY8" s="257"/>
      <c r="BZ8" s="257"/>
      <c r="CA8" s="257"/>
      <c r="CB8" s="257"/>
      <c r="CC8" s="257"/>
      <c r="CD8" s="257"/>
      <c r="CE8" s="257"/>
    </row>
    <row r="9">
      <c r="A9" s="381"/>
      <c r="B9" s="381"/>
      <c r="C9" s="381"/>
      <c r="D9" s="381"/>
      <c r="E9" s="381"/>
      <c r="F9" s="381"/>
      <c r="G9" s="381"/>
      <c r="H9" s="381"/>
      <c r="I9" s="381"/>
      <c r="J9" s="381"/>
      <c r="K9" s="382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2"/>
      <c r="X9" s="381"/>
      <c r="Y9" s="381"/>
      <c r="Z9" s="381"/>
      <c r="AA9" s="381"/>
      <c r="AB9" s="381"/>
      <c r="AC9" s="381"/>
      <c r="AD9" s="381"/>
      <c r="AE9" s="381"/>
      <c r="AF9" s="381"/>
      <c r="AG9" s="381"/>
      <c r="AH9" s="381"/>
      <c r="AI9" s="382"/>
      <c r="AJ9" s="381"/>
      <c r="AK9" s="381"/>
      <c r="AL9" s="381"/>
      <c r="AM9" s="381"/>
      <c r="AN9" s="381"/>
      <c r="AO9" s="381"/>
      <c r="AP9" s="381"/>
      <c r="AQ9" s="381"/>
      <c r="AR9" s="381"/>
      <c r="AS9" s="381"/>
      <c r="AT9" s="381"/>
      <c r="AU9" s="383"/>
      <c r="AV9" s="38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383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383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</row>
    <row r="10">
      <c r="A10" s="381" t="s">
        <v>511</v>
      </c>
      <c r="B10" s="395"/>
      <c r="C10" s="395">
        <f t="shared" ref="C10:CE10" si="1">(C4-B4)+(C5-B5)</f>
        <v>3568</v>
      </c>
      <c r="D10" s="395">
        <f t="shared" si="1"/>
        <v>4054</v>
      </c>
      <c r="E10" s="395">
        <f t="shared" si="1"/>
        <v>3248</v>
      </c>
      <c r="F10" s="395">
        <f t="shared" si="1"/>
        <v>3867</v>
      </c>
      <c r="G10" s="395">
        <f t="shared" si="1"/>
        <v>4014</v>
      </c>
      <c r="H10" s="395">
        <f t="shared" si="1"/>
        <v>2832</v>
      </c>
      <c r="I10" s="395">
        <f t="shared" si="1"/>
        <v>4439</v>
      </c>
      <c r="J10" s="395">
        <f t="shared" si="1"/>
        <v>4153</v>
      </c>
      <c r="K10" s="396">
        <f t="shared" si="1"/>
        <v>4477</v>
      </c>
      <c r="L10" s="395">
        <f t="shared" si="1"/>
        <v>4451</v>
      </c>
      <c r="M10" s="395">
        <f t="shared" si="1"/>
        <v>4508</v>
      </c>
      <c r="N10" s="395">
        <f t="shared" si="1"/>
        <v>3497</v>
      </c>
      <c r="O10" s="395">
        <f t="shared" si="1"/>
        <v>678</v>
      </c>
      <c r="P10" s="395">
        <f t="shared" si="1"/>
        <v>361</v>
      </c>
      <c r="Q10" s="395">
        <f t="shared" si="1"/>
        <v>1845</v>
      </c>
      <c r="R10" s="395">
        <f t="shared" si="1"/>
        <v>3753</v>
      </c>
      <c r="S10" s="395">
        <f t="shared" si="1"/>
        <v>4174</v>
      </c>
      <c r="T10" s="395">
        <f t="shared" si="1"/>
        <v>2353</v>
      </c>
      <c r="U10" s="395">
        <f t="shared" si="1"/>
        <v>2209</v>
      </c>
      <c r="V10" s="395">
        <f t="shared" si="1"/>
        <v>2196</v>
      </c>
      <c r="W10" s="396">
        <f t="shared" si="1"/>
        <v>2242</v>
      </c>
      <c r="X10" s="395">
        <f t="shared" si="1"/>
        <v>2135</v>
      </c>
      <c r="Y10" s="395">
        <f t="shared" si="1"/>
        <v>2074</v>
      </c>
      <c r="Z10" s="395">
        <f t="shared" si="1"/>
        <v>2623</v>
      </c>
      <c r="AA10" s="395">
        <f t="shared" si="1"/>
        <v>2562</v>
      </c>
      <c r="AB10" s="395">
        <f t="shared" si="1"/>
        <v>2253</v>
      </c>
      <c r="AC10" s="395">
        <f t="shared" si="1"/>
        <v>2676</v>
      </c>
      <c r="AD10" s="395">
        <f t="shared" si="1"/>
        <v>3610</v>
      </c>
      <c r="AE10" s="395">
        <f t="shared" si="1"/>
        <v>3919</v>
      </c>
      <c r="AF10" s="395">
        <f t="shared" si="1"/>
        <v>3178</v>
      </c>
      <c r="AG10" s="395">
        <f t="shared" si="1"/>
        <v>3300</v>
      </c>
      <c r="AH10" s="395">
        <f t="shared" si="1"/>
        <v>3525</v>
      </c>
      <c r="AI10" s="396">
        <f t="shared" si="1"/>
        <v>3576</v>
      </c>
      <c r="AJ10" s="395">
        <f t="shared" si="1"/>
        <v>3789</v>
      </c>
      <c r="AK10" s="395">
        <f t="shared" si="1"/>
        <v>3771</v>
      </c>
      <c r="AL10" s="395">
        <f t="shared" si="1"/>
        <v>4330</v>
      </c>
      <c r="AM10" s="395">
        <f t="shared" si="1"/>
        <v>4440</v>
      </c>
      <c r="AN10" s="395">
        <f t="shared" si="1"/>
        <v>3513</v>
      </c>
      <c r="AO10" s="395">
        <f t="shared" si="1"/>
        <v>3527</v>
      </c>
      <c r="AP10" s="395">
        <f t="shared" si="1"/>
        <v>4006</v>
      </c>
      <c r="AQ10" s="395">
        <f t="shared" si="1"/>
        <v>4561</v>
      </c>
      <c r="AR10" s="395">
        <f t="shared" si="1"/>
        <v>3486</v>
      </c>
      <c r="AS10" s="395">
        <f t="shared" si="1"/>
        <v>4456</v>
      </c>
      <c r="AT10" s="395">
        <f t="shared" si="1"/>
        <v>4673</v>
      </c>
      <c r="AU10" s="397">
        <f t="shared" si="1"/>
        <v>4631</v>
      </c>
      <c r="AV10" s="395">
        <f t="shared" si="1"/>
        <v>4545</v>
      </c>
      <c r="AW10" s="395">
        <f t="shared" si="1"/>
        <v>4748</v>
      </c>
      <c r="AX10" s="395">
        <f t="shared" si="1"/>
        <v>4291</v>
      </c>
      <c r="AY10" s="395">
        <f t="shared" si="1"/>
        <v>4212</v>
      </c>
      <c r="AZ10" s="395">
        <f t="shared" si="1"/>
        <v>4214</v>
      </c>
      <c r="BA10" s="395">
        <f t="shared" si="1"/>
        <v>3559</v>
      </c>
      <c r="BB10" s="395">
        <f t="shared" si="1"/>
        <v>4559</v>
      </c>
      <c r="BC10" s="395">
        <f t="shared" si="1"/>
        <v>4361</v>
      </c>
      <c r="BD10" s="395">
        <f t="shared" si="1"/>
        <v>4132</v>
      </c>
      <c r="BE10" s="395">
        <f t="shared" si="1"/>
        <v>4551</v>
      </c>
      <c r="BF10" s="395">
        <f t="shared" si="1"/>
        <v>4441</v>
      </c>
      <c r="BG10" s="395">
        <f t="shared" si="1"/>
        <v>5034</v>
      </c>
      <c r="BH10" s="398">
        <f t="shared" si="1"/>
        <v>5036</v>
      </c>
      <c r="BI10" s="395">
        <f t="shared" si="1"/>
        <v>5474</v>
      </c>
      <c r="BJ10" s="399">
        <f t="shared" si="1"/>
        <v>4306</v>
      </c>
      <c r="BK10" s="399">
        <f t="shared" si="1"/>
        <v>5014</v>
      </c>
      <c r="BL10" s="399">
        <f t="shared" si="1"/>
        <v>4400</v>
      </c>
      <c r="BM10" s="399">
        <f t="shared" si="1"/>
        <v>3873</v>
      </c>
      <c r="BN10" s="399">
        <f t="shared" si="1"/>
        <v>5151</v>
      </c>
      <c r="BO10" s="399">
        <f t="shared" si="1"/>
        <v>5026</v>
      </c>
      <c r="BP10" s="399">
        <f t="shared" si="1"/>
        <v>4477</v>
      </c>
      <c r="BQ10" s="399">
        <f t="shared" si="1"/>
        <v>4744</v>
      </c>
      <c r="BR10" s="399">
        <f t="shared" si="1"/>
        <v>4288</v>
      </c>
      <c r="BS10" s="399">
        <f t="shared" si="1"/>
        <v>5138</v>
      </c>
      <c r="BT10" s="399">
        <f t="shared" si="1"/>
        <v>4986</v>
      </c>
      <c r="BU10" s="399">
        <f t="shared" si="1"/>
        <v>4856</v>
      </c>
      <c r="BV10" s="399">
        <f t="shared" si="1"/>
        <v>-282880</v>
      </c>
      <c r="BW10" s="399">
        <f t="shared" si="1"/>
        <v>0</v>
      </c>
      <c r="BX10" s="399">
        <f t="shared" si="1"/>
        <v>0</v>
      </c>
      <c r="BY10" s="399">
        <f t="shared" si="1"/>
        <v>0</v>
      </c>
      <c r="BZ10" s="399">
        <f t="shared" si="1"/>
        <v>0</v>
      </c>
      <c r="CA10" s="399">
        <f t="shared" si="1"/>
        <v>0</v>
      </c>
      <c r="CB10" s="399">
        <f t="shared" si="1"/>
        <v>0</v>
      </c>
      <c r="CC10" s="399">
        <f t="shared" si="1"/>
        <v>0</v>
      </c>
      <c r="CD10" s="399">
        <f t="shared" si="1"/>
        <v>0</v>
      </c>
      <c r="CE10" s="399">
        <f t="shared" si="1"/>
        <v>0</v>
      </c>
    </row>
    <row r="11">
      <c r="A11" s="381" t="s">
        <v>512</v>
      </c>
      <c r="B11" s="395"/>
      <c r="C11" s="395">
        <f t="shared" ref="C11:AR11" si="2">C10*4.5</f>
        <v>16056</v>
      </c>
      <c r="D11" s="395">
        <f t="shared" si="2"/>
        <v>18243</v>
      </c>
      <c r="E11" s="395">
        <f t="shared" si="2"/>
        <v>14616</v>
      </c>
      <c r="F11" s="395">
        <f t="shared" si="2"/>
        <v>17401.5</v>
      </c>
      <c r="G11" s="395">
        <f t="shared" si="2"/>
        <v>18063</v>
      </c>
      <c r="H11" s="395">
        <f t="shared" si="2"/>
        <v>12744</v>
      </c>
      <c r="I11" s="395">
        <f t="shared" si="2"/>
        <v>19975.5</v>
      </c>
      <c r="J11" s="395">
        <f t="shared" si="2"/>
        <v>18688.5</v>
      </c>
      <c r="K11" s="396">
        <f t="shared" si="2"/>
        <v>20146.5</v>
      </c>
      <c r="L11" s="395">
        <f t="shared" si="2"/>
        <v>20029.5</v>
      </c>
      <c r="M11" s="395">
        <f t="shared" si="2"/>
        <v>20286</v>
      </c>
      <c r="N11" s="395">
        <f t="shared" si="2"/>
        <v>15736.5</v>
      </c>
      <c r="O11" s="395">
        <f t="shared" si="2"/>
        <v>3051</v>
      </c>
      <c r="P11" s="395">
        <f t="shared" si="2"/>
        <v>1624.5</v>
      </c>
      <c r="Q11" s="395">
        <f t="shared" si="2"/>
        <v>8302.5</v>
      </c>
      <c r="R11" s="395">
        <f t="shared" si="2"/>
        <v>16888.5</v>
      </c>
      <c r="S11" s="395">
        <f t="shared" si="2"/>
        <v>18783</v>
      </c>
      <c r="T11" s="395">
        <f t="shared" si="2"/>
        <v>10588.5</v>
      </c>
      <c r="U11" s="395">
        <f t="shared" si="2"/>
        <v>9940.5</v>
      </c>
      <c r="V11" s="395">
        <f t="shared" si="2"/>
        <v>9882</v>
      </c>
      <c r="W11" s="396">
        <f t="shared" si="2"/>
        <v>10089</v>
      </c>
      <c r="X11" s="395">
        <f t="shared" si="2"/>
        <v>9607.5</v>
      </c>
      <c r="Y11" s="395">
        <f t="shared" si="2"/>
        <v>9333</v>
      </c>
      <c r="Z11" s="395">
        <f t="shared" si="2"/>
        <v>11803.5</v>
      </c>
      <c r="AA11" s="395">
        <f t="shared" si="2"/>
        <v>11529</v>
      </c>
      <c r="AB11" s="395">
        <f t="shared" si="2"/>
        <v>10138.5</v>
      </c>
      <c r="AC11" s="395">
        <f t="shared" si="2"/>
        <v>12042</v>
      </c>
      <c r="AD11" s="395">
        <f t="shared" si="2"/>
        <v>16245</v>
      </c>
      <c r="AE11" s="395">
        <f t="shared" si="2"/>
        <v>17635.5</v>
      </c>
      <c r="AF11" s="395">
        <f t="shared" si="2"/>
        <v>14301</v>
      </c>
      <c r="AG11" s="395">
        <f t="shared" si="2"/>
        <v>14850</v>
      </c>
      <c r="AH11" s="395">
        <f t="shared" si="2"/>
        <v>15862.5</v>
      </c>
      <c r="AI11" s="396">
        <f t="shared" si="2"/>
        <v>16092</v>
      </c>
      <c r="AJ11" s="395">
        <f t="shared" si="2"/>
        <v>17050.5</v>
      </c>
      <c r="AK11" s="395">
        <f t="shared" si="2"/>
        <v>16969.5</v>
      </c>
      <c r="AL11" s="395">
        <f t="shared" si="2"/>
        <v>19485</v>
      </c>
      <c r="AM11" s="395">
        <f t="shared" si="2"/>
        <v>19980</v>
      </c>
      <c r="AN11" s="395">
        <f t="shared" si="2"/>
        <v>15808.5</v>
      </c>
      <c r="AO11" s="395">
        <f t="shared" si="2"/>
        <v>15871.5</v>
      </c>
      <c r="AP11" s="395">
        <f t="shared" si="2"/>
        <v>18027</v>
      </c>
      <c r="AQ11" s="395">
        <f t="shared" si="2"/>
        <v>20524.5</v>
      </c>
      <c r="AR11" s="395">
        <f t="shared" si="2"/>
        <v>15687</v>
      </c>
      <c r="AS11" s="395">
        <f t="shared" ref="AS11:AU11" si="3">AS10*6.1</f>
        <v>27181.6</v>
      </c>
      <c r="AT11" s="395">
        <f t="shared" si="3"/>
        <v>28505.3</v>
      </c>
      <c r="AU11" s="397">
        <f t="shared" si="3"/>
        <v>28249.1</v>
      </c>
      <c r="AV11" s="395">
        <f t="shared" ref="AV11:BB11" si="4">AV10*4.5</f>
        <v>20452.5</v>
      </c>
      <c r="AW11" s="395">
        <f t="shared" si="4"/>
        <v>21366</v>
      </c>
      <c r="AX11" s="395">
        <f t="shared" si="4"/>
        <v>19309.5</v>
      </c>
      <c r="AY11" s="395">
        <f t="shared" si="4"/>
        <v>18954</v>
      </c>
      <c r="AZ11" s="395">
        <f t="shared" si="4"/>
        <v>18963</v>
      </c>
      <c r="BA11" s="395">
        <f t="shared" si="4"/>
        <v>16015.5</v>
      </c>
      <c r="BB11" s="395">
        <f t="shared" si="4"/>
        <v>20515.5</v>
      </c>
      <c r="BC11" s="395">
        <f t="shared" ref="BC11:BG11" si="5">BC10*5.3</f>
        <v>23113.3</v>
      </c>
      <c r="BD11" s="395">
        <f t="shared" si="5"/>
        <v>21899.6</v>
      </c>
      <c r="BE11" s="395">
        <f t="shared" si="5"/>
        <v>24120.3</v>
      </c>
      <c r="BF11" s="395">
        <f t="shared" si="5"/>
        <v>23537.3</v>
      </c>
      <c r="BG11" s="396">
        <f t="shared" si="5"/>
        <v>26680.2</v>
      </c>
      <c r="BH11" s="395">
        <f t="shared" ref="BH11:BL11" si="6">BH10*4.65</f>
        <v>23417.4</v>
      </c>
      <c r="BI11" s="395">
        <f t="shared" si="6"/>
        <v>25454.1</v>
      </c>
      <c r="BJ11" s="399">
        <f t="shared" si="6"/>
        <v>20022.9</v>
      </c>
      <c r="BK11" s="399">
        <f t="shared" si="6"/>
        <v>23315.1</v>
      </c>
      <c r="BL11" s="399">
        <f t="shared" si="6"/>
        <v>20460</v>
      </c>
      <c r="BM11" s="399">
        <f>BM10*6</f>
        <v>23238</v>
      </c>
      <c r="BN11" s="399">
        <f t="shared" ref="BN11:BO11" si="7">BN10*7.5</f>
        <v>38632.5</v>
      </c>
      <c r="BO11" s="399">
        <f t="shared" si="7"/>
        <v>37695</v>
      </c>
      <c r="BP11" s="399">
        <f>BP10*5</f>
        <v>22385</v>
      </c>
      <c r="BQ11" s="399">
        <f t="shared" ref="BQ11:BS11" si="8">BQ10*5.5</f>
        <v>26092</v>
      </c>
      <c r="BR11" s="399">
        <f t="shared" si="8"/>
        <v>23584</v>
      </c>
      <c r="BS11" s="397">
        <f t="shared" si="8"/>
        <v>28259</v>
      </c>
      <c r="BT11" s="399">
        <f t="shared" ref="BT11:CE11" si="9">BT10*6</f>
        <v>29916</v>
      </c>
      <c r="BU11" s="399">
        <f t="shared" si="9"/>
        <v>29136</v>
      </c>
      <c r="BV11" s="399">
        <f t="shared" si="9"/>
        <v>-1697280</v>
      </c>
      <c r="BW11" s="399">
        <f t="shared" si="9"/>
        <v>0</v>
      </c>
      <c r="BX11" s="399">
        <f t="shared" si="9"/>
        <v>0</v>
      </c>
      <c r="BY11" s="399">
        <f t="shared" si="9"/>
        <v>0</v>
      </c>
      <c r="BZ11" s="399">
        <f t="shared" si="9"/>
        <v>0</v>
      </c>
      <c r="CA11" s="399">
        <f t="shared" si="9"/>
        <v>0</v>
      </c>
      <c r="CB11" s="399">
        <f t="shared" si="9"/>
        <v>0</v>
      </c>
      <c r="CC11" s="399">
        <f t="shared" si="9"/>
        <v>0</v>
      </c>
      <c r="CD11" s="399">
        <f t="shared" si="9"/>
        <v>0</v>
      </c>
      <c r="CE11" s="399">
        <f t="shared" si="9"/>
        <v>0</v>
      </c>
    </row>
    <row r="12" outlineLevel="1">
      <c r="A12" s="392" t="s">
        <v>513</v>
      </c>
      <c r="B12" s="392"/>
      <c r="C12" s="392"/>
      <c r="D12" s="392"/>
      <c r="E12" s="392"/>
      <c r="F12" s="392"/>
      <c r="G12" s="392"/>
      <c r="H12" s="392"/>
      <c r="I12" s="392"/>
      <c r="J12" s="392"/>
      <c r="K12" s="393"/>
      <c r="L12" s="392"/>
      <c r="M12" s="392"/>
      <c r="N12" s="392"/>
      <c r="O12" s="392"/>
      <c r="P12" s="392"/>
      <c r="Q12" s="392"/>
      <c r="R12" s="392"/>
      <c r="S12" s="392"/>
      <c r="T12" s="392"/>
      <c r="U12" s="392"/>
      <c r="V12" s="392"/>
      <c r="W12" s="393"/>
      <c r="X12" s="392"/>
      <c r="Y12" s="392"/>
      <c r="Z12" s="392"/>
      <c r="AA12" s="392"/>
      <c r="AB12" s="392"/>
      <c r="AC12" s="392"/>
      <c r="AD12" s="392"/>
      <c r="AE12" s="392"/>
      <c r="AF12" s="392"/>
      <c r="AG12" s="392"/>
      <c r="AH12" s="392"/>
      <c r="AI12" s="393"/>
      <c r="AJ12" s="392"/>
      <c r="AK12" s="392"/>
      <c r="AL12" s="392"/>
      <c r="AM12" s="392"/>
      <c r="AN12" s="392"/>
      <c r="AO12" s="392"/>
      <c r="AP12" s="392"/>
      <c r="AQ12" s="392"/>
      <c r="AR12" s="392"/>
      <c r="AS12" s="392"/>
      <c r="AT12" s="392"/>
      <c r="AU12" s="131"/>
      <c r="AV12" s="392"/>
      <c r="AW12" s="392"/>
      <c r="AX12" s="392"/>
      <c r="AY12" s="392"/>
      <c r="AZ12" s="392"/>
      <c r="BA12" s="392"/>
      <c r="BB12" s="392"/>
      <c r="BC12" s="392"/>
      <c r="BD12" s="392"/>
      <c r="BE12" s="392"/>
      <c r="BF12" s="392"/>
      <c r="BG12" s="393"/>
      <c r="BH12" s="400"/>
      <c r="BI12" s="400"/>
      <c r="BJ12" s="133"/>
      <c r="BK12" s="133"/>
      <c r="BL12" s="133"/>
      <c r="BM12" s="133"/>
      <c r="BN12" s="133"/>
      <c r="BO12" s="133"/>
      <c r="BP12" s="133">
        <f t="shared" ref="BP12:CE12" si="10">BP7-BO7</f>
        <v>138.5</v>
      </c>
      <c r="BQ12" s="133">
        <f t="shared" si="10"/>
        <v>147.2</v>
      </c>
      <c r="BR12" s="133">
        <f t="shared" si="10"/>
        <v>104.3</v>
      </c>
      <c r="BS12" s="134">
        <f t="shared" si="10"/>
        <v>125</v>
      </c>
      <c r="BT12" s="133">
        <f t="shared" si="10"/>
        <v>119</v>
      </c>
      <c r="BU12" s="133">
        <f t="shared" si="10"/>
        <v>103</v>
      </c>
      <c r="BV12" s="133">
        <f t="shared" si="10"/>
        <v>-737</v>
      </c>
      <c r="BW12" s="133">
        <f t="shared" si="10"/>
        <v>0</v>
      </c>
      <c r="BX12" s="133">
        <f t="shared" si="10"/>
        <v>0</v>
      </c>
      <c r="BY12" s="133">
        <f t="shared" si="10"/>
        <v>0</v>
      </c>
      <c r="BZ12" s="133">
        <f t="shared" si="10"/>
        <v>0</v>
      </c>
      <c r="CA12" s="133">
        <f t="shared" si="10"/>
        <v>0</v>
      </c>
      <c r="CB12" s="133">
        <f t="shared" si="10"/>
        <v>0</v>
      </c>
      <c r="CC12" s="133">
        <f t="shared" si="10"/>
        <v>0</v>
      </c>
      <c r="CD12" s="133">
        <f t="shared" si="10"/>
        <v>0</v>
      </c>
      <c r="CE12" s="133">
        <f t="shared" si="10"/>
        <v>0</v>
      </c>
    </row>
    <row r="13" outlineLevel="1">
      <c r="A13" s="381" t="s">
        <v>514</v>
      </c>
      <c r="B13" s="381"/>
      <c r="C13" s="381"/>
      <c r="D13" s="381"/>
      <c r="E13" s="381"/>
      <c r="F13" s="381"/>
      <c r="G13" s="381"/>
      <c r="H13" s="381"/>
      <c r="I13" s="381"/>
      <c r="J13" s="381"/>
      <c r="K13" s="382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2"/>
      <c r="X13" s="381"/>
      <c r="Y13" s="381"/>
      <c r="Z13" s="381"/>
      <c r="AA13" s="381"/>
      <c r="AB13" s="381"/>
      <c r="AC13" s="381"/>
      <c r="AD13" s="381"/>
      <c r="AE13" s="381"/>
      <c r="AF13" s="381"/>
      <c r="AG13" s="381"/>
      <c r="AH13" s="381"/>
      <c r="AI13" s="382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1"/>
      <c r="AU13" s="383"/>
      <c r="AV13" s="381"/>
      <c r="AW13" s="51"/>
      <c r="AX13" s="51"/>
      <c r="AY13" s="51"/>
      <c r="AZ13" s="401"/>
      <c r="BA13" s="401"/>
      <c r="BB13" s="401"/>
      <c r="BC13" s="401"/>
      <c r="BD13" s="401"/>
      <c r="BE13" s="401"/>
      <c r="BF13" s="401"/>
      <c r="BG13" s="402"/>
      <c r="BH13" s="403"/>
      <c r="BI13" s="403"/>
      <c r="BJ13" s="403"/>
      <c r="BK13" s="403"/>
      <c r="BL13" s="403"/>
      <c r="BM13" s="403"/>
      <c r="BN13" s="403"/>
      <c r="BO13" s="403"/>
      <c r="BP13" s="403">
        <f t="shared" ref="BP13:BS13" si="11">BP12*5.6</f>
        <v>775.6</v>
      </c>
      <c r="BQ13" s="403">
        <f t="shared" si="11"/>
        <v>824.32</v>
      </c>
      <c r="BR13" s="403">
        <f t="shared" si="11"/>
        <v>584.08</v>
      </c>
      <c r="BS13" s="404">
        <f t="shared" si="11"/>
        <v>700</v>
      </c>
      <c r="BT13" s="403">
        <f t="shared" ref="BT13:CE13" si="12">BT12*6</f>
        <v>714</v>
      </c>
      <c r="BU13" s="403">
        <f t="shared" si="12"/>
        <v>618</v>
      </c>
      <c r="BV13" s="403">
        <f t="shared" si="12"/>
        <v>-4422</v>
      </c>
      <c r="BW13" s="403">
        <f t="shared" si="12"/>
        <v>0</v>
      </c>
      <c r="BX13" s="403">
        <f t="shared" si="12"/>
        <v>0</v>
      </c>
      <c r="BY13" s="403">
        <f t="shared" si="12"/>
        <v>0</v>
      </c>
      <c r="BZ13" s="403">
        <f t="shared" si="12"/>
        <v>0</v>
      </c>
      <c r="CA13" s="403">
        <f t="shared" si="12"/>
        <v>0</v>
      </c>
      <c r="CB13" s="403">
        <f t="shared" si="12"/>
        <v>0</v>
      </c>
      <c r="CC13" s="403">
        <f t="shared" si="12"/>
        <v>0</v>
      </c>
      <c r="CD13" s="403">
        <f t="shared" si="12"/>
        <v>0</v>
      </c>
      <c r="CE13" s="403">
        <f t="shared" si="12"/>
        <v>0</v>
      </c>
    </row>
    <row r="14" outlineLevel="1">
      <c r="A14" s="381" t="s">
        <v>515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2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2"/>
      <c r="X14" s="381"/>
      <c r="Y14" s="381"/>
      <c r="Z14" s="381"/>
      <c r="AA14" s="381"/>
      <c r="AB14" s="381"/>
      <c r="AC14" s="381"/>
      <c r="AD14" s="381"/>
      <c r="AE14" s="381"/>
      <c r="AF14" s="381"/>
      <c r="AG14" s="381"/>
      <c r="AH14" s="381"/>
      <c r="AI14" s="382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3"/>
      <c r="AV14" s="381"/>
      <c r="AW14" s="51"/>
      <c r="AX14" s="51"/>
      <c r="AY14" s="51"/>
      <c r="AZ14" s="401"/>
      <c r="BA14" s="401"/>
      <c r="BB14" s="401"/>
      <c r="BC14" s="401"/>
      <c r="BD14" s="401"/>
      <c r="BE14" s="401"/>
      <c r="BF14" s="401"/>
      <c r="BG14" s="402"/>
      <c r="BH14" s="405"/>
      <c r="BI14" s="405"/>
      <c r="BJ14" s="405"/>
      <c r="BK14" s="405"/>
      <c r="BL14" s="405"/>
      <c r="BM14" s="405"/>
      <c r="BN14" s="405"/>
      <c r="BO14" s="405"/>
      <c r="BP14" s="405">
        <f t="shared" ref="BP14:CE14" si="13">BP8-BO8</f>
        <v>51.5</v>
      </c>
      <c r="BQ14" s="405">
        <f t="shared" si="13"/>
        <v>97.4</v>
      </c>
      <c r="BR14" s="405">
        <f t="shared" si="13"/>
        <v>136.1</v>
      </c>
      <c r="BS14" s="406">
        <f t="shared" si="13"/>
        <v>64</v>
      </c>
      <c r="BT14" s="405">
        <f t="shared" si="13"/>
        <v>82</v>
      </c>
      <c r="BU14" s="405">
        <f t="shared" si="13"/>
        <v>145</v>
      </c>
      <c r="BV14" s="405">
        <f t="shared" si="13"/>
        <v>-576</v>
      </c>
      <c r="BW14" s="405">
        <f t="shared" si="13"/>
        <v>0</v>
      </c>
      <c r="BX14" s="405">
        <f t="shared" si="13"/>
        <v>0</v>
      </c>
      <c r="BY14" s="405">
        <f t="shared" si="13"/>
        <v>0</v>
      </c>
      <c r="BZ14" s="405">
        <f t="shared" si="13"/>
        <v>0</v>
      </c>
      <c r="CA14" s="405">
        <f t="shared" si="13"/>
        <v>0</v>
      </c>
      <c r="CB14" s="405">
        <f t="shared" si="13"/>
        <v>0</v>
      </c>
      <c r="CC14" s="405">
        <f t="shared" si="13"/>
        <v>0</v>
      </c>
      <c r="CD14" s="405">
        <f t="shared" si="13"/>
        <v>0</v>
      </c>
      <c r="CE14" s="405">
        <f t="shared" si="13"/>
        <v>0</v>
      </c>
    </row>
    <row r="15" outlineLevel="1">
      <c r="A15" s="381" t="s">
        <v>516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2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2"/>
      <c r="X15" s="381"/>
      <c r="Y15" s="381"/>
      <c r="Z15" s="381"/>
      <c r="AA15" s="381"/>
      <c r="AB15" s="381"/>
      <c r="AC15" s="381"/>
      <c r="AD15" s="381"/>
      <c r="AE15" s="381"/>
      <c r="AF15" s="381"/>
      <c r="AG15" s="381"/>
      <c r="AH15" s="381"/>
      <c r="AI15" s="382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3"/>
      <c r="AV15" s="381"/>
      <c r="AW15" s="51"/>
      <c r="AX15" s="51"/>
      <c r="AY15" s="51"/>
      <c r="AZ15" s="401"/>
      <c r="BA15" s="401"/>
      <c r="BB15" s="401"/>
      <c r="BC15" s="401"/>
      <c r="BD15" s="401"/>
      <c r="BE15" s="401"/>
      <c r="BF15" s="401"/>
      <c r="BG15" s="402"/>
      <c r="BH15" s="405"/>
      <c r="BI15" s="405"/>
      <c r="BJ15" s="405"/>
      <c r="BK15" s="405"/>
      <c r="BL15" s="405"/>
      <c r="BM15" s="405"/>
      <c r="BN15" s="405"/>
      <c r="BO15" s="405"/>
      <c r="BP15" s="405">
        <f t="shared" ref="BP15:BS15" si="14">BP14*5.6</f>
        <v>288.4</v>
      </c>
      <c r="BQ15" s="405">
        <f t="shared" si="14"/>
        <v>545.44</v>
      </c>
      <c r="BR15" s="405">
        <f t="shared" si="14"/>
        <v>762.16</v>
      </c>
      <c r="BS15" s="406">
        <f t="shared" si="14"/>
        <v>358.4</v>
      </c>
      <c r="BT15" s="405">
        <f t="shared" ref="BT15:CE15" si="15">BT14*6</f>
        <v>492</v>
      </c>
      <c r="BU15" s="405">
        <f t="shared" si="15"/>
        <v>870</v>
      </c>
      <c r="BV15" s="405">
        <f t="shared" si="15"/>
        <v>-3456</v>
      </c>
      <c r="BW15" s="405">
        <f t="shared" si="15"/>
        <v>0</v>
      </c>
      <c r="BX15" s="405">
        <f t="shared" si="15"/>
        <v>0</v>
      </c>
      <c r="BY15" s="405">
        <f t="shared" si="15"/>
        <v>0</v>
      </c>
      <c r="BZ15" s="405">
        <f t="shared" si="15"/>
        <v>0</v>
      </c>
      <c r="CA15" s="405">
        <f t="shared" si="15"/>
        <v>0</v>
      </c>
      <c r="CB15" s="405">
        <f t="shared" si="15"/>
        <v>0</v>
      </c>
      <c r="CC15" s="405">
        <f t="shared" si="15"/>
        <v>0</v>
      </c>
      <c r="CD15" s="405">
        <f t="shared" si="15"/>
        <v>0</v>
      </c>
      <c r="CE15" s="405">
        <f t="shared" si="15"/>
        <v>0</v>
      </c>
    </row>
    <row r="16">
      <c r="A16" s="384"/>
      <c r="B16" s="381"/>
      <c r="C16" s="381"/>
      <c r="D16" s="381"/>
      <c r="E16" s="381"/>
      <c r="F16" s="381"/>
      <c r="G16" s="381"/>
      <c r="H16" s="381"/>
      <c r="I16" s="381"/>
      <c r="J16" s="381"/>
      <c r="K16" s="382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2"/>
      <c r="X16" s="381"/>
      <c r="Y16" s="381"/>
      <c r="Z16" s="381"/>
      <c r="AA16" s="381"/>
      <c r="AB16" s="381"/>
      <c r="AC16" s="381"/>
      <c r="AD16" s="381"/>
      <c r="AE16" s="381"/>
      <c r="AF16" s="381"/>
      <c r="AG16" s="381"/>
      <c r="AH16" s="381"/>
      <c r="AI16" s="382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3"/>
      <c r="AV16" s="38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383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383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</row>
    <row r="17">
      <c r="A17" s="384" t="s">
        <v>517</v>
      </c>
      <c r="B17" s="388"/>
      <c r="C17" s="388"/>
      <c r="D17" s="388">
        <v>13645.0</v>
      </c>
      <c r="E17" s="388">
        <v>13737.0</v>
      </c>
      <c r="F17" s="388">
        <v>13876.0</v>
      </c>
      <c r="G17" s="388">
        <v>14025.0</v>
      </c>
      <c r="H17" s="388">
        <v>14148.0</v>
      </c>
      <c r="I17" s="388">
        <v>14271.0</v>
      </c>
      <c r="J17" s="388">
        <v>14344.0</v>
      </c>
      <c r="K17" s="389">
        <v>14510.0</v>
      </c>
      <c r="L17" s="388">
        <v>14592.0</v>
      </c>
      <c r="M17" s="388">
        <v>14700.0</v>
      </c>
      <c r="N17" s="388">
        <v>14751.0</v>
      </c>
      <c r="O17" s="388">
        <v>14752.0</v>
      </c>
      <c r="P17" s="388">
        <v>14755.0</v>
      </c>
      <c r="Q17" s="388">
        <v>14788.0</v>
      </c>
      <c r="R17" s="388">
        <v>14906.0</v>
      </c>
      <c r="S17" s="388">
        <v>15045.0</v>
      </c>
      <c r="T17" s="388">
        <v>15099.0</v>
      </c>
      <c r="U17" s="388">
        <v>15116.0</v>
      </c>
      <c r="V17" s="388">
        <v>15141.0</v>
      </c>
      <c r="W17" s="389">
        <v>15179.0</v>
      </c>
      <c r="X17" s="388">
        <v>15199.0</v>
      </c>
      <c r="Y17" s="388">
        <v>15221.0</v>
      </c>
      <c r="Z17" s="388">
        <v>15255.0</v>
      </c>
      <c r="AA17" s="388">
        <v>15320.0</v>
      </c>
      <c r="AB17" s="388">
        <v>15373.0</v>
      </c>
      <c r="AC17" s="388">
        <v>15427.0</v>
      </c>
      <c r="AD17" s="388">
        <v>15573.0</v>
      </c>
      <c r="AE17" s="388">
        <v>15702.0</v>
      </c>
      <c r="AF17" s="388">
        <v>15778.0</v>
      </c>
      <c r="AG17" s="388">
        <v>15863.0</v>
      </c>
      <c r="AH17" s="388">
        <v>15935.0</v>
      </c>
      <c r="AI17" s="389">
        <v>16008.0</v>
      </c>
      <c r="AJ17" s="388">
        <v>16076.0</v>
      </c>
      <c r="AK17" s="388">
        <v>16168.0</v>
      </c>
      <c r="AL17" s="388">
        <v>16276.0</v>
      </c>
      <c r="AM17" s="388">
        <v>16400.0</v>
      </c>
      <c r="AN17" s="388">
        <v>16491.0</v>
      </c>
      <c r="AO17" s="388">
        <v>16580.0</v>
      </c>
      <c r="AP17" s="388">
        <v>16716.0</v>
      </c>
      <c r="AQ17" s="388">
        <v>16860.0</v>
      </c>
      <c r="AR17" s="388">
        <v>16956.0</v>
      </c>
      <c r="AS17" s="388">
        <v>17114.0</v>
      </c>
      <c r="AT17" s="388">
        <v>17222.0</v>
      </c>
      <c r="AU17" s="388">
        <v>17328.0</v>
      </c>
      <c r="AV17" s="388">
        <v>17435.0</v>
      </c>
      <c r="AW17" s="390">
        <v>17562.0</v>
      </c>
      <c r="AX17" s="390">
        <v>17665.0</v>
      </c>
      <c r="AY17" s="390">
        <v>17787.0</v>
      </c>
      <c r="AZ17" s="390">
        <v>17903.0</v>
      </c>
      <c r="BA17" s="390">
        <v>17989.0</v>
      </c>
      <c r="BB17" s="390">
        <v>18139.0</v>
      </c>
      <c r="BC17" s="390">
        <v>18277.0</v>
      </c>
      <c r="BD17" s="390">
        <v>18374.0</v>
      </c>
      <c r="BE17" s="390">
        <v>18482.0</v>
      </c>
      <c r="BF17" s="390">
        <v>18566.0</v>
      </c>
      <c r="BG17" s="391">
        <v>18687.0</v>
      </c>
      <c r="BH17" s="390">
        <v>18781.0</v>
      </c>
      <c r="BI17" s="390">
        <v>18890.0</v>
      </c>
      <c r="BJ17" s="390">
        <v>18989.0</v>
      </c>
      <c r="BK17" s="390">
        <v>19091.0</v>
      </c>
      <c r="BL17" s="390">
        <v>19194.0</v>
      </c>
      <c r="BM17" s="390">
        <v>19282.0</v>
      </c>
      <c r="BN17" s="390">
        <v>19409.0</v>
      </c>
      <c r="BO17" s="390">
        <v>19541.0</v>
      </c>
      <c r="BP17" s="390">
        <v>19632.0</v>
      </c>
      <c r="BQ17" s="390">
        <v>19748.0</v>
      </c>
      <c r="BR17" s="390">
        <v>19824.0</v>
      </c>
      <c r="BS17" s="391">
        <v>19945.0</v>
      </c>
      <c r="BT17" s="390">
        <v>20050.0</v>
      </c>
      <c r="BU17" s="390">
        <v>20159.0</v>
      </c>
      <c r="BV17" s="390"/>
      <c r="BW17" s="390"/>
      <c r="BX17" s="390"/>
      <c r="BY17" s="390"/>
      <c r="BZ17" s="390"/>
      <c r="CA17" s="390"/>
      <c r="CB17" s="390"/>
      <c r="CC17" s="390"/>
      <c r="CD17" s="390"/>
      <c r="CE17" s="390"/>
    </row>
    <row r="18">
      <c r="A18" s="381"/>
      <c r="B18" s="381"/>
      <c r="C18" s="381"/>
      <c r="D18" s="381"/>
      <c r="E18" s="381"/>
      <c r="F18" s="381"/>
      <c r="G18" s="381"/>
      <c r="H18" s="381"/>
      <c r="I18" s="381"/>
      <c r="J18" s="381"/>
      <c r="K18" s="382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2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2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3"/>
      <c r="AV18" s="38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383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383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</row>
    <row r="19">
      <c r="A19" s="381" t="s">
        <v>518</v>
      </c>
      <c r="B19" s="395"/>
      <c r="C19" s="395"/>
      <c r="D19" s="395"/>
      <c r="E19" s="395">
        <f t="shared" ref="E19:W19" si="16">E17-D17</f>
        <v>92</v>
      </c>
      <c r="F19" s="395">
        <f t="shared" si="16"/>
        <v>139</v>
      </c>
      <c r="G19" s="395">
        <f t="shared" si="16"/>
        <v>149</v>
      </c>
      <c r="H19" s="395">
        <f t="shared" si="16"/>
        <v>123</v>
      </c>
      <c r="I19" s="395">
        <f t="shared" si="16"/>
        <v>123</v>
      </c>
      <c r="J19" s="395">
        <f t="shared" si="16"/>
        <v>73</v>
      </c>
      <c r="K19" s="396">
        <f t="shared" si="16"/>
        <v>166</v>
      </c>
      <c r="L19" s="395">
        <f t="shared" si="16"/>
        <v>82</v>
      </c>
      <c r="M19" s="395">
        <f t="shared" si="16"/>
        <v>108</v>
      </c>
      <c r="N19" s="395">
        <f t="shared" si="16"/>
        <v>51</v>
      </c>
      <c r="O19" s="395">
        <f t="shared" si="16"/>
        <v>1</v>
      </c>
      <c r="P19" s="395">
        <f t="shared" si="16"/>
        <v>3</v>
      </c>
      <c r="Q19" s="395">
        <f t="shared" si="16"/>
        <v>33</v>
      </c>
      <c r="R19" s="395">
        <f t="shared" si="16"/>
        <v>118</v>
      </c>
      <c r="S19" s="395">
        <f t="shared" si="16"/>
        <v>139</v>
      </c>
      <c r="T19" s="395">
        <f t="shared" si="16"/>
        <v>54</v>
      </c>
      <c r="U19" s="395">
        <f t="shared" si="16"/>
        <v>17</v>
      </c>
      <c r="V19" s="395">
        <f t="shared" si="16"/>
        <v>25</v>
      </c>
      <c r="W19" s="396">
        <f t="shared" si="16"/>
        <v>38</v>
      </c>
      <c r="X19" s="395">
        <v>53.0</v>
      </c>
      <c r="Y19" s="395">
        <v>53.0</v>
      </c>
      <c r="Z19" s="395">
        <v>53.0</v>
      </c>
      <c r="AA19" s="395">
        <v>54.0</v>
      </c>
      <c r="AB19" s="395">
        <f t="shared" ref="AB19:CE19" si="17">AB17-AA17</f>
        <v>53</v>
      </c>
      <c r="AC19" s="395">
        <f t="shared" si="17"/>
        <v>54</v>
      </c>
      <c r="AD19" s="395">
        <f t="shared" si="17"/>
        <v>146</v>
      </c>
      <c r="AE19" s="395">
        <f t="shared" si="17"/>
        <v>129</v>
      </c>
      <c r="AF19" s="395">
        <f t="shared" si="17"/>
        <v>76</v>
      </c>
      <c r="AG19" s="395">
        <f t="shared" si="17"/>
        <v>85</v>
      </c>
      <c r="AH19" s="395">
        <f t="shared" si="17"/>
        <v>72</v>
      </c>
      <c r="AI19" s="396">
        <f t="shared" si="17"/>
        <v>73</v>
      </c>
      <c r="AJ19" s="395">
        <f t="shared" si="17"/>
        <v>68</v>
      </c>
      <c r="AK19" s="395">
        <f t="shared" si="17"/>
        <v>92</v>
      </c>
      <c r="AL19" s="395">
        <f t="shared" si="17"/>
        <v>108</v>
      </c>
      <c r="AM19" s="395">
        <f t="shared" si="17"/>
        <v>124</v>
      </c>
      <c r="AN19" s="395">
        <f t="shared" si="17"/>
        <v>91</v>
      </c>
      <c r="AO19" s="395">
        <f t="shared" si="17"/>
        <v>89</v>
      </c>
      <c r="AP19" s="395">
        <f t="shared" si="17"/>
        <v>136</v>
      </c>
      <c r="AQ19" s="395">
        <f t="shared" si="17"/>
        <v>144</v>
      </c>
      <c r="AR19" s="395">
        <f t="shared" si="17"/>
        <v>96</v>
      </c>
      <c r="AS19" s="395">
        <f t="shared" si="17"/>
        <v>158</v>
      </c>
      <c r="AT19" s="395">
        <f t="shared" si="17"/>
        <v>108</v>
      </c>
      <c r="AU19" s="395">
        <f t="shared" si="17"/>
        <v>106</v>
      </c>
      <c r="AV19" s="407">
        <f t="shared" si="17"/>
        <v>107</v>
      </c>
      <c r="AW19" s="399">
        <f t="shared" si="17"/>
        <v>127</v>
      </c>
      <c r="AX19" s="399">
        <f t="shared" si="17"/>
        <v>103</v>
      </c>
      <c r="AY19" s="399">
        <f t="shared" si="17"/>
        <v>122</v>
      </c>
      <c r="AZ19" s="399">
        <f t="shared" si="17"/>
        <v>116</v>
      </c>
      <c r="BA19" s="399">
        <f t="shared" si="17"/>
        <v>86</v>
      </c>
      <c r="BB19" s="399">
        <f t="shared" si="17"/>
        <v>150</v>
      </c>
      <c r="BC19" s="399">
        <f t="shared" si="17"/>
        <v>138</v>
      </c>
      <c r="BD19" s="399">
        <f t="shared" si="17"/>
        <v>97</v>
      </c>
      <c r="BE19" s="399">
        <f t="shared" si="17"/>
        <v>108</v>
      </c>
      <c r="BF19" s="399">
        <f t="shared" si="17"/>
        <v>84</v>
      </c>
      <c r="BG19" s="397">
        <f t="shared" si="17"/>
        <v>121</v>
      </c>
      <c r="BH19" s="399">
        <f t="shared" si="17"/>
        <v>94</v>
      </c>
      <c r="BI19" s="399">
        <f t="shared" si="17"/>
        <v>109</v>
      </c>
      <c r="BJ19" s="399">
        <f t="shared" si="17"/>
        <v>99</v>
      </c>
      <c r="BK19" s="399">
        <f t="shared" si="17"/>
        <v>102</v>
      </c>
      <c r="BL19" s="399">
        <f t="shared" si="17"/>
        <v>103</v>
      </c>
      <c r="BM19" s="399">
        <f t="shared" si="17"/>
        <v>88</v>
      </c>
      <c r="BN19" s="399">
        <f t="shared" si="17"/>
        <v>127</v>
      </c>
      <c r="BO19" s="399">
        <f t="shared" si="17"/>
        <v>132</v>
      </c>
      <c r="BP19" s="399">
        <f t="shared" si="17"/>
        <v>91</v>
      </c>
      <c r="BQ19" s="399">
        <f t="shared" si="17"/>
        <v>116</v>
      </c>
      <c r="BR19" s="399">
        <f t="shared" si="17"/>
        <v>76</v>
      </c>
      <c r="BS19" s="397">
        <f t="shared" si="17"/>
        <v>121</v>
      </c>
      <c r="BT19" s="399">
        <f t="shared" si="17"/>
        <v>105</v>
      </c>
      <c r="BU19" s="399">
        <f t="shared" si="17"/>
        <v>109</v>
      </c>
      <c r="BV19" s="399">
        <f t="shared" si="17"/>
        <v>-20159</v>
      </c>
      <c r="BW19" s="399">
        <f t="shared" si="17"/>
        <v>0</v>
      </c>
      <c r="BX19" s="399">
        <f t="shared" si="17"/>
        <v>0</v>
      </c>
      <c r="BY19" s="399">
        <f t="shared" si="17"/>
        <v>0</v>
      </c>
      <c r="BZ19" s="399">
        <f t="shared" si="17"/>
        <v>0</v>
      </c>
      <c r="CA19" s="399">
        <f t="shared" si="17"/>
        <v>0</v>
      </c>
      <c r="CB19" s="399">
        <f t="shared" si="17"/>
        <v>0</v>
      </c>
      <c r="CC19" s="399">
        <f t="shared" si="17"/>
        <v>0</v>
      </c>
      <c r="CD19" s="399">
        <f t="shared" si="17"/>
        <v>0</v>
      </c>
      <c r="CE19" s="399">
        <f t="shared" si="17"/>
        <v>0</v>
      </c>
    </row>
    <row r="20">
      <c r="A20" s="381" t="s">
        <v>519</v>
      </c>
      <c r="B20" s="395"/>
      <c r="C20" s="408"/>
      <c r="D20" s="408"/>
      <c r="E20" s="408">
        <f t="shared" ref="E20:AD20" si="18">E19*63.05+623</f>
        <v>6423.6</v>
      </c>
      <c r="F20" s="408">
        <f t="shared" si="18"/>
        <v>9386.95</v>
      </c>
      <c r="G20" s="408">
        <f t="shared" si="18"/>
        <v>10017.45</v>
      </c>
      <c r="H20" s="408">
        <f t="shared" si="18"/>
        <v>8378.15</v>
      </c>
      <c r="I20" s="408">
        <f t="shared" si="18"/>
        <v>8378.15</v>
      </c>
      <c r="J20" s="408">
        <f t="shared" si="18"/>
        <v>5225.65</v>
      </c>
      <c r="K20" s="409">
        <f t="shared" si="18"/>
        <v>11089.3</v>
      </c>
      <c r="L20" s="408">
        <f t="shared" si="18"/>
        <v>5793.1</v>
      </c>
      <c r="M20" s="408">
        <f t="shared" si="18"/>
        <v>7432.4</v>
      </c>
      <c r="N20" s="408">
        <f t="shared" si="18"/>
        <v>3838.55</v>
      </c>
      <c r="O20" s="408">
        <f t="shared" si="18"/>
        <v>686.05</v>
      </c>
      <c r="P20" s="408">
        <f t="shared" si="18"/>
        <v>812.15</v>
      </c>
      <c r="Q20" s="408">
        <f t="shared" si="18"/>
        <v>2703.65</v>
      </c>
      <c r="R20" s="408">
        <f t="shared" si="18"/>
        <v>8062.9</v>
      </c>
      <c r="S20" s="408">
        <f t="shared" si="18"/>
        <v>9386.95</v>
      </c>
      <c r="T20" s="408">
        <f t="shared" si="18"/>
        <v>4027.7</v>
      </c>
      <c r="U20" s="408">
        <f t="shared" si="18"/>
        <v>1694.85</v>
      </c>
      <c r="V20" s="408">
        <f t="shared" si="18"/>
        <v>2199.25</v>
      </c>
      <c r="W20" s="409">
        <f t="shared" si="18"/>
        <v>3018.9</v>
      </c>
      <c r="X20" s="408">
        <f t="shared" si="18"/>
        <v>3964.65</v>
      </c>
      <c r="Y20" s="408">
        <f t="shared" si="18"/>
        <v>3964.65</v>
      </c>
      <c r="Z20" s="408">
        <f t="shared" si="18"/>
        <v>3964.65</v>
      </c>
      <c r="AA20" s="408">
        <f t="shared" si="18"/>
        <v>4027.7</v>
      </c>
      <c r="AB20" s="408">
        <f t="shared" si="18"/>
        <v>3964.65</v>
      </c>
      <c r="AC20" s="408">
        <f t="shared" si="18"/>
        <v>4027.7</v>
      </c>
      <c r="AD20" s="408">
        <f t="shared" si="18"/>
        <v>9828.3</v>
      </c>
      <c r="AE20" s="408">
        <f t="shared" ref="AE20:AR20" si="19">AE19*74.05+623</f>
        <v>10175.45</v>
      </c>
      <c r="AF20" s="408">
        <f t="shared" si="19"/>
        <v>6250.8</v>
      </c>
      <c r="AG20" s="408">
        <f t="shared" si="19"/>
        <v>6917.25</v>
      </c>
      <c r="AH20" s="408">
        <f t="shared" si="19"/>
        <v>5954.6</v>
      </c>
      <c r="AI20" s="409">
        <f t="shared" si="19"/>
        <v>6028.65</v>
      </c>
      <c r="AJ20" s="408">
        <f t="shared" si="19"/>
        <v>5658.4</v>
      </c>
      <c r="AK20" s="408">
        <f t="shared" si="19"/>
        <v>7435.6</v>
      </c>
      <c r="AL20" s="408">
        <f t="shared" si="19"/>
        <v>8620.4</v>
      </c>
      <c r="AM20" s="408">
        <f t="shared" si="19"/>
        <v>9805.2</v>
      </c>
      <c r="AN20" s="408">
        <f t="shared" si="19"/>
        <v>7361.55</v>
      </c>
      <c r="AO20" s="408">
        <f t="shared" si="19"/>
        <v>7213.45</v>
      </c>
      <c r="AP20" s="408">
        <f t="shared" si="19"/>
        <v>10693.8</v>
      </c>
      <c r="AQ20" s="408">
        <f t="shared" si="19"/>
        <v>11286.2</v>
      </c>
      <c r="AR20" s="408">
        <f t="shared" si="19"/>
        <v>7731.8</v>
      </c>
      <c r="AS20" s="408">
        <f t="shared" ref="AS20:AU20" si="20">AS19*100+623</f>
        <v>16423</v>
      </c>
      <c r="AT20" s="408">
        <f t="shared" si="20"/>
        <v>11423</v>
      </c>
      <c r="AU20" s="408">
        <f t="shared" si="20"/>
        <v>11223</v>
      </c>
      <c r="AV20" s="410">
        <f t="shared" ref="AV20:BG20" si="21">AV19*84.3+774</f>
        <v>9794.1</v>
      </c>
      <c r="AW20" s="408">
        <f t="shared" si="21"/>
        <v>11480.1</v>
      </c>
      <c r="AX20" s="408">
        <f t="shared" si="21"/>
        <v>9456.9</v>
      </c>
      <c r="AY20" s="408">
        <f t="shared" si="21"/>
        <v>11058.6</v>
      </c>
      <c r="AZ20" s="408">
        <f t="shared" si="21"/>
        <v>10552.8</v>
      </c>
      <c r="BA20" s="408">
        <f t="shared" si="21"/>
        <v>8023.8</v>
      </c>
      <c r="BB20" s="408">
        <f t="shared" si="21"/>
        <v>13419</v>
      </c>
      <c r="BC20" s="408">
        <f t="shared" si="21"/>
        <v>12407.4</v>
      </c>
      <c r="BD20" s="408">
        <f t="shared" si="21"/>
        <v>8951.1</v>
      </c>
      <c r="BE20" s="408">
        <f t="shared" si="21"/>
        <v>9878.4</v>
      </c>
      <c r="BF20" s="408">
        <f t="shared" si="21"/>
        <v>7855.2</v>
      </c>
      <c r="BG20" s="409">
        <f t="shared" si="21"/>
        <v>10974.3</v>
      </c>
      <c r="BH20" s="408">
        <f t="shared" ref="BH20:BO20" si="22">BH19*86.84+400</f>
        <v>8562.96</v>
      </c>
      <c r="BI20" s="408">
        <f t="shared" si="22"/>
        <v>9865.56</v>
      </c>
      <c r="BJ20" s="411">
        <f t="shared" si="22"/>
        <v>8997.16</v>
      </c>
      <c r="BK20" s="411">
        <f t="shared" si="22"/>
        <v>9257.68</v>
      </c>
      <c r="BL20" s="411">
        <f t="shared" si="22"/>
        <v>9344.52</v>
      </c>
      <c r="BM20" s="411">
        <f t="shared" si="22"/>
        <v>8041.92</v>
      </c>
      <c r="BN20" s="411">
        <f t="shared" si="22"/>
        <v>11428.68</v>
      </c>
      <c r="BO20" s="411">
        <f t="shared" si="22"/>
        <v>11862.88</v>
      </c>
      <c r="BP20" s="411">
        <f t="shared" ref="BP20:BS20" si="23">BP19*90+400</f>
        <v>8590</v>
      </c>
      <c r="BQ20" s="411">
        <f t="shared" si="23"/>
        <v>10840</v>
      </c>
      <c r="BR20" s="411">
        <f t="shared" si="23"/>
        <v>7240</v>
      </c>
      <c r="BS20" s="412">
        <f t="shared" si="23"/>
        <v>11290</v>
      </c>
      <c r="BT20" s="411">
        <f t="shared" ref="BT20:CE20" si="24">BT19*89+830</f>
        <v>10175</v>
      </c>
      <c r="BU20" s="411">
        <f t="shared" si="24"/>
        <v>10531</v>
      </c>
      <c r="BV20" s="411">
        <f t="shared" si="24"/>
        <v>-1793321</v>
      </c>
      <c r="BW20" s="411">
        <f t="shared" si="24"/>
        <v>830</v>
      </c>
      <c r="BX20" s="411">
        <f t="shared" si="24"/>
        <v>830</v>
      </c>
      <c r="BY20" s="411">
        <f t="shared" si="24"/>
        <v>830</v>
      </c>
      <c r="BZ20" s="411">
        <f t="shared" si="24"/>
        <v>830</v>
      </c>
      <c r="CA20" s="411">
        <f t="shared" si="24"/>
        <v>830</v>
      </c>
      <c r="CB20" s="411">
        <f t="shared" si="24"/>
        <v>830</v>
      </c>
      <c r="CC20" s="411">
        <f t="shared" si="24"/>
        <v>830</v>
      </c>
      <c r="CD20" s="411">
        <f t="shared" si="24"/>
        <v>830</v>
      </c>
      <c r="CE20" s="411">
        <f t="shared" si="24"/>
        <v>830</v>
      </c>
    </row>
    <row r="21" ht="15.75" customHeight="1">
      <c r="A21" s="381"/>
      <c r="B21" s="381"/>
      <c r="C21" s="381"/>
      <c r="D21" s="381"/>
      <c r="E21" s="381"/>
      <c r="F21" s="381"/>
      <c r="G21" s="381"/>
      <c r="H21" s="381"/>
      <c r="I21" s="381"/>
      <c r="J21" s="381"/>
      <c r="K21" s="382"/>
      <c r="L21" s="381"/>
      <c r="M21" s="381"/>
      <c r="N21" s="381"/>
      <c r="O21" s="381"/>
      <c r="P21" s="381"/>
      <c r="Q21" s="381"/>
      <c r="R21" s="381"/>
      <c r="S21" s="381"/>
      <c r="T21" s="381"/>
      <c r="U21" s="381"/>
      <c r="V21" s="381"/>
      <c r="W21" s="382"/>
      <c r="X21" s="381"/>
      <c r="Y21" s="381"/>
      <c r="Z21" s="381"/>
      <c r="AA21" s="381"/>
      <c r="AB21" s="381"/>
      <c r="AC21" s="381"/>
      <c r="AD21" s="381"/>
      <c r="AE21" s="381"/>
      <c r="AF21" s="381"/>
      <c r="AG21" s="381"/>
      <c r="AH21" s="381"/>
      <c r="AI21" s="382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3"/>
      <c r="AV21" s="38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383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383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</row>
    <row r="22" ht="15.75" customHeight="1">
      <c r="A22" s="384" t="s">
        <v>520</v>
      </c>
      <c r="B22" s="388"/>
      <c r="C22" s="388"/>
      <c r="D22" s="388">
        <v>424.0</v>
      </c>
      <c r="E22" s="388">
        <v>437.0</v>
      </c>
      <c r="F22" s="388">
        <v>453.0</v>
      </c>
      <c r="G22" s="388">
        <v>471.0</v>
      </c>
      <c r="H22" s="388">
        <v>493.0</v>
      </c>
      <c r="I22" s="388">
        <v>536.0</v>
      </c>
      <c r="J22" s="388">
        <v>595.0</v>
      </c>
      <c r="K22" s="389">
        <v>649.0</v>
      </c>
      <c r="L22" s="388">
        <v>720.0</v>
      </c>
      <c r="M22" s="388">
        <v>775.0</v>
      </c>
      <c r="N22" s="388">
        <v>821.0</v>
      </c>
      <c r="O22" s="388">
        <v>823.0</v>
      </c>
      <c r="P22" s="388">
        <v>825.0</v>
      </c>
      <c r="Q22" s="388">
        <v>839.0</v>
      </c>
      <c r="R22" s="388">
        <v>855.0</v>
      </c>
      <c r="S22" s="388">
        <v>871.0</v>
      </c>
      <c r="T22" s="388">
        <v>887.0</v>
      </c>
      <c r="U22" s="388">
        <v>913.0</v>
      </c>
      <c r="V22" s="388">
        <v>951.0</v>
      </c>
      <c r="W22" s="389">
        <v>1011.0</v>
      </c>
      <c r="X22" s="388">
        <v>1074.0</v>
      </c>
      <c r="Y22" s="388">
        <v>1124.0</v>
      </c>
      <c r="Z22" s="388">
        <v>1168.0</v>
      </c>
      <c r="AA22" s="388">
        <v>1217.0</v>
      </c>
      <c r="AB22" s="388">
        <v>1247.0</v>
      </c>
      <c r="AC22" s="388">
        <v>1261.0</v>
      </c>
      <c r="AD22" s="388">
        <v>1278.0</v>
      </c>
      <c r="AE22" s="388">
        <v>1294.0</v>
      </c>
      <c r="AF22" s="388">
        <v>1317.0</v>
      </c>
      <c r="AG22" s="388">
        <v>1362.0</v>
      </c>
      <c r="AH22" s="388">
        <v>1422.0</v>
      </c>
      <c r="AI22" s="389">
        <v>1486.0</v>
      </c>
      <c r="AJ22" s="388">
        <v>1552.0</v>
      </c>
      <c r="AK22" s="388">
        <v>1607.0</v>
      </c>
      <c r="AL22" s="388">
        <v>1666.0</v>
      </c>
      <c r="AM22" s="388">
        <v>1712.0</v>
      </c>
      <c r="AN22" s="388">
        <v>1733.0</v>
      </c>
      <c r="AO22" s="388">
        <v>4.0</v>
      </c>
      <c r="AP22" s="388">
        <v>21.0</v>
      </c>
      <c r="AQ22" s="388">
        <v>37.0</v>
      </c>
      <c r="AR22" s="388">
        <v>63.0</v>
      </c>
      <c r="AS22" s="388">
        <v>101.0</v>
      </c>
      <c r="AT22" s="388">
        <v>154.0</v>
      </c>
      <c r="AU22" s="391">
        <v>216.0</v>
      </c>
      <c r="AV22" s="388">
        <v>272.0</v>
      </c>
      <c r="AW22" s="390">
        <v>337.0</v>
      </c>
      <c r="AX22" s="390">
        <v>391.0</v>
      </c>
      <c r="AY22" s="390">
        <v>440.0</v>
      </c>
      <c r="AZ22" s="390">
        <v>467.0</v>
      </c>
      <c r="BA22" s="390">
        <v>482.0</v>
      </c>
      <c r="BB22" s="390">
        <v>499.0</v>
      </c>
      <c r="BC22" s="390">
        <v>515.0</v>
      </c>
      <c r="BD22" s="390">
        <v>528.0</v>
      </c>
      <c r="BE22" s="390">
        <v>561.0</v>
      </c>
      <c r="BF22" s="390">
        <v>612.0</v>
      </c>
      <c r="BG22" s="391">
        <v>680.0</v>
      </c>
      <c r="BH22" s="390">
        <v>750.0</v>
      </c>
      <c r="BI22" s="390">
        <v>799.0</v>
      </c>
      <c r="BJ22" s="390">
        <v>845.0</v>
      </c>
      <c r="BK22" s="390">
        <v>880.0</v>
      </c>
      <c r="BL22" s="390">
        <v>899.0</v>
      </c>
      <c r="BM22" s="390">
        <v>913.0</v>
      </c>
      <c r="BN22" s="390">
        <v>928.0</v>
      </c>
      <c r="BO22" s="390">
        <v>943.0</v>
      </c>
      <c r="BP22" s="390">
        <v>958.0</v>
      </c>
      <c r="BQ22" s="390">
        <v>997.0</v>
      </c>
      <c r="BR22" s="390">
        <v>1052.0</v>
      </c>
      <c r="BS22" s="391">
        <v>1118.0</v>
      </c>
      <c r="BT22" s="390">
        <v>1184.0</v>
      </c>
      <c r="BU22" s="390">
        <v>1251.0</v>
      </c>
      <c r="BV22" s="390"/>
      <c r="BW22" s="390"/>
      <c r="BX22" s="390"/>
      <c r="BY22" s="390"/>
      <c r="BZ22" s="390"/>
      <c r="CA22" s="390"/>
      <c r="CB22" s="390"/>
      <c r="CC22" s="390"/>
      <c r="CD22" s="390"/>
      <c r="CE22" s="390"/>
    </row>
    <row r="23" ht="15.75" customHeight="1">
      <c r="A23" s="381"/>
      <c r="B23" s="381"/>
      <c r="C23" s="381"/>
      <c r="D23" s="381"/>
      <c r="E23" s="381"/>
      <c r="F23" s="381"/>
      <c r="G23" s="381"/>
      <c r="H23" s="381"/>
      <c r="I23" s="381"/>
      <c r="J23" s="381"/>
      <c r="K23" s="382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2"/>
      <c r="X23" s="381"/>
      <c r="Y23" s="381"/>
      <c r="Z23" s="381"/>
      <c r="AA23" s="381"/>
      <c r="AB23" s="381"/>
      <c r="AC23" s="381"/>
      <c r="AD23" s="381"/>
      <c r="AE23" s="381"/>
      <c r="AF23" s="381"/>
      <c r="AG23" s="381"/>
      <c r="AH23" s="381"/>
      <c r="AI23" s="382"/>
      <c r="AJ23" s="381"/>
      <c r="AK23" s="381"/>
      <c r="AL23" s="381"/>
      <c r="AM23" s="381"/>
      <c r="AN23" s="381"/>
      <c r="AO23" s="381"/>
      <c r="AP23" s="381"/>
      <c r="AQ23" s="381"/>
      <c r="AR23" s="381"/>
      <c r="AS23" s="381"/>
      <c r="AT23" s="381"/>
      <c r="AU23" s="383"/>
      <c r="AV23" s="38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383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383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</row>
    <row r="24" ht="15.75" customHeight="1">
      <c r="A24" s="381" t="s">
        <v>518</v>
      </c>
      <c r="B24" s="395"/>
      <c r="C24" s="395"/>
      <c r="D24" s="395"/>
      <c r="E24" s="395">
        <f t="shared" ref="E24:AN24" si="25">E22-D22</f>
        <v>13</v>
      </c>
      <c r="F24" s="395">
        <f t="shared" si="25"/>
        <v>16</v>
      </c>
      <c r="G24" s="395">
        <f t="shared" si="25"/>
        <v>18</v>
      </c>
      <c r="H24" s="395">
        <f t="shared" si="25"/>
        <v>22</v>
      </c>
      <c r="I24" s="395">
        <f t="shared" si="25"/>
        <v>43</v>
      </c>
      <c r="J24" s="395">
        <f t="shared" si="25"/>
        <v>59</v>
      </c>
      <c r="K24" s="396">
        <f t="shared" si="25"/>
        <v>54</v>
      </c>
      <c r="L24" s="395">
        <f t="shared" si="25"/>
        <v>71</v>
      </c>
      <c r="M24" s="395">
        <f t="shared" si="25"/>
        <v>55</v>
      </c>
      <c r="N24" s="395">
        <f t="shared" si="25"/>
        <v>46</v>
      </c>
      <c r="O24" s="395">
        <f t="shared" si="25"/>
        <v>2</v>
      </c>
      <c r="P24" s="395">
        <f t="shared" si="25"/>
        <v>2</v>
      </c>
      <c r="Q24" s="395">
        <f t="shared" si="25"/>
        <v>14</v>
      </c>
      <c r="R24" s="395">
        <f t="shared" si="25"/>
        <v>16</v>
      </c>
      <c r="S24" s="395">
        <f t="shared" si="25"/>
        <v>16</v>
      </c>
      <c r="T24" s="395">
        <f t="shared" si="25"/>
        <v>16</v>
      </c>
      <c r="U24" s="395">
        <f t="shared" si="25"/>
        <v>26</v>
      </c>
      <c r="V24" s="395">
        <f t="shared" si="25"/>
        <v>38</v>
      </c>
      <c r="W24" s="396">
        <f t="shared" si="25"/>
        <v>60</v>
      </c>
      <c r="X24" s="395">
        <f t="shared" si="25"/>
        <v>63</v>
      </c>
      <c r="Y24" s="395">
        <f t="shared" si="25"/>
        <v>50</v>
      </c>
      <c r="Z24" s="395">
        <f t="shared" si="25"/>
        <v>44</v>
      </c>
      <c r="AA24" s="395">
        <f t="shared" si="25"/>
        <v>49</v>
      </c>
      <c r="AB24" s="395">
        <f t="shared" si="25"/>
        <v>30</v>
      </c>
      <c r="AC24" s="395">
        <f t="shared" si="25"/>
        <v>14</v>
      </c>
      <c r="AD24" s="395">
        <f t="shared" si="25"/>
        <v>17</v>
      </c>
      <c r="AE24" s="395">
        <f t="shared" si="25"/>
        <v>16</v>
      </c>
      <c r="AF24" s="395">
        <f t="shared" si="25"/>
        <v>23</v>
      </c>
      <c r="AG24" s="395">
        <f t="shared" si="25"/>
        <v>45</v>
      </c>
      <c r="AH24" s="395">
        <f t="shared" si="25"/>
        <v>60</v>
      </c>
      <c r="AI24" s="396">
        <f t="shared" si="25"/>
        <v>64</v>
      </c>
      <c r="AJ24" s="395">
        <f t="shared" si="25"/>
        <v>66</v>
      </c>
      <c r="AK24" s="395">
        <f t="shared" si="25"/>
        <v>55</v>
      </c>
      <c r="AL24" s="395">
        <f t="shared" si="25"/>
        <v>59</v>
      </c>
      <c r="AM24" s="395">
        <f t="shared" si="25"/>
        <v>46</v>
      </c>
      <c r="AN24" s="395">
        <f t="shared" si="25"/>
        <v>21</v>
      </c>
      <c r="AO24" s="395"/>
      <c r="AP24" s="395">
        <f t="shared" ref="AP24:BT24" si="26">AP22-AO22</f>
        <v>17</v>
      </c>
      <c r="AQ24" s="395">
        <f t="shared" si="26"/>
        <v>16</v>
      </c>
      <c r="AR24" s="395">
        <f t="shared" si="26"/>
        <v>26</v>
      </c>
      <c r="AS24" s="395">
        <f t="shared" si="26"/>
        <v>38</v>
      </c>
      <c r="AT24" s="395">
        <f t="shared" si="26"/>
        <v>53</v>
      </c>
      <c r="AU24" s="397">
        <f t="shared" si="26"/>
        <v>62</v>
      </c>
      <c r="AV24" s="395">
        <f t="shared" si="26"/>
        <v>56</v>
      </c>
      <c r="AW24" s="395">
        <f t="shared" si="26"/>
        <v>65</v>
      </c>
      <c r="AX24" s="395">
        <f t="shared" si="26"/>
        <v>54</v>
      </c>
      <c r="AY24" s="395">
        <f t="shared" si="26"/>
        <v>49</v>
      </c>
      <c r="AZ24" s="395">
        <f t="shared" si="26"/>
        <v>27</v>
      </c>
      <c r="BA24" s="395">
        <f t="shared" si="26"/>
        <v>15</v>
      </c>
      <c r="BB24" s="395">
        <f t="shared" si="26"/>
        <v>17</v>
      </c>
      <c r="BC24" s="395">
        <f t="shared" si="26"/>
        <v>16</v>
      </c>
      <c r="BD24" s="395">
        <f t="shared" si="26"/>
        <v>13</v>
      </c>
      <c r="BE24" s="395">
        <f t="shared" si="26"/>
        <v>33</v>
      </c>
      <c r="BF24" s="395">
        <f t="shared" si="26"/>
        <v>51</v>
      </c>
      <c r="BG24" s="395">
        <f t="shared" si="26"/>
        <v>68</v>
      </c>
      <c r="BH24" s="398">
        <f t="shared" si="26"/>
        <v>70</v>
      </c>
      <c r="BI24" s="395">
        <f t="shared" si="26"/>
        <v>49</v>
      </c>
      <c r="BJ24" s="399">
        <f t="shared" si="26"/>
        <v>46</v>
      </c>
      <c r="BK24" s="399">
        <f t="shared" si="26"/>
        <v>35</v>
      </c>
      <c r="BL24" s="399">
        <f t="shared" si="26"/>
        <v>19</v>
      </c>
      <c r="BM24" s="399">
        <f t="shared" si="26"/>
        <v>14</v>
      </c>
      <c r="BN24" s="399">
        <f t="shared" si="26"/>
        <v>15</v>
      </c>
      <c r="BO24" s="399">
        <f t="shared" si="26"/>
        <v>15</v>
      </c>
      <c r="BP24" s="399">
        <f t="shared" si="26"/>
        <v>15</v>
      </c>
      <c r="BQ24" s="399">
        <f t="shared" si="26"/>
        <v>39</v>
      </c>
      <c r="BR24" s="399">
        <f t="shared" si="26"/>
        <v>55</v>
      </c>
      <c r="BS24" s="397">
        <f t="shared" si="26"/>
        <v>66</v>
      </c>
      <c r="BT24" s="399">
        <f t="shared" si="26"/>
        <v>66</v>
      </c>
      <c r="BU24" s="413">
        <v>35.0</v>
      </c>
      <c r="BV24" s="399">
        <f t="shared" ref="BV24:CE24" si="27">BV22-BU22</f>
        <v>-1251</v>
      </c>
      <c r="BW24" s="399">
        <f t="shared" si="27"/>
        <v>0</v>
      </c>
      <c r="BX24" s="399">
        <f t="shared" si="27"/>
        <v>0</v>
      </c>
      <c r="BY24" s="399">
        <f t="shared" si="27"/>
        <v>0</v>
      </c>
      <c r="BZ24" s="399">
        <f t="shared" si="27"/>
        <v>0</v>
      </c>
      <c r="CA24" s="399">
        <f t="shared" si="27"/>
        <v>0</v>
      </c>
      <c r="CB24" s="399">
        <f t="shared" si="27"/>
        <v>0</v>
      </c>
      <c r="CC24" s="399">
        <f t="shared" si="27"/>
        <v>0</v>
      </c>
      <c r="CD24" s="399">
        <f t="shared" si="27"/>
        <v>0</v>
      </c>
      <c r="CE24" s="399">
        <f t="shared" si="27"/>
        <v>0</v>
      </c>
    </row>
    <row r="25" ht="15.75" customHeight="1">
      <c r="A25" s="381" t="s">
        <v>519</v>
      </c>
      <c r="B25" s="395"/>
      <c r="C25" s="395"/>
      <c r="D25" s="395"/>
      <c r="E25" s="395">
        <f t="shared" ref="E25:AN25" si="28">E24*494</f>
        <v>6422</v>
      </c>
      <c r="F25" s="395">
        <f t="shared" si="28"/>
        <v>7904</v>
      </c>
      <c r="G25" s="395">
        <f t="shared" si="28"/>
        <v>8892</v>
      </c>
      <c r="H25" s="395">
        <f t="shared" si="28"/>
        <v>10868</v>
      </c>
      <c r="I25" s="395">
        <f t="shared" si="28"/>
        <v>21242</v>
      </c>
      <c r="J25" s="395">
        <f t="shared" si="28"/>
        <v>29146</v>
      </c>
      <c r="K25" s="396">
        <f t="shared" si="28"/>
        <v>26676</v>
      </c>
      <c r="L25" s="395">
        <f t="shared" si="28"/>
        <v>35074</v>
      </c>
      <c r="M25" s="395">
        <f t="shared" si="28"/>
        <v>27170</v>
      </c>
      <c r="N25" s="395">
        <f t="shared" si="28"/>
        <v>22724</v>
      </c>
      <c r="O25" s="395">
        <f t="shared" si="28"/>
        <v>988</v>
      </c>
      <c r="P25" s="395">
        <f t="shared" si="28"/>
        <v>988</v>
      </c>
      <c r="Q25" s="395">
        <f t="shared" si="28"/>
        <v>6916</v>
      </c>
      <c r="R25" s="395">
        <f t="shared" si="28"/>
        <v>7904</v>
      </c>
      <c r="S25" s="395">
        <f t="shared" si="28"/>
        <v>7904</v>
      </c>
      <c r="T25" s="395">
        <f t="shared" si="28"/>
        <v>7904</v>
      </c>
      <c r="U25" s="395">
        <f t="shared" si="28"/>
        <v>12844</v>
      </c>
      <c r="V25" s="395">
        <f t="shared" si="28"/>
        <v>18772</v>
      </c>
      <c r="W25" s="396">
        <f t="shared" si="28"/>
        <v>29640</v>
      </c>
      <c r="X25" s="395">
        <f t="shared" si="28"/>
        <v>31122</v>
      </c>
      <c r="Y25" s="395">
        <f t="shared" si="28"/>
        <v>24700</v>
      </c>
      <c r="Z25" s="395">
        <f t="shared" si="28"/>
        <v>21736</v>
      </c>
      <c r="AA25" s="395">
        <f t="shared" si="28"/>
        <v>24206</v>
      </c>
      <c r="AB25" s="395">
        <f t="shared" si="28"/>
        <v>14820</v>
      </c>
      <c r="AC25" s="395">
        <f t="shared" si="28"/>
        <v>6916</v>
      </c>
      <c r="AD25" s="395">
        <f t="shared" si="28"/>
        <v>8398</v>
      </c>
      <c r="AE25" s="395">
        <f t="shared" si="28"/>
        <v>7904</v>
      </c>
      <c r="AF25" s="395">
        <f t="shared" si="28"/>
        <v>11362</v>
      </c>
      <c r="AG25" s="395">
        <f t="shared" si="28"/>
        <v>22230</v>
      </c>
      <c r="AH25" s="395">
        <f t="shared" si="28"/>
        <v>29640</v>
      </c>
      <c r="AI25" s="396">
        <f t="shared" si="28"/>
        <v>31616</v>
      </c>
      <c r="AJ25" s="395">
        <f t="shared" si="28"/>
        <v>32604</v>
      </c>
      <c r="AK25" s="395">
        <f t="shared" si="28"/>
        <v>27170</v>
      </c>
      <c r="AL25" s="395">
        <f t="shared" si="28"/>
        <v>29146</v>
      </c>
      <c r="AM25" s="395">
        <f t="shared" si="28"/>
        <v>22724</v>
      </c>
      <c r="AN25" s="395">
        <f t="shared" si="28"/>
        <v>10374</v>
      </c>
      <c r="AO25" s="395"/>
      <c r="AP25" s="395">
        <f t="shared" ref="AP25:AU25" si="29">AP24*494</f>
        <v>8398</v>
      </c>
      <c r="AQ25" s="395">
        <f t="shared" si="29"/>
        <v>7904</v>
      </c>
      <c r="AR25" s="395">
        <f t="shared" si="29"/>
        <v>12844</v>
      </c>
      <c r="AS25" s="395">
        <f t="shared" si="29"/>
        <v>18772</v>
      </c>
      <c r="AT25" s="395">
        <f t="shared" si="29"/>
        <v>26182</v>
      </c>
      <c r="AU25" s="397">
        <f t="shared" si="29"/>
        <v>30628</v>
      </c>
      <c r="AV25" s="395">
        <f t="shared" ref="AV25:BG25" si="30">AV24*547</f>
        <v>30632</v>
      </c>
      <c r="AW25" s="395">
        <f t="shared" si="30"/>
        <v>35555</v>
      </c>
      <c r="AX25" s="395">
        <f t="shared" si="30"/>
        <v>29538</v>
      </c>
      <c r="AY25" s="395">
        <f t="shared" si="30"/>
        <v>26803</v>
      </c>
      <c r="AZ25" s="395">
        <f t="shared" si="30"/>
        <v>14769</v>
      </c>
      <c r="BA25" s="395">
        <f t="shared" si="30"/>
        <v>8205</v>
      </c>
      <c r="BB25" s="395">
        <f t="shared" si="30"/>
        <v>9299</v>
      </c>
      <c r="BC25" s="395">
        <f t="shared" si="30"/>
        <v>8752</v>
      </c>
      <c r="BD25" s="395">
        <f t="shared" si="30"/>
        <v>7111</v>
      </c>
      <c r="BE25" s="395">
        <f t="shared" si="30"/>
        <v>18051</v>
      </c>
      <c r="BF25" s="395">
        <f t="shared" si="30"/>
        <v>27897</v>
      </c>
      <c r="BG25" s="396">
        <f t="shared" si="30"/>
        <v>37196</v>
      </c>
      <c r="BH25" s="395">
        <f t="shared" ref="BH25:BQ25" si="31">BH24*634</f>
        <v>44380</v>
      </c>
      <c r="BI25" s="395">
        <f t="shared" si="31"/>
        <v>31066</v>
      </c>
      <c r="BJ25" s="399">
        <f t="shared" si="31"/>
        <v>29164</v>
      </c>
      <c r="BK25" s="399">
        <f t="shared" si="31"/>
        <v>22190</v>
      </c>
      <c r="BL25" s="399">
        <f t="shared" si="31"/>
        <v>12046</v>
      </c>
      <c r="BM25" s="399">
        <f t="shared" si="31"/>
        <v>8876</v>
      </c>
      <c r="BN25" s="399">
        <f t="shared" si="31"/>
        <v>9510</v>
      </c>
      <c r="BO25" s="399">
        <f t="shared" si="31"/>
        <v>9510</v>
      </c>
      <c r="BP25" s="399">
        <f t="shared" si="31"/>
        <v>9510</v>
      </c>
      <c r="BQ25" s="399">
        <f t="shared" si="31"/>
        <v>24726</v>
      </c>
      <c r="BR25" s="399">
        <f t="shared" ref="BR25:CE25" si="32">BR24*749</f>
        <v>41195</v>
      </c>
      <c r="BS25" s="397">
        <f t="shared" si="32"/>
        <v>49434</v>
      </c>
      <c r="BT25" s="399">
        <f t="shared" si="32"/>
        <v>49434</v>
      </c>
      <c r="BU25" s="399">
        <f t="shared" si="32"/>
        <v>26215</v>
      </c>
      <c r="BV25" s="399">
        <f t="shared" si="32"/>
        <v>-936999</v>
      </c>
      <c r="BW25" s="399">
        <f t="shared" si="32"/>
        <v>0</v>
      </c>
      <c r="BX25" s="399">
        <f t="shared" si="32"/>
        <v>0</v>
      </c>
      <c r="BY25" s="399">
        <f t="shared" si="32"/>
        <v>0</v>
      </c>
      <c r="BZ25" s="399">
        <f t="shared" si="32"/>
        <v>0</v>
      </c>
      <c r="CA25" s="399">
        <f t="shared" si="32"/>
        <v>0</v>
      </c>
      <c r="CB25" s="399">
        <f t="shared" si="32"/>
        <v>0</v>
      </c>
      <c r="CC25" s="399">
        <f t="shared" si="32"/>
        <v>0</v>
      </c>
      <c r="CD25" s="399">
        <f t="shared" si="32"/>
        <v>0</v>
      </c>
      <c r="CE25" s="399">
        <f t="shared" si="32"/>
        <v>0</v>
      </c>
    </row>
    <row r="26" ht="15.75" customHeight="1">
      <c r="A26" s="381"/>
      <c r="B26" s="381"/>
      <c r="C26" s="381"/>
      <c r="D26" s="381"/>
      <c r="E26" s="381"/>
      <c r="F26" s="381"/>
      <c r="G26" s="381"/>
      <c r="H26" s="381"/>
      <c r="I26" s="381"/>
      <c r="J26" s="381"/>
      <c r="K26" s="381"/>
      <c r="L26" s="381">
        <f>L25/25.5</f>
        <v>1375.45098</v>
      </c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  <c r="AA26" s="381"/>
      <c r="AB26" s="381"/>
      <c r="AC26" s="381"/>
      <c r="AD26" s="381"/>
      <c r="AE26" s="381"/>
      <c r="AF26" s="381"/>
      <c r="AG26" s="381"/>
      <c r="AH26" s="381"/>
      <c r="AI26" s="381"/>
      <c r="AJ26" s="381"/>
      <c r="AK26" s="381"/>
      <c r="AL26" s="381"/>
      <c r="AM26" s="381"/>
      <c r="AN26" s="381"/>
      <c r="AO26" s="381"/>
      <c r="AP26" s="381"/>
      <c r="AQ26" s="381"/>
      <c r="AR26" s="381"/>
      <c r="AS26" s="381"/>
      <c r="AT26" s="381"/>
      <c r="AU26" s="51"/>
      <c r="AV26" s="51">
        <v>32820.0</v>
      </c>
      <c r="AW26" s="51">
        <v>33367.0</v>
      </c>
      <c r="AX26" s="51">
        <v>31726.0</v>
      </c>
      <c r="AY26" s="51">
        <v>25709.0</v>
      </c>
      <c r="AZ26" s="51">
        <v>15863.0</v>
      </c>
      <c r="BA26" s="51">
        <v>7658.0</v>
      </c>
      <c r="BB26" s="51">
        <v>8752.0</v>
      </c>
      <c r="BC26" s="51">
        <v>8752.0</v>
      </c>
      <c r="BD26" s="51">
        <v>7111.0</v>
      </c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</row>
    <row r="27" ht="15.75" customHeight="1">
      <c r="A27" s="381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  <c r="AA27" s="381"/>
      <c r="AB27" s="381"/>
      <c r="AC27" s="381"/>
      <c r="AD27" s="381"/>
      <c r="AE27" s="381"/>
      <c r="AF27" s="381"/>
      <c r="AG27" s="381"/>
      <c r="AH27" s="381"/>
      <c r="AI27" s="381"/>
      <c r="AJ27" s="381"/>
      <c r="AK27" s="381"/>
      <c r="AL27" s="381"/>
      <c r="AM27" s="381"/>
      <c r="AN27" s="381"/>
      <c r="AO27" s="381"/>
      <c r="AP27" s="381"/>
      <c r="AQ27" s="381"/>
      <c r="AR27" s="381"/>
      <c r="AS27" s="381"/>
      <c r="AT27" s="381"/>
      <c r="AU27" s="51"/>
      <c r="AV27" s="38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</row>
    <row r="28" ht="15.75" customHeight="1">
      <c r="A28" s="381"/>
      <c r="B28" s="381"/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  <c r="AA28" s="381"/>
      <c r="AB28" s="381"/>
      <c r="AC28" s="381"/>
      <c r="AD28" s="381"/>
      <c r="AE28" s="381"/>
      <c r="AF28" s="381"/>
      <c r="AG28" s="381"/>
      <c r="AH28" s="381"/>
      <c r="AI28" s="381"/>
      <c r="AJ28" s="381"/>
      <c r="AK28" s="381"/>
      <c r="AL28" s="381"/>
      <c r="AM28" s="381"/>
      <c r="AN28" s="381"/>
      <c r="AO28" s="381"/>
      <c r="AP28" s="381"/>
      <c r="AQ28" s="381"/>
      <c r="AR28" s="381"/>
      <c r="AS28" s="381"/>
      <c r="AT28" s="381"/>
      <c r="AU28" s="51"/>
      <c r="AV28" s="38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</row>
    <row r="29" ht="15.75" customHeight="1">
      <c r="A29" s="381"/>
      <c r="B29" s="381"/>
      <c r="C29" s="381"/>
      <c r="D29" s="381"/>
      <c r="E29" s="381"/>
      <c r="F29" s="381"/>
      <c r="G29" s="381"/>
      <c r="H29" s="381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  <c r="AA29" s="381"/>
      <c r="AB29" s="381"/>
      <c r="AC29" s="381"/>
      <c r="AD29" s="381"/>
      <c r="AE29" s="381"/>
      <c r="AF29" s="381"/>
      <c r="AG29" s="381"/>
      <c r="AH29" s="381"/>
      <c r="AI29" s="381"/>
      <c r="AJ29" s="381"/>
      <c r="AK29" s="381"/>
      <c r="AL29" s="381"/>
      <c r="AM29" s="381"/>
      <c r="AN29" s="381"/>
      <c r="AO29" s="381"/>
      <c r="AP29" s="381"/>
      <c r="AQ29" s="381"/>
      <c r="AR29" s="381"/>
      <c r="AS29" s="381"/>
      <c r="AT29" s="381"/>
      <c r="AU29" s="51"/>
      <c r="AV29" s="38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</row>
    <row r="30" ht="15.75" customHeight="1">
      <c r="A30" s="381"/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  <c r="AA30" s="381"/>
      <c r="AB30" s="381"/>
      <c r="AC30" s="381"/>
      <c r="AD30" s="381"/>
      <c r="AE30" s="381"/>
      <c r="AF30" s="381"/>
      <c r="AG30" s="381"/>
      <c r="AH30" s="381"/>
      <c r="AI30" s="381"/>
      <c r="AJ30" s="381"/>
      <c r="AK30" s="381"/>
      <c r="AL30" s="381"/>
      <c r="AM30" s="381"/>
      <c r="AN30" s="381"/>
      <c r="AO30" s="381"/>
      <c r="AP30" s="381"/>
      <c r="AQ30" s="381"/>
      <c r="AR30" s="381"/>
      <c r="AS30" s="381"/>
      <c r="AT30" s="381"/>
      <c r="AU30" s="51"/>
      <c r="AV30" s="38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</row>
    <row r="31" ht="15.75" customHeight="1">
      <c r="A31" s="381"/>
      <c r="B31" s="381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  <c r="AK31" s="381"/>
      <c r="AL31" s="381"/>
      <c r="AM31" s="381"/>
      <c r="AN31" s="381"/>
      <c r="AO31" s="381"/>
      <c r="AP31" s="381"/>
      <c r="AQ31" s="381"/>
      <c r="AR31" s="381"/>
      <c r="AS31" s="381"/>
      <c r="AT31" s="381"/>
      <c r="AU31" s="51"/>
      <c r="AV31" s="38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</row>
    <row r="32" ht="15.75" customHeight="1">
      <c r="A32" s="381"/>
      <c r="B32" s="381"/>
      <c r="C32" s="381"/>
      <c r="D32" s="381"/>
      <c r="E32" s="381"/>
      <c r="F32" s="381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  <c r="AA32" s="381"/>
      <c r="AB32" s="381"/>
      <c r="AC32" s="381"/>
      <c r="AD32" s="381"/>
      <c r="AE32" s="381"/>
      <c r="AF32" s="381"/>
      <c r="AG32" s="381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51"/>
      <c r="AV32" s="38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</row>
    <row r="33" ht="15.75" customHeight="1">
      <c r="A33" s="381"/>
      <c r="B33" s="381"/>
      <c r="C33" s="381"/>
      <c r="D33" s="381"/>
      <c r="E33" s="381"/>
      <c r="F33" s="381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  <c r="AA33" s="381"/>
      <c r="AB33" s="381"/>
      <c r="AC33" s="381"/>
      <c r="AD33" s="381"/>
      <c r="AE33" s="381"/>
      <c r="AF33" s="381"/>
      <c r="AG33" s="381"/>
      <c r="AH33" s="381"/>
      <c r="AI33" s="381"/>
      <c r="AJ33" s="381"/>
      <c r="AK33" s="381"/>
      <c r="AL33" s="381"/>
      <c r="AM33" s="381"/>
      <c r="AN33" s="381"/>
      <c r="AO33" s="381"/>
      <c r="AP33" s="381"/>
      <c r="AQ33" s="381"/>
      <c r="AR33" s="381"/>
      <c r="AS33" s="381"/>
      <c r="AT33" s="381"/>
      <c r="AU33" s="51"/>
      <c r="AV33" s="38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</row>
    <row r="34" ht="15.75" customHeight="1">
      <c r="A34" s="381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  <c r="AA34" s="381"/>
      <c r="AB34" s="381"/>
      <c r="AC34" s="381"/>
      <c r="AD34" s="381"/>
      <c r="AE34" s="381"/>
      <c r="AF34" s="381"/>
      <c r="AG34" s="381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51"/>
      <c r="AV34" s="38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</row>
    <row r="35" ht="15.75" customHeight="1">
      <c r="A35" s="381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  <c r="AA35" s="381"/>
      <c r="AB35" s="381"/>
      <c r="AC35" s="381"/>
      <c r="AD35" s="381"/>
      <c r="AE35" s="381"/>
      <c r="AF35" s="381"/>
      <c r="AG35" s="381"/>
      <c r="AH35" s="381"/>
      <c r="AI35" s="381"/>
      <c r="AJ35" s="381"/>
      <c r="AK35" s="381"/>
      <c r="AL35" s="381"/>
      <c r="AM35" s="381"/>
      <c r="AN35" s="381"/>
      <c r="AO35" s="381"/>
      <c r="AP35" s="381"/>
      <c r="AQ35" s="381"/>
      <c r="AR35" s="381"/>
      <c r="AS35" s="381"/>
      <c r="AT35" s="381"/>
      <c r="AU35" s="51"/>
      <c r="AV35" s="38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</row>
    <row r="36" ht="15.75" customHeight="1">
      <c r="A36" s="381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  <c r="AB36" s="381"/>
      <c r="AC36" s="381"/>
      <c r="AD36" s="381"/>
      <c r="AE36" s="381"/>
      <c r="AF36" s="381"/>
      <c r="AG36" s="381"/>
      <c r="AH36" s="381"/>
      <c r="AI36" s="381"/>
      <c r="AJ36" s="381"/>
      <c r="AK36" s="381"/>
      <c r="AL36" s="381"/>
      <c r="AM36" s="381"/>
      <c r="AN36" s="381"/>
      <c r="AO36" s="381"/>
      <c r="AP36" s="381"/>
      <c r="AQ36" s="381"/>
      <c r="AR36" s="381"/>
      <c r="AS36" s="381"/>
      <c r="AT36" s="381"/>
      <c r="AU36" s="51"/>
      <c r="AV36" s="38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</row>
    <row r="37" ht="15.75" customHeight="1">
      <c r="A37" s="381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1"/>
      <c r="AQ37" s="381"/>
      <c r="AR37" s="381"/>
      <c r="AS37" s="381"/>
      <c r="AT37" s="381"/>
      <c r="AU37" s="51"/>
      <c r="AV37" s="38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</row>
    <row r="38" ht="15.75" customHeight="1">
      <c r="A38" s="381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  <c r="Y38" s="381"/>
      <c r="Z38" s="381"/>
      <c r="AA38" s="381"/>
      <c r="AB38" s="381"/>
      <c r="AC38" s="381"/>
      <c r="AD38" s="381"/>
      <c r="AE38" s="381"/>
      <c r="AF38" s="381"/>
      <c r="AG38" s="381"/>
      <c r="AH38" s="381"/>
      <c r="AI38" s="381"/>
      <c r="AJ38" s="381"/>
      <c r="AK38" s="381"/>
      <c r="AL38" s="381"/>
      <c r="AM38" s="381"/>
      <c r="AN38" s="381"/>
      <c r="AO38" s="381"/>
      <c r="AP38" s="381"/>
      <c r="AQ38" s="381"/>
      <c r="AR38" s="381"/>
      <c r="AS38" s="381"/>
      <c r="AT38" s="381"/>
      <c r="AU38" s="51"/>
      <c r="AV38" s="38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</row>
    <row r="39" ht="15.75" customHeight="1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1"/>
      <c r="Z39" s="381"/>
      <c r="AA39" s="381"/>
      <c r="AB39" s="381"/>
      <c r="AC39" s="381"/>
      <c r="AD39" s="381"/>
      <c r="AE39" s="381"/>
      <c r="AF39" s="381"/>
      <c r="AG39" s="381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1"/>
      <c r="AT39" s="381"/>
      <c r="AU39" s="51"/>
      <c r="AV39" s="38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</row>
    <row r="40" ht="15.7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  <c r="AA40" s="381"/>
      <c r="AB40" s="381"/>
      <c r="AC40" s="381"/>
      <c r="AD40" s="381"/>
      <c r="AE40" s="381"/>
      <c r="AF40" s="381"/>
      <c r="AG40" s="381"/>
      <c r="AH40" s="381"/>
      <c r="AI40" s="381"/>
      <c r="AJ40" s="381"/>
      <c r="AK40" s="381"/>
      <c r="AL40" s="381"/>
      <c r="AM40" s="381"/>
      <c r="AN40" s="381"/>
      <c r="AO40" s="381"/>
      <c r="AP40" s="381"/>
      <c r="AQ40" s="381"/>
      <c r="AR40" s="381"/>
      <c r="AS40" s="381"/>
      <c r="AT40" s="381"/>
      <c r="AU40" s="51"/>
      <c r="AV40" s="38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</row>
    <row r="41" ht="15.7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  <c r="AA41" s="381"/>
      <c r="AB41" s="381"/>
      <c r="AC41" s="381"/>
      <c r="AD41" s="381"/>
      <c r="AE41" s="381"/>
      <c r="AF41" s="381"/>
      <c r="AG41" s="381"/>
      <c r="AH41" s="381"/>
      <c r="AI41" s="381"/>
      <c r="AJ41" s="381"/>
      <c r="AK41" s="381"/>
      <c r="AL41" s="381"/>
      <c r="AM41" s="381"/>
      <c r="AN41" s="381"/>
      <c r="AO41" s="381"/>
      <c r="AP41" s="381"/>
      <c r="AQ41" s="381"/>
      <c r="AR41" s="381"/>
      <c r="AS41" s="381"/>
      <c r="AT41" s="381"/>
      <c r="AU41" s="51"/>
      <c r="AV41" s="38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</row>
    <row r="42" ht="15.7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51"/>
      <c r="AV42" s="38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</row>
    <row r="43" ht="15.7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  <c r="AA43" s="381"/>
      <c r="AB43" s="381"/>
      <c r="AC43" s="381"/>
      <c r="AD43" s="381"/>
      <c r="AE43" s="381"/>
      <c r="AF43" s="381"/>
      <c r="AG43" s="381"/>
      <c r="AH43" s="381"/>
      <c r="AI43" s="381"/>
      <c r="AJ43" s="381"/>
      <c r="AK43" s="381"/>
      <c r="AL43" s="381"/>
      <c r="AM43" s="381"/>
      <c r="AN43" s="381"/>
      <c r="AO43" s="381"/>
      <c r="AP43" s="381"/>
      <c r="AQ43" s="381"/>
      <c r="AR43" s="381"/>
      <c r="AS43" s="381"/>
      <c r="AT43" s="381"/>
      <c r="AU43" s="51"/>
      <c r="AV43" s="38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</row>
    <row r="44" ht="15.7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  <c r="AK44" s="381"/>
      <c r="AL44" s="381"/>
      <c r="AM44" s="381"/>
      <c r="AN44" s="381"/>
      <c r="AO44" s="381"/>
      <c r="AP44" s="381"/>
      <c r="AQ44" s="381"/>
      <c r="AR44" s="381"/>
      <c r="AS44" s="381"/>
      <c r="AT44" s="381"/>
      <c r="AU44" s="51"/>
      <c r="AV44" s="38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</row>
    <row r="45" ht="15.7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  <c r="AA45" s="381"/>
      <c r="AB45" s="381"/>
      <c r="AC45" s="381"/>
      <c r="AD45" s="381"/>
      <c r="AE45" s="381"/>
      <c r="AF45" s="381"/>
      <c r="AG45" s="381"/>
      <c r="AH45" s="381"/>
      <c r="AI45" s="381"/>
      <c r="AJ45" s="381"/>
      <c r="AK45" s="381"/>
      <c r="AL45" s="381"/>
      <c r="AM45" s="381"/>
      <c r="AN45" s="381"/>
      <c r="AO45" s="381"/>
      <c r="AP45" s="381"/>
      <c r="AQ45" s="381"/>
      <c r="AR45" s="381"/>
      <c r="AS45" s="381"/>
      <c r="AT45" s="381"/>
      <c r="AU45" s="51"/>
      <c r="AV45" s="38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</row>
    <row r="46" ht="15.7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381"/>
      <c r="AG46" s="381"/>
      <c r="AH46" s="381"/>
      <c r="AI46" s="381"/>
      <c r="AJ46" s="381"/>
      <c r="AK46" s="381"/>
      <c r="AL46" s="381"/>
      <c r="AM46" s="381"/>
      <c r="AN46" s="381"/>
      <c r="AO46" s="381"/>
      <c r="AP46" s="381"/>
      <c r="AQ46" s="381"/>
      <c r="AR46" s="381"/>
      <c r="AS46" s="381"/>
      <c r="AT46" s="381"/>
      <c r="AU46" s="51"/>
      <c r="AV46" s="38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</row>
    <row r="47" ht="15.7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  <c r="Y47" s="381"/>
      <c r="Z47" s="381"/>
      <c r="AA47" s="381"/>
      <c r="AB47" s="381"/>
      <c r="AC47" s="381"/>
      <c r="AD47" s="381"/>
      <c r="AE47" s="381"/>
      <c r="AF47" s="381"/>
      <c r="AG47" s="381"/>
      <c r="AH47" s="381"/>
      <c r="AI47" s="381"/>
      <c r="AJ47" s="381"/>
      <c r="AK47" s="381"/>
      <c r="AL47" s="381"/>
      <c r="AM47" s="381"/>
      <c r="AN47" s="381"/>
      <c r="AO47" s="381"/>
      <c r="AP47" s="381"/>
      <c r="AQ47" s="381"/>
      <c r="AR47" s="381"/>
      <c r="AS47" s="381"/>
      <c r="AT47" s="381"/>
      <c r="AU47" s="51"/>
      <c r="AV47" s="38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</row>
    <row r="48" ht="15.7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  <c r="Y48" s="381"/>
      <c r="Z48" s="381"/>
      <c r="AA48" s="381"/>
      <c r="AB48" s="381"/>
      <c r="AC48" s="381"/>
      <c r="AD48" s="381"/>
      <c r="AE48" s="381"/>
      <c r="AF48" s="381"/>
      <c r="AG48" s="381"/>
      <c r="AH48" s="381"/>
      <c r="AI48" s="381"/>
      <c r="AJ48" s="381"/>
      <c r="AK48" s="381"/>
      <c r="AL48" s="381"/>
      <c r="AM48" s="381"/>
      <c r="AN48" s="381"/>
      <c r="AO48" s="381"/>
      <c r="AP48" s="381"/>
      <c r="AQ48" s="381"/>
      <c r="AR48" s="381"/>
      <c r="AS48" s="381"/>
      <c r="AT48" s="381"/>
      <c r="AU48" s="51"/>
      <c r="AV48" s="38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</row>
    <row r="49" ht="15.7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381"/>
      <c r="AH49" s="381"/>
      <c r="AI49" s="381"/>
      <c r="AJ49" s="381"/>
      <c r="AK49" s="381"/>
      <c r="AL49" s="381"/>
      <c r="AM49" s="381"/>
      <c r="AN49" s="381"/>
      <c r="AO49" s="381"/>
      <c r="AP49" s="381"/>
      <c r="AQ49" s="381"/>
      <c r="AR49" s="381"/>
      <c r="AS49" s="381"/>
      <c r="AT49" s="381"/>
      <c r="AU49" s="51"/>
      <c r="AV49" s="38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</row>
    <row r="50" ht="15.7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  <c r="Y50" s="381"/>
      <c r="Z50" s="381"/>
      <c r="AA50" s="381"/>
      <c r="AB50" s="381"/>
      <c r="AC50" s="381"/>
      <c r="AD50" s="381"/>
      <c r="AE50" s="381"/>
      <c r="AF50" s="381"/>
      <c r="AG50" s="381"/>
      <c r="AH50" s="381"/>
      <c r="AI50" s="381"/>
      <c r="AJ50" s="381"/>
      <c r="AK50" s="381"/>
      <c r="AL50" s="381"/>
      <c r="AM50" s="381"/>
      <c r="AN50" s="381"/>
      <c r="AO50" s="381"/>
      <c r="AP50" s="381"/>
      <c r="AQ50" s="381"/>
      <c r="AR50" s="381"/>
      <c r="AS50" s="381"/>
      <c r="AT50" s="381"/>
      <c r="AU50" s="51"/>
      <c r="AV50" s="38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</row>
    <row r="51" ht="15.7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  <c r="AA51" s="381"/>
      <c r="AB51" s="381"/>
      <c r="AC51" s="381"/>
      <c r="AD51" s="381"/>
      <c r="AE51" s="381"/>
      <c r="AF51" s="381"/>
      <c r="AG51" s="381"/>
      <c r="AH51" s="381"/>
      <c r="AI51" s="381"/>
      <c r="AJ51" s="381"/>
      <c r="AK51" s="381"/>
      <c r="AL51" s="381"/>
      <c r="AM51" s="381"/>
      <c r="AN51" s="381"/>
      <c r="AO51" s="381"/>
      <c r="AP51" s="381"/>
      <c r="AQ51" s="381"/>
      <c r="AR51" s="381"/>
      <c r="AS51" s="381"/>
      <c r="AT51" s="381"/>
      <c r="AU51" s="51"/>
      <c r="AV51" s="38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</row>
    <row r="52" ht="15.7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  <c r="AB52" s="381"/>
      <c r="AC52" s="381"/>
      <c r="AD52" s="381"/>
      <c r="AE52" s="381"/>
      <c r="AF52" s="381"/>
      <c r="AG52" s="381"/>
      <c r="AH52" s="381"/>
      <c r="AI52" s="381"/>
      <c r="AJ52" s="381"/>
      <c r="AK52" s="381"/>
      <c r="AL52" s="381"/>
      <c r="AM52" s="381"/>
      <c r="AN52" s="381"/>
      <c r="AO52" s="381"/>
      <c r="AP52" s="381"/>
      <c r="AQ52" s="381"/>
      <c r="AR52" s="381"/>
      <c r="AS52" s="381"/>
      <c r="AT52" s="381"/>
      <c r="AU52" s="51"/>
      <c r="AV52" s="38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</row>
    <row r="53" ht="15.7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  <c r="Y53" s="381"/>
      <c r="Z53" s="381"/>
      <c r="AA53" s="381"/>
      <c r="AB53" s="381"/>
      <c r="AC53" s="381"/>
      <c r="AD53" s="381"/>
      <c r="AE53" s="381"/>
      <c r="AF53" s="381"/>
      <c r="AG53" s="381"/>
      <c r="AH53" s="381"/>
      <c r="AI53" s="381"/>
      <c r="AJ53" s="381"/>
      <c r="AK53" s="381"/>
      <c r="AL53" s="381"/>
      <c r="AM53" s="381"/>
      <c r="AN53" s="381"/>
      <c r="AO53" s="381"/>
      <c r="AP53" s="381"/>
      <c r="AQ53" s="381"/>
      <c r="AR53" s="381"/>
      <c r="AS53" s="381"/>
      <c r="AT53" s="381"/>
      <c r="AU53" s="51"/>
      <c r="AV53" s="38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</row>
    <row r="54" ht="15.7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  <c r="Y54" s="381"/>
      <c r="Z54" s="381"/>
      <c r="AA54" s="381"/>
      <c r="AB54" s="381"/>
      <c r="AC54" s="381"/>
      <c r="AD54" s="381"/>
      <c r="AE54" s="381"/>
      <c r="AF54" s="381"/>
      <c r="AG54" s="381"/>
      <c r="AH54" s="381"/>
      <c r="AI54" s="381"/>
      <c r="AJ54" s="381"/>
      <c r="AK54" s="381"/>
      <c r="AL54" s="381"/>
      <c r="AM54" s="381"/>
      <c r="AN54" s="381"/>
      <c r="AO54" s="381"/>
      <c r="AP54" s="381"/>
      <c r="AQ54" s="381"/>
      <c r="AR54" s="381"/>
      <c r="AS54" s="381"/>
      <c r="AT54" s="381"/>
      <c r="AU54" s="51"/>
      <c r="AV54" s="38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</row>
    <row r="55" ht="15.7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  <c r="AA55" s="381"/>
      <c r="AB55" s="381"/>
      <c r="AC55" s="381"/>
      <c r="AD55" s="381"/>
      <c r="AE55" s="381"/>
      <c r="AF55" s="381"/>
      <c r="AG55" s="381"/>
      <c r="AH55" s="381"/>
      <c r="AI55" s="381"/>
      <c r="AJ55" s="381"/>
      <c r="AK55" s="381"/>
      <c r="AL55" s="381"/>
      <c r="AM55" s="381"/>
      <c r="AN55" s="381"/>
      <c r="AO55" s="381"/>
      <c r="AP55" s="381"/>
      <c r="AQ55" s="381"/>
      <c r="AR55" s="381"/>
      <c r="AS55" s="381"/>
      <c r="AT55" s="381"/>
      <c r="AU55" s="51"/>
      <c r="AV55" s="38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</row>
    <row r="56" ht="15.7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  <c r="Y56" s="381"/>
      <c r="Z56" s="381"/>
      <c r="AA56" s="381"/>
      <c r="AB56" s="381"/>
      <c r="AC56" s="381"/>
      <c r="AD56" s="381"/>
      <c r="AE56" s="381"/>
      <c r="AF56" s="381"/>
      <c r="AG56" s="381"/>
      <c r="AH56" s="381"/>
      <c r="AI56" s="381"/>
      <c r="AJ56" s="381"/>
      <c r="AK56" s="381"/>
      <c r="AL56" s="381"/>
      <c r="AM56" s="381"/>
      <c r="AN56" s="381"/>
      <c r="AO56" s="381"/>
      <c r="AP56" s="381"/>
      <c r="AQ56" s="381"/>
      <c r="AR56" s="381"/>
      <c r="AS56" s="381"/>
      <c r="AT56" s="381"/>
      <c r="AU56" s="51"/>
      <c r="AV56" s="38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</row>
    <row r="57" ht="15.7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  <c r="Y57" s="381"/>
      <c r="Z57" s="381"/>
      <c r="AA57" s="381"/>
      <c r="AB57" s="381"/>
      <c r="AC57" s="381"/>
      <c r="AD57" s="381"/>
      <c r="AE57" s="381"/>
      <c r="AF57" s="381"/>
      <c r="AG57" s="381"/>
      <c r="AH57" s="381"/>
      <c r="AI57" s="381"/>
      <c r="AJ57" s="381"/>
      <c r="AK57" s="381"/>
      <c r="AL57" s="381"/>
      <c r="AM57" s="381"/>
      <c r="AN57" s="381"/>
      <c r="AO57" s="381"/>
      <c r="AP57" s="381"/>
      <c r="AQ57" s="381"/>
      <c r="AR57" s="381"/>
      <c r="AS57" s="381"/>
      <c r="AT57" s="381"/>
      <c r="AU57" s="51"/>
      <c r="AV57" s="38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</row>
    <row r="58" ht="15.7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  <c r="Y58" s="381"/>
      <c r="Z58" s="381"/>
      <c r="AA58" s="381"/>
      <c r="AB58" s="381"/>
      <c r="AC58" s="381"/>
      <c r="AD58" s="381"/>
      <c r="AE58" s="381"/>
      <c r="AF58" s="381"/>
      <c r="AG58" s="381"/>
      <c r="AH58" s="381"/>
      <c r="AI58" s="381"/>
      <c r="AJ58" s="381"/>
      <c r="AK58" s="381"/>
      <c r="AL58" s="381"/>
      <c r="AM58" s="381"/>
      <c r="AN58" s="381"/>
      <c r="AO58" s="381"/>
      <c r="AP58" s="381"/>
      <c r="AQ58" s="381"/>
      <c r="AR58" s="381"/>
      <c r="AS58" s="381"/>
      <c r="AT58" s="381"/>
      <c r="AU58" s="51"/>
      <c r="AV58" s="38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</row>
    <row r="59" ht="15.7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  <c r="Y59" s="381"/>
      <c r="Z59" s="381"/>
      <c r="AA59" s="381"/>
      <c r="AB59" s="381"/>
      <c r="AC59" s="381"/>
      <c r="AD59" s="381"/>
      <c r="AE59" s="381"/>
      <c r="AF59" s="381"/>
      <c r="AG59" s="381"/>
      <c r="AH59" s="381"/>
      <c r="AI59" s="381"/>
      <c r="AJ59" s="381"/>
      <c r="AK59" s="381"/>
      <c r="AL59" s="381"/>
      <c r="AM59" s="381"/>
      <c r="AN59" s="381"/>
      <c r="AO59" s="381"/>
      <c r="AP59" s="381"/>
      <c r="AQ59" s="381"/>
      <c r="AR59" s="381"/>
      <c r="AS59" s="381"/>
      <c r="AT59" s="381"/>
      <c r="AU59" s="51"/>
      <c r="AV59" s="38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</row>
    <row r="60" ht="15.7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  <c r="AA60" s="381"/>
      <c r="AB60" s="381"/>
      <c r="AC60" s="381"/>
      <c r="AD60" s="381"/>
      <c r="AE60" s="381"/>
      <c r="AF60" s="381"/>
      <c r="AG60" s="381"/>
      <c r="AH60" s="381"/>
      <c r="AI60" s="381"/>
      <c r="AJ60" s="381"/>
      <c r="AK60" s="381"/>
      <c r="AL60" s="381"/>
      <c r="AM60" s="381"/>
      <c r="AN60" s="381"/>
      <c r="AO60" s="381"/>
      <c r="AP60" s="381"/>
      <c r="AQ60" s="381"/>
      <c r="AR60" s="381"/>
      <c r="AS60" s="381"/>
      <c r="AT60" s="381"/>
      <c r="AU60" s="51"/>
      <c r="AV60" s="38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</row>
    <row r="61" ht="15.7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  <c r="Y61" s="381"/>
      <c r="Z61" s="381"/>
      <c r="AA61" s="381"/>
      <c r="AB61" s="381"/>
      <c r="AC61" s="381"/>
      <c r="AD61" s="381"/>
      <c r="AE61" s="381"/>
      <c r="AF61" s="381"/>
      <c r="AG61" s="381"/>
      <c r="AH61" s="381"/>
      <c r="AI61" s="381"/>
      <c r="AJ61" s="381"/>
      <c r="AK61" s="381"/>
      <c r="AL61" s="381"/>
      <c r="AM61" s="381"/>
      <c r="AN61" s="381"/>
      <c r="AO61" s="381"/>
      <c r="AP61" s="381"/>
      <c r="AQ61" s="381"/>
      <c r="AR61" s="381"/>
      <c r="AS61" s="381"/>
      <c r="AT61" s="381"/>
      <c r="AU61" s="51"/>
      <c r="AV61" s="38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</row>
    <row r="62" ht="15.7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  <c r="AA62" s="381"/>
      <c r="AB62" s="381"/>
      <c r="AC62" s="381"/>
      <c r="AD62" s="381"/>
      <c r="AE62" s="381"/>
      <c r="AF62" s="381"/>
      <c r="AG62" s="381"/>
      <c r="AH62" s="381"/>
      <c r="AI62" s="381"/>
      <c r="AJ62" s="381"/>
      <c r="AK62" s="381"/>
      <c r="AL62" s="381"/>
      <c r="AM62" s="381"/>
      <c r="AN62" s="381"/>
      <c r="AO62" s="381"/>
      <c r="AP62" s="381"/>
      <c r="AQ62" s="381"/>
      <c r="AR62" s="381"/>
      <c r="AS62" s="381"/>
      <c r="AT62" s="381"/>
      <c r="AU62" s="51"/>
      <c r="AV62" s="38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</row>
    <row r="63" ht="15.7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  <c r="Y63" s="381"/>
      <c r="Z63" s="381"/>
      <c r="AA63" s="381"/>
      <c r="AB63" s="381"/>
      <c r="AC63" s="381"/>
      <c r="AD63" s="381"/>
      <c r="AE63" s="381"/>
      <c r="AF63" s="381"/>
      <c r="AG63" s="381"/>
      <c r="AH63" s="381"/>
      <c r="AI63" s="381"/>
      <c r="AJ63" s="381"/>
      <c r="AK63" s="381"/>
      <c r="AL63" s="381"/>
      <c r="AM63" s="381"/>
      <c r="AN63" s="381"/>
      <c r="AO63" s="381"/>
      <c r="AP63" s="381"/>
      <c r="AQ63" s="381"/>
      <c r="AR63" s="381"/>
      <c r="AS63" s="381"/>
      <c r="AT63" s="381"/>
      <c r="AU63" s="51"/>
      <c r="AV63" s="38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</row>
    <row r="64" ht="15.7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  <c r="Y64" s="381"/>
      <c r="Z64" s="381"/>
      <c r="AA64" s="381"/>
      <c r="AB64" s="381"/>
      <c r="AC64" s="381"/>
      <c r="AD64" s="381"/>
      <c r="AE64" s="381"/>
      <c r="AF64" s="381"/>
      <c r="AG64" s="381"/>
      <c r="AH64" s="381"/>
      <c r="AI64" s="381"/>
      <c r="AJ64" s="381"/>
      <c r="AK64" s="381"/>
      <c r="AL64" s="381"/>
      <c r="AM64" s="381"/>
      <c r="AN64" s="381"/>
      <c r="AO64" s="381"/>
      <c r="AP64" s="381"/>
      <c r="AQ64" s="381"/>
      <c r="AR64" s="381"/>
      <c r="AS64" s="381"/>
      <c r="AT64" s="381"/>
      <c r="AU64" s="51"/>
      <c r="AV64" s="38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</row>
    <row r="65" ht="15.7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  <c r="Y65" s="381"/>
      <c r="Z65" s="381"/>
      <c r="AA65" s="381"/>
      <c r="AB65" s="381"/>
      <c r="AC65" s="381"/>
      <c r="AD65" s="381"/>
      <c r="AE65" s="381"/>
      <c r="AF65" s="381"/>
      <c r="AG65" s="381"/>
      <c r="AH65" s="381"/>
      <c r="AI65" s="381"/>
      <c r="AJ65" s="381"/>
      <c r="AK65" s="381"/>
      <c r="AL65" s="381"/>
      <c r="AM65" s="381"/>
      <c r="AN65" s="381"/>
      <c r="AO65" s="381"/>
      <c r="AP65" s="381"/>
      <c r="AQ65" s="381"/>
      <c r="AR65" s="381"/>
      <c r="AS65" s="381"/>
      <c r="AT65" s="381"/>
      <c r="AU65" s="51"/>
      <c r="AV65" s="38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</row>
    <row r="66" ht="15.7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  <c r="Y66" s="381"/>
      <c r="Z66" s="381"/>
      <c r="AA66" s="381"/>
      <c r="AB66" s="381"/>
      <c r="AC66" s="381"/>
      <c r="AD66" s="381"/>
      <c r="AE66" s="381"/>
      <c r="AF66" s="381"/>
      <c r="AG66" s="381"/>
      <c r="AH66" s="381"/>
      <c r="AI66" s="381"/>
      <c r="AJ66" s="381"/>
      <c r="AK66" s="381"/>
      <c r="AL66" s="381"/>
      <c r="AM66" s="381"/>
      <c r="AN66" s="381"/>
      <c r="AO66" s="381"/>
      <c r="AP66" s="381"/>
      <c r="AQ66" s="381"/>
      <c r="AR66" s="381"/>
      <c r="AS66" s="381"/>
      <c r="AT66" s="381"/>
      <c r="AU66" s="51"/>
      <c r="AV66" s="38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</row>
    <row r="67" ht="15.7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  <c r="Y67" s="381"/>
      <c r="Z67" s="381"/>
      <c r="AA67" s="381"/>
      <c r="AB67" s="381"/>
      <c r="AC67" s="381"/>
      <c r="AD67" s="381"/>
      <c r="AE67" s="381"/>
      <c r="AF67" s="381"/>
      <c r="AG67" s="381"/>
      <c r="AH67" s="381"/>
      <c r="AI67" s="381"/>
      <c r="AJ67" s="381"/>
      <c r="AK67" s="381"/>
      <c r="AL67" s="381"/>
      <c r="AM67" s="381"/>
      <c r="AN67" s="381"/>
      <c r="AO67" s="381"/>
      <c r="AP67" s="381"/>
      <c r="AQ67" s="381"/>
      <c r="AR67" s="381"/>
      <c r="AS67" s="381"/>
      <c r="AT67" s="381"/>
      <c r="AU67" s="51"/>
      <c r="AV67" s="38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</row>
    <row r="68" ht="15.7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  <c r="Y68" s="381"/>
      <c r="Z68" s="381"/>
      <c r="AA68" s="381"/>
      <c r="AB68" s="381"/>
      <c r="AC68" s="381"/>
      <c r="AD68" s="381"/>
      <c r="AE68" s="381"/>
      <c r="AF68" s="381"/>
      <c r="AG68" s="381"/>
      <c r="AH68" s="381"/>
      <c r="AI68" s="381"/>
      <c r="AJ68" s="381"/>
      <c r="AK68" s="381"/>
      <c r="AL68" s="381"/>
      <c r="AM68" s="381"/>
      <c r="AN68" s="381"/>
      <c r="AO68" s="381"/>
      <c r="AP68" s="381"/>
      <c r="AQ68" s="381"/>
      <c r="AR68" s="381"/>
      <c r="AS68" s="381"/>
      <c r="AT68" s="381"/>
      <c r="AU68" s="51"/>
      <c r="AV68" s="38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</row>
    <row r="69" ht="15.7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  <c r="Y69" s="381"/>
      <c r="Z69" s="381"/>
      <c r="AA69" s="381"/>
      <c r="AB69" s="381"/>
      <c r="AC69" s="381"/>
      <c r="AD69" s="381"/>
      <c r="AE69" s="381"/>
      <c r="AF69" s="381"/>
      <c r="AG69" s="381"/>
      <c r="AH69" s="381"/>
      <c r="AI69" s="381"/>
      <c r="AJ69" s="381"/>
      <c r="AK69" s="381"/>
      <c r="AL69" s="381"/>
      <c r="AM69" s="381"/>
      <c r="AN69" s="381"/>
      <c r="AO69" s="381"/>
      <c r="AP69" s="381"/>
      <c r="AQ69" s="381"/>
      <c r="AR69" s="381"/>
      <c r="AS69" s="381"/>
      <c r="AT69" s="381"/>
      <c r="AU69" s="51"/>
      <c r="AV69" s="38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</row>
    <row r="70" ht="15.7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  <c r="Y70" s="381"/>
      <c r="Z70" s="381"/>
      <c r="AA70" s="381"/>
      <c r="AB70" s="381"/>
      <c r="AC70" s="381"/>
      <c r="AD70" s="381"/>
      <c r="AE70" s="381"/>
      <c r="AF70" s="381"/>
      <c r="AG70" s="381"/>
      <c r="AH70" s="381"/>
      <c r="AI70" s="381"/>
      <c r="AJ70" s="381"/>
      <c r="AK70" s="381"/>
      <c r="AL70" s="381"/>
      <c r="AM70" s="381"/>
      <c r="AN70" s="381"/>
      <c r="AO70" s="381"/>
      <c r="AP70" s="381"/>
      <c r="AQ70" s="381"/>
      <c r="AR70" s="381"/>
      <c r="AS70" s="381"/>
      <c r="AT70" s="381"/>
      <c r="AU70" s="51"/>
      <c r="AV70" s="38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</row>
    <row r="71" ht="15.7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  <c r="Y71" s="381"/>
      <c r="Z71" s="381"/>
      <c r="AA71" s="381"/>
      <c r="AB71" s="381"/>
      <c r="AC71" s="381"/>
      <c r="AD71" s="381"/>
      <c r="AE71" s="381"/>
      <c r="AF71" s="381"/>
      <c r="AG71" s="381"/>
      <c r="AH71" s="381"/>
      <c r="AI71" s="381"/>
      <c r="AJ71" s="381"/>
      <c r="AK71" s="381"/>
      <c r="AL71" s="381"/>
      <c r="AM71" s="381"/>
      <c r="AN71" s="381"/>
      <c r="AO71" s="381"/>
      <c r="AP71" s="381"/>
      <c r="AQ71" s="381"/>
      <c r="AR71" s="381"/>
      <c r="AS71" s="381"/>
      <c r="AT71" s="381"/>
      <c r="AU71" s="51"/>
      <c r="AV71" s="38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</row>
    <row r="72" ht="15.7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  <c r="Z72" s="381"/>
      <c r="AA72" s="381"/>
      <c r="AB72" s="381"/>
      <c r="AC72" s="381"/>
      <c r="AD72" s="381"/>
      <c r="AE72" s="381"/>
      <c r="AF72" s="381"/>
      <c r="AG72" s="381"/>
      <c r="AH72" s="381"/>
      <c r="AI72" s="381"/>
      <c r="AJ72" s="381"/>
      <c r="AK72" s="381"/>
      <c r="AL72" s="381"/>
      <c r="AM72" s="381"/>
      <c r="AN72" s="381"/>
      <c r="AO72" s="381"/>
      <c r="AP72" s="381"/>
      <c r="AQ72" s="381"/>
      <c r="AR72" s="381"/>
      <c r="AS72" s="381"/>
      <c r="AT72" s="381"/>
      <c r="AU72" s="51"/>
      <c r="AV72" s="38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</row>
    <row r="73" ht="15.7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  <c r="AA73" s="381"/>
      <c r="AB73" s="381"/>
      <c r="AC73" s="381"/>
      <c r="AD73" s="381"/>
      <c r="AE73" s="381"/>
      <c r="AF73" s="381"/>
      <c r="AG73" s="381"/>
      <c r="AH73" s="381"/>
      <c r="AI73" s="381"/>
      <c r="AJ73" s="381"/>
      <c r="AK73" s="381"/>
      <c r="AL73" s="381"/>
      <c r="AM73" s="381"/>
      <c r="AN73" s="381"/>
      <c r="AO73" s="381"/>
      <c r="AP73" s="381"/>
      <c r="AQ73" s="381"/>
      <c r="AR73" s="381"/>
      <c r="AS73" s="381"/>
      <c r="AT73" s="381"/>
      <c r="AU73" s="51"/>
      <c r="AV73" s="38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</row>
    <row r="74" ht="15.7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  <c r="Y74" s="381"/>
      <c r="Z74" s="381"/>
      <c r="AA74" s="381"/>
      <c r="AB74" s="381"/>
      <c r="AC74" s="381"/>
      <c r="AD74" s="381"/>
      <c r="AE74" s="381"/>
      <c r="AF74" s="381"/>
      <c r="AG74" s="381"/>
      <c r="AH74" s="381"/>
      <c r="AI74" s="381"/>
      <c r="AJ74" s="381"/>
      <c r="AK74" s="381"/>
      <c r="AL74" s="381"/>
      <c r="AM74" s="381"/>
      <c r="AN74" s="381"/>
      <c r="AO74" s="381"/>
      <c r="AP74" s="381"/>
      <c r="AQ74" s="381"/>
      <c r="AR74" s="381"/>
      <c r="AS74" s="381"/>
      <c r="AT74" s="381"/>
      <c r="AU74" s="51"/>
      <c r="AV74" s="38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</row>
    <row r="75" ht="15.7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  <c r="Z75" s="381"/>
      <c r="AA75" s="381"/>
      <c r="AB75" s="381"/>
      <c r="AC75" s="381"/>
      <c r="AD75" s="381"/>
      <c r="AE75" s="381"/>
      <c r="AF75" s="381"/>
      <c r="AG75" s="381"/>
      <c r="AH75" s="381"/>
      <c r="AI75" s="381"/>
      <c r="AJ75" s="381"/>
      <c r="AK75" s="381"/>
      <c r="AL75" s="381"/>
      <c r="AM75" s="381"/>
      <c r="AN75" s="381"/>
      <c r="AO75" s="381"/>
      <c r="AP75" s="381"/>
      <c r="AQ75" s="381"/>
      <c r="AR75" s="381"/>
      <c r="AS75" s="381"/>
      <c r="AT75" s="381"/>
      <c r="AU75" s="51"/>
      <c r="AV75" s="38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</row>
    <row r="76" ht="15.7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  <c r="Y76" s="381"/>
      <c r="Z76" s="381"/>
      <c r="AA76" s="381"/>
      <c r="AB76" s="381"/>
      <c r="AC76" s="381"/>
      <c r="AD76" s="381"/>
      <c r="AE76" s="381"/>
      <c r="AF76" s="381"/>
      <c r="AG76" s="381"/>
      <c r="AH76" s="381"/>
      <c r="AI76" s="381"/>
      <c r="AJ76" s="381"/>
      <c r="AK76" s="381"/>
      <c r="AL76" s="381"/>
      <c r="AM76" s="381"/>
      <c r="AN76" s="381"/>
      <c r="AO76" s="381"/>
      <c r="AP76" s="381"/>
      <c r="AQ76" s="381"/>
      <c r="AR76" s="381"/>
      <c r="AS76" s="381"/>
      <c r="AT76" s="381"/>
      <c r="AU76" s="51"/>
      <c r="AV76" s="38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</row>
    <row r="77" ht="15.7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  <c r="AA77" s="381"/>
      <c r="AB77" s="381"/>
      <c r="AC77" s="381"/>
      <c r="AD77" s="381"/>
      <c r="AE77" s="381"/>
      <c r="AF77" s="381"/>
      <c r="AG77" s="381"/>
      <c r="AH77" s="381"/>
      <c r="AI77" s="381"/>
      <c r="AJ77" s="381"/>
      <c r="AK77" s="381"/>
      <c r="AL77" s="381"/>
      <c r="AM77" s="381"/>
      <c r="AN77" s="381"/>
      <c r="AO77" s="381"/>
      <c r="AP77" s="381"/>
      <c r="AQ77" s="381"/>
      <c r="AR77" s="381"/>
      <c r="AS77" s="381"/>
      <c r="AT77" s="381"/>
      <c r="AU77" s="51"/>
      <c r="AV77" s="38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</row>
    <row r="78" ht="15.7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  <c r="Z78" s="381"/>
      <c r="AA78" s="381"/>
      <c r="AB78" s="381"/>
      <c r="AC78" s="381"/>
      <c r="AD78" s="381"/>
      <c r="AE78" s="381"/>
      <c r="AF78" s="381"/>
      <c r="AG78" s="381"/>
      <c r="AH78" s="381"/>
      <c r="AI78" s="381"/>
      <c r="AJ78" s="381"/>
      <c r="AK78" s="381"/>
      <c r="AL78" s="381"/>
      <c r="AM78" s="381"/>
      <c r="AN78" s="381"/>
      <c r="AO78" s="381"/>
      <c r="AP78" s="381"/>
      <c r="AQ78" s="381"/>
      <c r="AR78" s="381"/>
      <c r="AS78" s="381"/>
      <c r="AT78" s="381"/>
      <c r="AU78" s="51"/>
      <c r="AV78" s="38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</row>
    <row r="79" ht="15.7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  <c r="Z79" s="381"/>
      <c r="AA79" s="381"/>
      <c r="AB79" s="381"/>
      <c r="AC79" s="381"/>
      <c r="AD79" s="381"/>
      <c r="AE79" s="381"/>
      <c r="AF79" s="381"/>
      <c r="AG79" s="381"/>
      <c r="AH79" s="381"/>
      <c r="AI79" s="381"/>
      <c r="AJ79" s="381"/>
      <c r="AK79" s="381"/>
      <c r="AL79" s="381"/>
      <c r="AM79" s="381"/>
      <c r="AN79" s="381"/>
      <c r="AO79" s="381"/>
      <c r="AP79" s="381"/>
      <c r="AQ79" s="381"/>
      <c r="AR79" s="381"/>
      <c r="AS79" s="381"/>
      <c r="AT79" s="381"/>
      <c r="AU79" s="51"/>
      <c r="AV79" s="38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</row>
    <row r="80" ht="15.7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  <c r="Y80" s="381"/>
      <c r="Z80" s="381"/>
      <c r="AA80" s="381"/>
      <c r="AB80" s="381"/>
      <c r="AC80" s="381"/>
      <c r="AD80" s="381"/>
      <c r="AE80" s="381"/>
      <c r="AF80" s="381"/>
      <c r="AG80" s="381"/>
      <c r="AH80" s="381"/>
      <c r="AI80" s="381"/>
      <c r="AJ80" s="381"/>
      <c r="AK80" s="381"/>
      <c r="AL80" s="381"/>
      <c r="AM80" s="381"/>
      <c r="AN80" s="381"/>
      <c r="AO80" s="381"/>
      <c r="AP80" s="381"/>
      <c r="AQ80" s="381"/>
      <c r="AR80" s="381"/>
      <c r="AS80" s="381"/>
      <c r="AT80" s="381"/>
      <c r="AU80" s="51"/>
      <c r="AV80" s="38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</row>
    <row r="81" ht="15.7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  <c r="Z81" s="381"/>
      <c r="AA81" s="381"/>
      <c r="AB81" s="381"/>
      <c r="AC81" s="381"/>
      <c r="AD81" s="381"/>
      <c r="AE81" s="381"/>
      <c r="AF81" s="381"/>
      <c r="AG81" s="381"/>
      <c r="AH81" s="381"/>
      <c r="AI81" s="381"/>
      <c r="AJ81" s="381"/>
      <c r="AK81" s="381"/>
      <c r="AL81" s="381"/>
      <c r="AM81" s="381"/>
      <c r="AN81" s="381"/>
      <c r="AO81" s="381"/>
      <c r="AP81" s="381"/>
      <c r="AQ81" s="381"/>
      <c r="AR81" s="381"/>
      <c r="AS81" s="381"/>
      <c r="AT81" s="381"/>
      <c r="AU81" s="51"/>
      <c r="AV81" s="38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</row>
    <row r="82" ht="15.7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  <c r="Z82" s="381"/>
      <c r="AA82" s="381"/>
      <c r="AB82" s="381"/>
      <c r="AC82" s="381"/>
      <c r="AD82" s="381"/>
      <c r="AE82" s="381"/>
      <c r="AF82" s="381"/>
      <c r="AG82" s="381"/>
      <c r="AH82" s="381"/>
      <c r="AI82" s="381"/>
      <c r="AJ82" s="381"/>
      <c r="AK82" s="381"/>
      <c r="AL82" s="381"/>
      <c r="AM82" s="381"/>
      <c r="AN82" s="381"/>
      <c r="AO82" s="381"/>
      <c r="AP82" s="381"/>
      <c r="AQ82" s="381"/>
      <c r="AR82" s="381"/>
      <c r="AS82" s="381"/>
      <c r="AT82" s="381"/>
      <c r="AU82" s="51"/>
      <c r="AV82" s="38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</row>
    <row r="83" ht="15.7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  <c r="Z83" s="381"/>
      <c r="AA83" s="381"/>
      <c r="AB83" s="381"/>
      <c r="AC83" s="381"/>
      <c r="AD83" s="381"/>
      <c r="AE83" s="381"/>
      <c r="AF83" s="381"/>
      <c r="AG83" s="381"/>
      <c r="AH83" s="381"/>
      <c r="AI83" s="381"/>
      <c r="AJ83" s="381"/>
      <c r="AK83" s="381"/>
      <c r="AL83" s="381"/>
      <c r="AM83" s="381"/>
      <c r="AN83" s="381"/>
      <c r="AO83" s="381"/>
      <c r="AP83" s="381"/>
      <c r="AQ83" s="381"/>
      <c r="AR83" s="381"/>
      <c r="AS83" s="381"/>
      <c r="AT83" s="381"/>
      <c r="AU83" s="51"/>
      <c r="AV83" s="38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</row>
    <row r="84" ht="15.7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  <c r="Y84" s="381"/>
      <c r="Z84" s="381"/>
      <c r="AA84" s="381"/>
      <c r="AB84" s="381"/>
      <c r="AC84" s="381"/>
      <c r="AD84" s="381"/>
      <c r="AE84" s="381"/>
      <c r="AF84" s="381"/>
      <c r="AG84" s="381"/>
      <c r="AH84" s="381"/>
      <c r="AI84" s="381"/>
      <c r="AJ84" s="381"/>
      <c r="AK84" s="381"/>
      <c r="AL84" s="381"/>
      <c r="AM84" s="381"/>
      <c r="AN84" s="381"/>
      <c r="AO84" s="381"/>
      <c r="AP84" s="381"/>
      <c r="AQ84" s="381"/>
      <c r="AR84" s="381"/>
      <c r="AS84" s="381"/>
      <c r="AT84" s="381"/>
      <c r="AU84" s="51"/>
      <c r="AV84" s="38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</row>
    <row r="85" ht="15.7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  <c r="Y85" s="381"/>
      <c r="Z85" s="381"/>
      <c r="AA85" s="381"/>
      <c r="AB85" s="381"/>
      <c r="AC85" s="381"/>
      <c r="AD85" s="381"/>
      <c r="AE85" s="381"/>
      <c r="AF85" s="381"/>
      <c r="AG85" s="381"/>
      <c r="AH85" s="381"/>
      <c r="AI85" s="381"/>
      <c r="AJ85" s="381"/>
      <c r="AK85" s="381"/>
      <c r="AL85" s="381"/>
      <c r="AM85" s="381"/>
      <c r="AN85" s="381"/>
      <c r="AO85" s="381"/>
      <c r="AP85" s="381"/>
      <c r="AQ85" s="381"/>
      <c r="AR85" s="381"/>
      <c r="AS85" s="381"/>
      <c r="AT85" s="381"/>
      <c r="AU85" s="51"/>
      <c r="AV85" s="38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</row>
    <row r="86" ht="15.7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  <c r="AE86" s="381"/>
      <c r="AF86" s="381"/>
      <c r="AG86" s="381"/>
      <c r="AH86" s="381"/>
      <c r="AI86" s="381"/>
      <c r="AJ86" s="381"/>
      <c r="AK86" s="381"/>
      <c r="AL86" s="381"/>
      <c r="AM86" s="381"/>
      <c r="AN86" s="381"/>
      <c r="AO86" s="381"/>
      <c r="AP86" s="381"/>
      <c r="AQ86" s="381"/>
      <c r="AR86" s="381"/>
      <c r="AS86" s="381"/>
      <c r="AT86" s="381"/>
      <c r="AU86" s="51"/>
      <c r="AV86" s="38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</row>
    <row r="87" ht="15.7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  <c r="Y87" s="381"/>
      <c r="Z87" s="381"/>
      <c r="AA87" s="381"/>
      <c r="AB87" s="381"/>
      <c r="AC87" s="381"/>
      <c r="AD87" s="381"/>
      <c r="AE87" s="381"/>
      <c r="AF87" s="381"/>
      <c r="AG87" s="381"/>
      <c r="AH87" s="381"/>
      <c r="AI87" s="381"/>
      <c r="AJ87" s="381"/>
      <c r="AK87" s="381"/>
      <c r="AL87" s="381"/>
      <c r="AM87" s="381"/>
      <c r="AN87" s="381"/>
      <c r="AO87" s="381"/>
      <c r="AP87" s="381"/>
      <c r="AQ87" s="381"/>
      <c r="AR87" s="381"/>
      <c r="AS87" s="381"/>
      <c r="AT87" s="381"/>
      <c r="AU87" s="51"/>
      <c r="AV87" s="38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</row>
    <row r="88" ht="15.7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  <c r="Y88" s="381"/>
      <c r="Z88" s="381"/>
      <c r="AA88" s="381"/>
      <c r="AB88" s="381"/>
      <c r="AC88" s="381"/>
      <c r="AD88" s="381"/>
      <c r="AE88" s="381"/>
      <c r="AF88" s="381"/>
      <c r="AG88" s="381"/>
      <c r="AH88" s="381"/>
      <c r="AI88" s="381"/>
      <c r="AJ88" s="381"/>
      <c r="AK88" s="381"/>
      <c r="AL88" s="381"/>
      <c r="AM88" s="381"/>
      <c r="AN88" s="381"/>
      <c r="AO88" s="381"/>
      <c r="AP88" s="381"/>
      <c r="AQ88" s="381"/>
      <c r="AR88" s="381"/>
      <c r="AS88" s="381"/>
      <c r="AT88" s="381"/>
      <c r="AU88" s="51"/>
      <c r="AV88" s="38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</row>
    <row r="89" ht="15.7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  <c r="Y89" s="381"/>
      <c r="Z89" s="381"/>
      <c r="AA89" s="381"/>
      <c r="AB89" s="381"/>
      <c r="AC89" s="381"/>
      <c r="AD89" s="381"/>
      <c r="AE89" s="381"/>
      <c r="AF89" s="381"/>
      <c r="AG89" s="381"/>
      <c r="AH89" s="381"/>
      <c r="AI89" s="381"/>
      <c r="AJ89" s="381"/>
      <c r="AK89" s="381"/>
      <c r="AL89" s="381"/>
      <c r="AM89" s="381"/>
      <c r="AN89" s="381"/>
      <c r="AO89" s="381"/>
      <c r="AP89" s="381"/>
      <c r="AQ89" s="381"/>
      <c r="AR89" s="381"/>
      <c r="AS89" s="381"/>
      <c r="AT89" s="381"/>
      <c r="AU89" s="51"/>
      <c r="AV89" s="38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</row>
    <row r="90" ht="15.7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  <c r="Z90" s="381"/>
      <c r="AA90" s="381"/>
      <c r="AB90" s="381"/>
      <c r="AC90" s="381"/>
      <c r="AD90" s="381"/>
      <c r="AE90" s="381"/>
      <c r="AF90" s="381"/>
      <c r="AG90" s="381"/>
      <c r="AH90" s="381"/>
      <c r="AI90" s="381"/>
      <c r="AJ90" s="381"/>
      <c r="AK90" s="381"/>
      <c r="AL90" s="381"/>
      <c r="AM90" s="381"/>
      <c r="AN90" s="381"/>
      <c r="AO90" s="381"/>
      <c r="AP90" s="381"/>
      <c r="AQ90" s="381"/>
      <c r="AR90" s="381"/>
      <c r="AS90" s="381"/>
      <c r="AT90" s="381"/>
      <c r="AU90" s="51"/>
      <c r="AV90" s="38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</row>
    <row r="91" ht="15.7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  <c r="Y91" s="381"/>
      <c r="Z91" s="381"/>
      <c r="AA91" s="381"/>
      <c r="AB91" s="381"/>
      <c r="AC91" s="381"/>
      <c r="AD91" s="381"/>
      <c r="AE91" s="381"/>
      <c r="AF91" s="381"/>
      <c r="AG91" s="381"/>
      <c r="AH91" s="381"/>
      <c r="AI91" s="381"/>
      <c r="AJ91" s="381"/>
      <c r="AK91" s="381"/>
      <c r="AL91" s="381"/>
      <c r="AM91" s="381"/>
      <c r="AN91" s="381"/>
      <c r="AO91" s="381"/>
      <c r="AP91" s="381"/>
      <c r="AQ91" s="381"/>
      <c r="AR91" s="381"/>
      <c r="AS91" s="381"/>
      <c r="AT91" s="381"/>
      <c r="AU91" s="51"/>
      <c r="AV91" s="38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</row>
    <row r="92" ht="15.7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  <c r="Y92" s="381"/>
      <c r="Z92" s="381"/>
      <c r="AA92" s="381"/>
      <c r="AB92" s="381"/>
      <c r="AC92" s="381"/>
      <c r="AD92" s="381"/>
      <c r="AE92" s="381"/>
      <c r="AF92" s="381"/>
      <c r="AG92" s="381"/>
      <c r="AH92" s="381"/>
      <c r="AI92" s="381"/>
      <c r="AJ92" s="381"/>
      <c r="AK92" s="381"/>
      <c r="AL92" s="381"/>
      <c r="AM92" s="381"/>
      <c r="AN92" s="381"/>
      <c r="AO92" s="381"/>
      <c r="AP92" s="381"/>
      <c r="AQ92" s="381"/>
      <c r="AR92" s="381"/>
      <c r="AS92" s="381"/>
      <c r="AT92" s="381"/>
      <c r="AU92" s="51"/>
      <c r="AV92" s="38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</row>
    <row r="93" ht="15.7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  <c r="Y93" s="381"/>
      <c r="Z93" s="381"/>
      <c r="AA93" s="381"/>
      <c r="AB93" s="381"/>
      <c r="AC93" s="381"/>
      <c r="AD93" s="381"/>
      <c r="AE93" s="381"/>
      <c r="AF93" s="381"/>
      <c r="AG93" s="381"/>
      <c r="AH93" s="381"/>
      <c r="AI93" s="381"/>
      <c r="AJ93" s="381"/>
      <c r="AK93" s="381"/>
      <c r="AL93" s="381"/>
      <c r="AM93" s="381"/>
      <c r="AN93" s="381"/>
      <c r="AO93" s="381"/>
      <c r="AP93" s="381"/>
      <c r="AQ93" s="381"/>
      <c r="AR93" s="381"/>
      <c r="AS93" s="381"/>
      <c r="AT93" s="381"/>
      <c r="AU93" s="51"/>
      <c r="AV93" s="38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</row>
    <row r="94" ht="15.7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  <c r="Y94" s="381"/>
      <c r="Z94" s="381"/>
      <c r="AA94" s="381"/>
      <c r="AB94" s="381"/>
      <c r="AC94" s="381"/>
      <c r="AD94" s="381"/>
      <c r="AE94" s="381"/>
      <c r="AF94" s="381"/>
      <c r="AG94" s="381"/>
      <c r="AH94" s="381"/>
      <c r="AI94" s="381"/>
      <c r="AJ94" s="381"/>
      <c r="AK94" s="381"/>
      <c r="AL94" s="381"/>
      <c r="AM94" s="381"/>
      <c r="AN94" s="381"/>
      <c r="AO94" s="381"/>
      <c r="AP94" s="381"/>
      <c r="AQ94" s="381"/>
      <c r="AR94" s="381"/>
      <c r="AS94" s="381"/>
      <c r="AT94" s="381"/>
      <c r="AU94" s="51"/>
      <c r="AV94" s="38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</row>
    <row r="95" ht="15.7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  <c r="Y95" s="381"/>
      <c r="Z95" s="381"/>
      <c r="AA95" s="381"/>
      <c r="AB95" s="381"/>
      <c r="AC95" s="381"/>
      <c r="AD95" s="381"/>
      <c r="AE95" s="381"/>
      <c r="AF95" s="381"/>
      <c r="AG95" s="381"/>
      <c r="AH95" s="381"/>
      <c r="AI95" s="381"/>
      <c r="AJ95" s="381"/>
      <c r="AK95" s="381"/>
      <c r="AL95" s="381"/>
      <c r="AM95" s="381"/>
      <c r="AN95" s="381"/>
      <c r="AO95" s="381"/>
      <c r="AP95" s="381"/>
      <c r="AQ95" s="381"/>
      <c r="AR95" s="381"/>
      <c r="AS95" s="381"/>
      <c r="AT95" s="381"/>
      <c r="AU95" s="51"/>
      <c r="AV95" s="38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</row>
    <row r="96" ht="15.7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  <c r="Y96" s="381"/>
      <c r="Z96" s="381"/>
      <c r="AA96" s="381"/>
      <c r="AB96" s="381"/>
      <c r="AC96" s="381"/>
      <c r="AD96" s="381"/>
      <c r="AE96" s="381"/>
      <c r="AF96" s="381"/>
      <c r="AG96" s="381"/>
      <c r="AH96" s="381"/>
      <c r="AI96" s="381"/>
      <c r="AJ96" s="381"/>
      <c r="AK96" s="381"/>
      <c r="AL96" s="381"/>
      <c r="AM96" s="381"/>
      <c r="AN96" s="381"/>
      <c r="AO96" s="381"/>
      <c r="AP96" s="381"/>
      <c r="AQ96" s="381"/>
      <c r="AR96" s="381"/>
      <c r="AS96" s="381"/>
      <c r="AT96" s="381"/>
      <c r="AU96" s="51"/>
      <c r="AV96" s="38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</row>
    <row r="97" ht="15.7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  <c r="Y97" s="381"/>
      <c r="Z97" s="381"/>
      <c r="AA97" s="381"/>
      <c r="AB97" s="381"/>
      <c r="AC97" s="381"/>
      <c r="AD97" s="381"/>
      <c r="AE97" s="381"/>
      <c r="AF97" s="381"/>
      <c r="AG97" s="381"/>
      <c r="AH97" s="381"/>
      <c r="AI97" s="381"/>
      <c r="AJ97" s="381"/>
      <c r="AK97" s="381"/>
      <c r="AL97" s="381"/>
      <c r="AM97" s="381"/>
      <c r="AN97" s="381"/>
      <c r="AO97" s="381"/>
      <c r="AP97" s="381"/>
      <c r="AQ97" s="381"/>
      <c r="AR97" s="381"/>
      <c r="AS97" s="381"/>
      <c r="AT97" s="381"/>
      <c r="AU97" s="51"/>
      <c r="AV97" s="38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</row>
    <row r="98" ht="15.7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  <c r="Y98" s="381"/>
      <c r="Z98" s="381"/>
      <c r="AA98" s="381"/>
      <c r="AB98" s="381"/>
      <c r="AC98" s="381"/>
      <c r="AD98" s="381"/>
      <c r="AE98" s="381"/>
      <c r="AF98" s="381"/>
      <c r="AG98" s="381"/>
      <c r="AH98" s="381"/>
      <c r="AI98" s="381"/>
      <c r="AJ98" s="381"/>
      <c r="AK98" s="381"/>
      <c r="AL98" s="381"/>
      <c r="AM98" s="381"/>
      <c r="AN98" s="381"/>
      <c r="AO98" s="381"/>
      <c r="AP98" s="381"/>
      <c r="AQ98" s="381"/>
      <c r="AR98" s="381"/>
      <c r="AS98" s="381"/>
      <c r="AT98" s="381"/>
      <c r="AU98" s="51"/>
      <c r="AV98" s="38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</row>
    <row r="99" ht="15.7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  <c r="Y99" s="381"/>
      <c r="Z99" s="381"/>
      <c r="AA99" s="381"/>
      <c r="AB99" s="381"/>
      <c r="AC99" s="381"/>
      <c r="AD99" s="381"/>
      <c r="AE99" s="381"/>
      <c r="AF99" s="381"/>
      <c r="AG99" s="381"/>
      <c r="AH99" s="381"/>
      <c r="AI99" s="381"/>
      <c r="AJ99" s="381"/>
      <c r="AK99" s="381"/>
      <c r="AL99" s="381"/>
      <c r="AM99" s="381"/>
      <c r="AN99" s="381"/>
      <c r="AO99" s="381"/>
      <c r="AP99" s="381"/>
      <c r="AQ99" s="381"/>
      <c r="AR99" s="381"/>
      <c r="AS99" s="381"/>
      <c r="AT99" s="381"/>
      <c r="AU99" s="51"/>
      <c r="AV99" s="38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</row>
    <row r="100" ht="15.7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  <c r="Y100" s="381"/>
      <c r="Z100" s="381"/>
      <c r="AA100" s="381"/>
      <c r="AB100" s="381"/>
      <c r="AC100" s="381"/>
      <c r="AD100" s="381"/>
      <c r="AE100" s="381"/>
      <c r="AF100" s="381"/>
      <c r="AG100" s="381"/>
      <c r="AH100" s="381"/>
      <c r="AI100" s="381"/>
      <c r="AJ100" s="381"/>
      <c r="AK100" s="381"/>
      <c r="AL100" s="381"/>
      <c r="AM100" s="381"/>
      <c r="AN100" s="381"/>
      <c r="AO100" s="381"/>
      <c r="AP100" s="381"/>
      <c r="AQ100" s="381"/>
      <c r="AR100" s="381"/>
      <c r="AS100" s="381"/>
      <c r="AT100" s="381"/>
      <c r="AU100" s="51"/>
      <c r="AV100" s="38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</row>
    <row r="101" ht="15.7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  <c r="Y101" s="381"/>
      <c r="Z101" s="381"/>
      <c r="AA101" s="381"/>
      <c r="AB101" s="381"/>
      <c r="AC101" s="381"/>
      <c r="AD101" s="381"/>
      <c r="AE101" s="381"/>
      <c r="AF101" s="381"/>
      <c r="AG101" s="381"/>
      <c r="AH101" s="381"/>
      <c r="AI101" s="381"/>
      <c r="AJ101" s="381"/>
      <c r="AK101" s="381"/>
      <c r="AL101" s="381"/>
      <c r="AM101" s="381"/>
      <c r="AN101" s="381"/>
      <c r="AO101" s="381"/>
      <c r="AP101" s="381"/>
      <c r="AQ101" s="381"/>
      <c r="AR101" s="381"/>
      <c r="AS101" s="381"/>
      <c r="AT101" s="381"/>
      <c r="AU101" s="51"/>
      <c r="AV101" s="38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</row>
    <row r="102" ht="15.7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  <c r="Y102" s="381"/>
      <c r="Z102" s="381"/>
      <c r="AA102" s="381"/>
      <c r="AB102" s="381"/>
      <c r="AC102" s="381"/>
      <c r="AD102" s="381"/>
      <c r="AE102" s="381"/>
      <c r="AF102" s="381"/>
      <c r="AG102" s="381"/>
      <c r="AH102" s="381"/>
      <c r="AI102" s="381"/>
      <c r="AJ102" s="381"/>
      <c r="AK102" s="381"/>
      <c r="AL102" s="381"/>
      <c r="AM102" s="381"/>
      <c r="AN102" s="381"/>
      <c r="AO102" s="381"/>
      <c r="AP102" s="381"/>
      <c r="AQ102" s="381"/>
      <c r="AR102" s="381"/>
      <c r="AS102" s="381"/>
      <c r="AT102" s="381"/>
      <c r="AU102" s="51"/>
      <c r="AV102" s="38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</row>
    <row r="103" ht="15.7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  <c r="Y103" s="381"/>
      <c r="Z103" s="381"/>
      <c r="AA103" s="381"/>
      <c r="AB103" s="381"/>
      <c r="AC103" s="381"/>
      <c r="AD103" s="381"/>
      <c r="AE103" s="381"/>
      <c r="AF103" s="381"/>
      <c r="AG103" s="381"/>
      <c r="AH103" s="381"/>
      <c r="AI103" s="381"/>
      <c r="AJ103" s="381"/>
      <c r="AK103" s="381"/>
      <c r="AL103" s="381"/>
      <c r="AM103" s="381"/>
      <c r="AN103" s="381"/>
      <c r="AO103" s="381"/>
      <c r="AP103" s="381"/>
      <c r="AQ103" s="381"/>
      <c r="AR103" s="381"/>
      <c r="AS103" s="381"/>
      <c r="AT103" s="381"/>
      <c r="AU103" s="51"/>
      <c r="AV103" s="38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</row>
    <row r="104" ht="15.7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1"/>
      <c r="Z104" s="381"/>
      <c r="AA104" s="381"/>
      <c r="AB104" s="381"/>
      <c r="AC104" s="381"/>
      <c r="AD104" s="381"/>
      <c r="AE104" s="381"/>
      <c r="AF104" s="381"/>
      <c r="AG104" s="381"/>
      <c r="AH104" s="381"/>
      <c r="AI104" s="381"/>
      <c r="AJ104" s="381"/>
      <c r="AK104" s="381"/>
      <c r="AL104" s="381"/>
      <c r="AM104" s="381"/>
      <c r="AN104" s="381"/>
      <c r="AO104" s="381"/>
      <c r="AP104" s="381"/>
      <c r="AQ104" s="381"/>
      <c r="AR104" s="381"/>
      <c r="AS104" s="381"/>
      <c r="AT104" s="381"/>
      <c r="AU104" s="51"/>
      <c r="AV104" s="38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</row>
    <row r="105" ht="15.7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381"/>
      <c r="Z105" s="381"/>
      <c r="AA105" s="381"/>
      <c r="AB105" s="381"/>
      <c r="AC105" s="381"/>
      <c r="AD105" s="381"/>
      <c r="AE105" s="381"/>
      <c r="AF105" s="381"/>
      <c r="AG105" s="381"/>
      <c r="AH105" s="381"/>
      <c r="AI105" s="381"/>
      <c r="AJ105" s="381"/>
      <c r="AK105" s="381"/>
      <c r="AL105" s="381"/>
      <c r="AM105" s="381"/>
      <c r="AN105" s="381"/>
      <c r="AO105" s="381"/>
      <c r="AP105" s="381"/>
      <c r="AQ105" s="381"/>
      <c r="AR105" s="381"/>
      <c r="AS105" s="381"/>
      <c r="AT105" s="381"/>
      <c r="AU105" s="51"/>
      <c r="AV105" s="38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</row>
    <row r="106" ht="15.7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  <c r="Y106" s="381"/>
      <c r="Z106" s="381"/>
      <c r="AA106" s="381"/>
      <c r="AB106" s="381"/>
      <c r="AC106" s="381"/>
      <c r="AD106" s="381"/>
      <c r="AE106" s="381"/>
      <c r="AF106" s="381"/>
      <c r="AG106" s="381"/>
      <c r="AH106" s="381"/>
      <c r="AI106" s="381"/>
      <c r="AJ106" s="381"/>
      <c r="AK106" s="381"/>
      <c r="AL106" s="381"/>
      <c r="AM106" s="381"/>
      <c r="AN106" s="381"/>
      <c r="AO106" s="381"/>
      <c r="AP106" s="381"/>
      <c r="AQ106" s="381"/>
      <c r="AR106" s="381"/>
      <c r="AS106" s="381"/>
      <c r="AT106" s="381"/>
      <c r="AU106" s="51"/>
      <c r="AV106" s="38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</row>
    <row r="107" ht="15.7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  <c r="Y107" s="381"/>
      <c r="Z107" s="381"/>
      <c r="AA107" s="381"/>
      <c r="AB107" s="381"/>
      <c r="AC107" s="381"/>
      <c r="AD107" s="381"/>
      <c r="AE107" s="381"/>
      <c r="AF107" s="381"/>
      <c r="AG107" s="381"/>
      <c r="AH107" s="381"/>
      <c r="AI107" s="381"/>
      <c r="AJ107" s="381"/>
      <c r="AK107" s="381"/>
      <c r="AL107" s="381"/>
      <c r="AM107" s="381"/>
      <c r="AN107" s="381"/>
      <c r="AO107" s="381"/>
      <c r="AP107" s="381"/>
      <c r="AQ107" s="381"/>
      <c r="AR107" s="381"/>
      <c r="AS107" s="381"/>
      <c r="AT107" s="381"/>
      <c r="AU107" s="51"/>
      <c r="AV107" s="38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</row>
    <row r="108" ht="15.7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381"/>
      <c r="Z108" s="381"/>
      <c r="AA108" s="381"/>
      <c r="AB108" s="381"/>
      <c r="AC108" s="381"/>
      <c r="AD108" s="381"/>
      <c r="AE108" s="381"/>
      <c r="AF108" s="381"/>
      <c r="AG108" s="381"/>
      <c r="AH108" s="381"/>
      <c r="AI108" s="381"/>
      <c r="AJ108" s="381"/>
      <c r="AK108" s="381"/>
      <c r="AL108" s="381"/>
      <c r="AM108" s="381"/>
      <c r="AN108" s="381"/>
      <c r="AO108" s="381"/>
      <c r="AP108" s="381"/>
      <c r="AQ108" s="381"/>
      <c r="AR108" s="381"/>
      <c r="AS108" s="381"/>
      <c r="AT108" s="381"/>
      <c r="AU108" s="51"/>
      <c r="AV108" s="38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</row>
    <row r="109" ht="15.7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381"/>
      <c r="Z109" s="381"/>
      <c r="AA109" s="381"/>
      <c r="AB109" s="381"/>
      <c r="AC109" s="381"/>
      <c r="AD109" s="381"/>
      <c r="AE109" s="381"/>
      <c r="AF109" s="381"/>
      <c r="AG109" s="381"/>
      <c r="AH109" s="381"/>
      <c r="AI109" s="381"/>
      <c r="AJ109" s="381"/>
      <c r="AK109" s="381"/>
      <c r="AL109" s="381"/>
      <c r="AM109" s="381"/>
      <c r="AN109" s="381"/>
      <c r="AO109" s="381"/>
      <c r="AP109" s="381"/>
      <c r="AQ109" s="381"/>
      <c r="AR109" s="381"/>
      <c r="AS109" s="381"/>
      <c r="AT109" s="381"/>
      <c r="AU109" s="51"/>
      <c r="AV109" s="38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</row>
    <row r="110" ht="15.7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381"/>
      <c r="Z110" s="381"/>
      <c r="AA110" s="381"/>
      <c r="AB110" s="381"/>
      <c r="AC110" s="381"/>
      <c r="AD110" s="381"/>
      <c r="AE110" s="381"/>
      <c r="AF110" s="381"/>
      <c r="AG110" s="381"/>
      <c r="AH110" s="381"/>
      <c r="AI110" s="381"/>
      <c r="AJ110" s="381"/>
      <c r="AK110" s="381"/>
      <c r="AL110" s="381"/>
      <c r="AM110" s="381"/>
      <c r="AN110" s="381"/>
      <c r="AO110" s="381"/>
      <c r="AP110" s="381"/>
      <c r="AQ110" s="381"/>
      <c r="AR110" s="381"/>
      <c r="AS110" s="381"/>
      <c r="AT110" s="381"/>
      <c r="AU110" s="51"/>
      <c r="AV110" s="38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</row>
    <row r="111" ht="15.7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381"/>
      <c r="Z111" s="381"/>
      <c r="AA111" s="381"/>
      <c r="AB111" s="381"/>
      <c r="AC111" s="381"/>
      <c r="AD111" s="381"/>
      <c r="AE111" s="381"/>
      <c r="AF111" s="381"/>
      <c r="AG111" s="381"/>
      <c r="AH111" s="381"/>
      <c r="AI111" s="381"/>
      <c r="AJ111" s="381"/>
      <c r="AK111" s="381"/>
      <c r="AL111" s="381"/>
      <c r="AM111" s="381"/>
      <c r="AN111" s="381"/>
      <c r="AO111" s="381"/>
      <c r="AP111" s="381"/>
      <c r="AQ111" s="381"/>
      <c r="AR111" s="381"/>
      <c r="AS111" s="381"/>
      <c r="AT111" s="381"/>
      <c r="AU111" s="51"/>
      <c r="AV111" s="38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</row>
    <row r="112" ht="15.7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  <c r="Y112" s="381"/>
      <c r="Z112" s="381"/>
      <c r="AA112" s="381"/>
      <c r="AB112" s="381"/>
      <c r="AC112" s="381"/>
      <c r="AD112" s="381"/>
      <c r="AE112" s="381"/>
      <c r="AF112" s="381"/>
      <c r="AG112" s="381"/>
      <c r="AH112" s="381"/>
      <c r="AI112" s="381"/>
      <c r="AJ112" s="381"/>
      <c r="AK112" s="381"/>
      <c r="AL112" s="381"/>
      <c r="AM112" s="381"/>
      <c r="AN112" s="381"/>
      <c r="AO112" s="381"/>
      <c r="AP112" s="381"/>
      <c r="AQ112" s="381"/>
      <c r="AR112" s="381"/>
      <c r="AS112" s="381"/>
      <c r="AT112" s="381"/>
      <c r="AU112" s="51"/>
      <c r="AV112" s="38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</row>
    <row r="113" ht="15.7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  <c r="Y113" s="381"/>
      <c r="Z113" s="381"/>
      <c r="AA113" s="381"/>
      <c r="AB113" s="381"/>
      <c r="AC113" s="381"/>
      <c r="AD113" s="381"/>
      <c r="AE113" s="381"/>
      <c r="AF113" s="381"/>
      <c r="AG113" s="381"/>
      <c r="AH113" s="381"/>
      <c r="AI113" s="381"/>
      <c r="AJ113" s="381"/>
      <c r="AK113" s="381"/>
      <c r="AL113" s="381"/>
      <c r="AM113" s="381"/>
      <c r="AN113" s="381"/>
      <c r="AO113" s="381"/>
      <c r="AP113" s="381"/>
      <c r="AQ113" s="381"/>
      <c r="AR113" s="381"/>
      <c r="AS113" s="381"/>
      <c r="AT113" s="381"/>
      <c r="AU113" s="51"/>
      <c r="AV113" s="38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</row>
    <row r="114" ht="15.7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1"/>
      <c r="Z114" s="381"/>
      <c r="AA114" s="381"/>
      <c r="AB114" s="381"/>
      <c r="AC114" s="381"/>
      <c r="AD114" s="381"/>
      <c r="AE114" s="381"/>
      <c r="AF114" s="381"/>
      <c r="AG114" s="381"/>
      <c r="AH114" s="381"/>
      <c r="AI114" s="381"/>
      <c r="AJ114" s="381"/>
      <c r="AK114" s="381"/>
      <c r="AL114" s="381"/>
      <c r="AM114" s="381"/>
      <c r="AN114" s="381"/>
      <c r="AO114" s="381"/>
      <c r="AP114" s="381"/>
      <c r="AQ114" s="381"/>
      <c r="AR114" s="381"/>
      <c r="AS114" s="381"/>
      <c r="AT114" s="381"/>
      <c r="AU114" s="51"/>
      <c r="AV114" s="38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</row>
    <row r="115" ht="15.7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81"/>
      <c r="Z115" s="381"/>
      <c r="AA115" s="381"/>
      <c r="AB115" s="381"/>
      <c r="AC115" s="381"/>
      <c r="AD115" s="381"/>
      <c r="AE115" s="381"/>
      <c r="AF115" s="381"/>
      <c r="AG115" s="381"/>
      <c r="AH115" s="381"/>
      <c r="AI115" s="381"/>
      <c r="AJ115" s="381"/>
      <c r="AK115" s="381"/>
      <c r="AL115" s="381"/>
      <c r="AM115" s="381"/>
      <c r="AN115" s="381"/>
      <c r="AO115" s="381"/>
      <c r="AP115" s="381"/>
      <c r="AQ115" s="381"/>
      <c r="AR115" s="381"/>
      <c r="AS115" s="381"/>
      <c r="AT115" s="381"/>
      <c r="AU115" s="51"/>
      <c r="AV115" s="38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</row>
    <row r="116" ht="15.7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1"/>
      <c r="Z116" s="381"/>
      <c r="AA116" s="381"/>
      <c r="AB116" s="381"/>
      <c r="AC116" s="381"/>
      <c r="AD116" s="381"/>
      <c r="AE116" s="381"/>
      <c r="AF116" s="381"/>
      <c r="AG116" s="381"/>
      <c r="AH116" s="381"/>
      <c r="AI116" s="381"/>
      <c r="AJ116" s="381"/>
      <c r="AK116" s="381"/>
      <c r="AL116" s="381"/>
      <c r="AM116" s="381"/>
      <c r="AN116" s="381"/>
      <c r="AO116" s="381"/>
      <c r="AP116" s="381"/>
      <c r="AQ116" s="381"/>
      <c r="AR116" s="381"/>
      <c r="AS116" s="381"/>
      <c r="AT116" s="381"/>
      <c r="AU116" s="51"/>
      <c r="AV116" s="38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</row>
    <row r="117" ht="15.7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81"/>
      <c r="Z117" s="381"/>
      <c r="AA117" s="381"/>
      <c r="AB117" s="381"/>
      <c r="AC117" s="381"/>
      <c r="AD117" s="381"/>
      <c r="AE117" s="381"/>
      <c r="AF117" s="381"/>
      <c r="AG117" s="381"/>
      <c r="AH117" s="381"/>
      <c r="AI117" s="381"/>
      <c r="AJ117" s="381"/>
      <c r="AK117" s="381"/>
      <c r="AL117" s="381"/>
      <c r="AM117" s="381"/>
      <c r="AN117" s="381"/>
      <c r="AO117" s="381"/>
      <c r="AP117" s="381"/>
      <c r="AQ117" s="381"/>
      <c r="AR117" s="381"/>
      <c r="AS117" s="381"/>
      <c r="AT117" s="381"/>
      <c r="AU117" s="51"/>
      <c r="AV117" s="38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</row>
    <row r="118" ht="15.7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1"/>
      <c r="Z118" s="381"/>
      <c r="AA118" s="381"/>
      <c r="AB118" s="381"/>
      <c r="AC118" s="381"/>
      <c r="AD118" s="381"/>
      <c r="AE118" s="381"/>
      <c r="AF118" s="381"/>
      <c r="AG118" s="381"/>
      <c r="AH118" s="381"/>
      <c r="AI118" s="381"/>
      <c r="AJ118" s="381"/>
      <c r="AK118" s="381"/>
      <c r="AL118" s="381"/>
      <c r="AM118" s="381"/>
      <c r="AN118" s="381"/>
      <c r="AO118" s="381"/>
      <c r="AP118" s="381"/>
      <c r="AQ118" s="381"/>
      <c r="AR118" s="381"/>
      <c r="AS118" s="381"/>
      <c r="AT118" s="381"/>
      <c r="AU118" s="51"/>
      <c r="AV118" s="38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</row>
    <row r="119" ht="15.7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  <c r="AA119" s="381"/>
      <c r="AB119" s="381"/>
      <c r="AC119" s="381"/>
      <c r="AD119" s="381"/>
      <c r="AE119" s="381"/>
      <c r="AF119" s="381"/>
      <c r="AG119" s="381"/>
      <c r="AH119" s="381"/>
      <c r="AI119" s="381"/>
      <c r="AJ119" s="381"/>
      <c r="AK119" s="381"/>
      <c r="AL119" s="381"/>
      <c r="AM119" s="381"/>
      <c r="AN119" s="381"/>
      <c r="AO119" s="381"/>
      <c r="AP119" s="381"/>
      <c r="AQ119" s="381"/>
      <c r="AR119" s="381"/>
      <c r="AS119" s="381"/>
      <c r="AT119" s="381"/>
      <c r="AU119" s="51"/>
      <c r="AV119" s="38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</row>
    <row r="120" ht="15.7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1"/>
      <c r="Z120" s="381"/>
      <c r="AA120" s="381"/>
      <c r="AB120" s="381"/>
      <c r="AC120" s="381"/>
      <c r="AD120" s="381"/>
      <c r="AE120" s="381"/>
      <c r="AF120" s="381"/>
      <c r="AG120" s="381"/>
      <c r="AH120" s="381"/>
      <c r="AI120" s="381"/>
      <c r="AJ120" s="381"/>
      <c r="AK120" s="381"/>
      <c r="AL120" s="381"/>
      <c r="AM120" s="381"/>
      <c r="AN120" s="381"/>
      <c r="AO120" s="381"/>
      <c r="AP120" s="381"/>
      <c r="AQ120" s="381"/>
      <c r="AR120" s="381"/>
      <c r="AS120" s="381"/>
      <c r="AT120" s="381"/>
      <c r="AU120" s="51"/>
      <c r="AV120" s="38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</row>
    <row r="121" ht="15.7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  <c r="Y121" s="381"/>
      <c r="Z121" s="381"/>
      <c r="AA121" s="381"/>
      <c r="AB121" s="381"/>
      <c r="AC121" s="381"/>
      <c r="AD121" s="381"/>
      <c r="AE121" s="381"/>
      <c r="AF121" s="381"/>
      <c r="AG121" s="381"/>
      <c r="AH121" s="381"/>
      <c r="AI121" s="381"/>
      <c r="AJ121" s="381"/>
      <c r="AK121" s="381"/>
      <c r="AL121" s="381"/>
      <c r="AM121" s="381"/>
      <c r="AN121" s="381"/>
      <c r="AO121" s="381"/>
      <c r="AP121" s="381"/>
      <c r="AQ121" s="381"/>
      <c r="AR121" s="381"/>
      <c r="AS121" s="381"/>
      <c r="AT121" s="381"/>
      <c r="AU121" s="51"/>
      <c r="AV121" s="38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</row>
    <row r="122" ht="15.7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  <c r="Y122" s="381"/>
      <c r="Z122" s="381"/>
      <c r="AA122" s="381"/>
      <c r="AB122" s="381"/>
      <c r="AC122" s="381"/>
      <c r="AD122" s="381"/>
      <c r="AE122" s="381"/>
      <c r="AF122" s="381"/>
      <c r="AG122" s="381"/>
      <c r="AH122" s="381"/>
      <c r="AI122" s="381"/>
      <c r="AJ122" s="381"/>
      <c r="AK122" s="381"/>
      <c r="AL122" s="381"/>
      <c r="AM122" s="381"/>
      <c r="AN122" s="381"/>
      <c r="AO122" s="381"/>
      <c r="AP122" s="381"/>
      <c r="AQ122" s="381"/>
      <c r="AR122" s="381"/>
      <c r="AS122" s="381"/>
      <c r="AT122" s="381"/>
      <c r="AU122" s="51"/>
      <c r="AV122" s="38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</row>
    <row r="123" ht="15.7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  <c r="Y123" s="381"/>
      <c r="Z123" s="381"/>
      <c r="AA123" s="381"/>
      <c r="AB123" s="381"/>
      <c r="AC123" s="381"/>
      <c r="AD123" s="381"/>
      <c r="AE123" s="381"/>
      <c r="AF123" s="381"/>
      <c r="AG123" s="381"/>
      <c r="AH123" s="381"/>
      <c r="AI123" s="381"/>
      <c r="AJ123" s="381"/>
      <c r="AK123" s="381"/>
      <c r="AL123" s="381"/>
      <c r="AM123" s="381"/>
      <c r="AN123" s="381"/>
      <c r="AO123" s="381"/>
      <c r="AP123" s="381"/>
      <c r="AQ123" s="381"/>
      <c r="AR123" s="381"/>
      <c r="AS123" s="381"/>
      <c r="AT123" s="381"/>
      <c r="AU123" s="51"/>
      <c r="AV123" s="38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</row>
    <row r="124" ht="15.7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  <c r="Y124" s="381"/>
      <c r="Z124" s="381"/>
      <c r="AA124" s="381"/>
      <c r="AB124" s="381"/>
      <c r="AC124" s="381"/>
      <c r="AD124" s="381"/>
      <c r="AE124" s="381"/>
      <c r="AF124" s="381"/>
      <c r="AG124" s="381"/>
      <c r="AH124" s="381"/>
      <c r="AI124" s="381"/>
      <c r="AJ124" s="381"/>
      <c r="AK124" s="381"/>
      <c r="AL124" s="381"/>
      <c r="AM124" s="381"/>
      <c r="AN124" s="381"/>
      <c r="AO124" s="381"/>
      <c r="AP124" s="381"/>
      <c r="AQ124" s="381"/>
      <c r="AR124" s="381"/>
      <c r="AS124" s="381"/>
      <c r="AT124" s="381"/>
      <c r="AU124" s="51"/>
      <c r="AV124" s="38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</row>
    <row r="125" ht="15.7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  <c r="Y125" s="381"/>
      <c r="Z125" s="381"/>
      <c r="AA125" s="381"/>
      <c r="AB125" s="381"/>
      <c r="AC125" s="381"/>
      <c r="AD125" s="381"/>
      <c r="AE125" s="381"/>
      <c r="AF125" s="381"/>
      <c r="AG125" s="381"/>
      <c r="AH125" s="381"/>
      <c r="AI125" s="381"/>
      <c r="AJ125" s="381"/>
      <c r="AK125" s="381"/>
      <c r="AL125" s="381"/>
      <c r="AM125" s="381"/>
      <c r="AN125" s="381"/>
      <c r="AO125" s="381"/>
      <c r="AP125" s="381"/>
      <c r="AQ125" s="381"/>
      <c r="AR125" s="381"/>
      <c r="AS125" s="381"/>
      <c r="AT125" s="381"/>
      <c r="AU125" s="51"/>
      <c r="AV125" s="38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</row>
    <row r="126" ht="15.7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  <c r="Y126" s="381"/>
      <c r="Z126" s="381"/>
      <c r="AA126" s="381"/>
      <c r="AB126" s="381"/>
      <c r="AC126" s="381"/>
      <c r="AD126" s="381"/>
      <c r="AE126" s="381"/>
      <c r="AF126" s="381"/>
      <c r="AG126" s="381"/>
      <c r="AH126" s="381"/>
      <c r="AI126" s="381"/>
      <c r="AJ126" s="381"/>
      <c r="AK126" s="381"/>
      <c r="AL126" s="381"/>
      <c r="AM126" s="381"/>
      <c r="AN126" s="381"/>
      <c r="AO126" s="381"/>
      <c r="AP126" s="381"/>
      <c r="AQ126" s="381"/>
      <c r="AR126" s="381"/>
      <c r="AS126" s="381"/>
      <c r="AT126" s="381"/>
      <c r="AU126" s="51"/>
      <c r="AV126" s="38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</row>
    <row r="127" ht="15.7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  <c r="Y127" s="381"/>
      <c r="Z127" s="381"/>
      <c r="AA127" s="381"/>
      <c r="AB127" s="381"/>
      <c r="AC127" s="381"/>
      <c r="AD127" s="381"/>
      <c r="AE127" s="381"/>
      <c r="AF127" s="381"/>
      <c r="AG127" s="381"/>
      <c r="AH127" s="381"/>
      <c r="AI127" s="381"/>
      <c r="AJ127" s="381"/>
      <c r="AK127" s="381"/>
      <c r="AL127" s="381"/>
      <c r="AM127" s="381"/>
      <c r="AN127" s="381"/>
      <c r="AO127" s="381"/>
      <c r="AP127" s="381"/>
      <c r="AQ127" s="381"/>
      <c r="AR127" s="381"/>
      <c r="AS127" s="381"/>
      <c r="AT127" s="381"/>
      <c r="AU127" s="51"/>
      <c r="AV127" s="38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</row>
    <row r="128" ht="15.7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  <c r="Y128" s="381"/>
      <c r="Z128" s="381"/>
      <c r="AA128" s="381"/>
      <c r="AB128" s="381"/>
      <c r="AC128" s="381"/>
      <c r="AD128" s="381"/>
      <c r="AE128" s="381"/>
      <c r="AF128" s="381"/>
      <c r="AG128" s="381"/>
      <c r="AH128" s="381"/>
      <c r="AI128" s="381"/>
      <c r="AJ128" s="381"/>
      <c r="AK128" s="381"/>
      <c r="AL128" s="381"/>
      <c r="AM128" s="381"/>
      <c r="AN128" s="381"/>
      <c r="AO128" s="381"/>
      <c r="AP128" s="381"/>
      <c r="AQ128" s="381"/>
      <c r="AR128" s="381"/>
      <c r="AS128" s="381"/>
      <c r="AT128" s="381"/>
      <c r="AU128" s="51"/>
      <c r="AV128" s="38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</row>
    <row r="129" ht="15.7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  <c r="Y129" s="381"/>
      <c r="Z129" s="381"/>
      <c r="AA129" s="381"/>
      <c r="AB129" s="381"/>
      <c r="AC129" s="381"/>
      <c r="AD129" s="381"/>
      <c r="AE129" s="381"/>
      <c r="AF129" s="381"/>
      <c r="AG129" s="381"/>
      <c r="AH129" s="381"/>
      <c r="AI129" s="381"/>
      <c r="AJ129" s="381"/>
      <c r="AK129" s="381"/>
      <c r="AL129" s="381"/>
      <c r="AM129" s="381"/>
      <c r="AN129" s="381"/>
      <c r="AO129" s="381"/>
      <c r="AP129" s="381"/>
      <c r="AQ129" s="381"/>
      <c r="AR129" s="381"/>
      <c r="AS129" s="381"/>
      <c r="AT129" s="381"/>
      <c r="AU129" s="51"/>
      <c r="AV129" s="38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</row>
    <row r="130" ht="15.7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  <c r="Y130" s="381"/>
      <c r="Z130" s="381"/>
      <c r="AA130" s="381"/>
      <c r="AB130" s="381"/>
      <c r="AC130" s="381"/>
      <c r="AD130" s="381"/>
      <c r="AE130" s="381"/>
      <c r="AF130" s="381"/>
      <c r="AG130" s="381"/>
      <c r="AH130" s="381"/>
      <c r="AI130" s="381"/>
      <c r="AJ130" s="381"/>
      <c r="AK130" s="381"/>
      <c r="AL130" s="381"/>
      <c r="AM130" s="381"/>
      <c r="AN130" s="381"/>
      <c r="AO130" s="381"/>
      <c r="AP130" s="381"/>
      <c r="AQ130" s="381"/>
      <c r="AR130" s="381"/>
      <c r="AS130" s="381"/>
      <c r="AT130" s="381"/>
      <c r="AU130" s="51"/>
      <c r="AV130" s="38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</row>
    <row r="131" ht="15.7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81"/>
      <c r="AC131" s="381"/>
      <c r="AD131" s="381"/>
      <c r="AE131" s="381"/>
      <c r="AF131" s="381"/>
      <c r="AG131" s="381"/>
      <c r="AH131" s="381"/>
      <c r="AI131" s="381"/>
      <c r="AJ131" s="381"/>
      <c r="AK131" s="381"/>
      <c r="AL131" s="381"/>
      <c r="AM131" s="381"/>
      <c r="AN131" s="381"/>
      <c r="AO131" s="381"/>
      <c r="AP131" s="381"/>
      <c r="AQ131" s="381"/>
      <c r="AR131" s="381"/>
      <c r="AS131" s="381"/>
      <c r="AT131" s="381"/>
      <c r="AU131" s="51"/>
      <c r="AV131" s="38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</row>
    <row r="132" ht="15.7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381"/>
      <c r="Z132" s="381"/>
      <c r="AA132" s="381"/>
      <c r="AB132" s="381"/>
      <c r="AC132" s="381"/>
      <c r="AD132" s="381"/>
      <c r="AE132" s="381"/>
      <c r="AF132" s="381"/>
      <c r="AG132" s="381"/>
      <c r="AH132" s="381"/>
      <c r="AI132" s="381"/>
      <c r="AJ132" s="381"/>
      <c r="AK132" s="381"/>
      <c r="AL132" s="381"/>
      <c r="AM132" s="381"/>
      <c r="AN132" s="381"/>
      <c r="AO132" s="381"/>
      <c r="AP132" s="381"/>
      <c r="AQ132" s="381"/>
      <c r="AR132" s="381"/>
      <c r="AS132" s="381"/>
      <c r="AT132" s="381"/>
      <c r="AU132" s="51"/>
      <c r="AV132" s="38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</row>
    <row r="133" ht="15.7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381"/>
      <c r="Z133" s="381"/>
      <c r="AA133" s="381"/>
      <c r="AB133" s="381"/>
      <c r="AC133" s="381"/>
      <c r="AD133" s="381"/>
      <c r="AE133" s="381"/>
      <c r="AF133" s="381"/>
      <c r="AG133" s="381"/>
      <c r="AH133" s="381"/>
      <c r="AI133" s="381"/>
      <c r="AJ133" s="381"/>
      <c r="AK133" s="381"/>
      <c r="AL133" s="381"/>
      <c r="AM133" s="381"/>
      <c r="AN133" s="381"/>
      <c r="AO133" s="381"/>
      <c r="AP133" s="381"/>
      <c r="AQ133" s="381"/>
      <c r="AR133" s="381"/>
      <c r="AS133" s="381"/>
      <c r="AT133" s="381"/>
      <c r="AU133" s="51"/>
      <c r="AV133" s="38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</row>
    <row r="134" ht="15.7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  <c r="Y134" s="381"/>
      <c r="Z134" s="381"/>
      <c r="AA134" s="381"/>
      <c r="AB134" s="381"/>
      <c r="AC134" s="381"/>
      <c r="AD134" s="381"/>
      <c r="AE134" s="381"/>
      <c r="AF134" s="381"/>
      <c r="AG134" s="381"/>
      <c r="AH134" s="381"/>
      <c r="AI134" s="381"/>
      <c r="AJ134" s="381"/>
      <c r="AK134" s="381"/>
      <c r="AL134" s="381"/>
      <c r="AM134" s="381"/>
      <c r="AN134" s="381"/>
      <c r="AO134" s="381"/>
      <c r="AP134" s="381"/>
      <c r="AQ134" s="381"/>
      <c r="AR134" s="381"/>
      <c r="AS134" s="381"/>
      <c r="AT134" s="381"/>
      <c r="AU134" s="51"/>
      <c r="AV134" s="38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</row>
    <row r="135" ht="15.7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  <c r="Y135" s="381"/>
      <c r="Z135" s="381"/>
      <c r="AA135" s="381"/>
      <c r="AB135" s="381"/>
      <c r="AC135" s="381"/>
      <c r="AD135" s="381"/>
      <c r="AE135" s="381"/>
      <c r="AF135" s="381"/>
      <c r="AG135" s="381"/>
      <c r="AH135" s="381"/>
      <c r="AI135" s="381"/>
      <c r="AJ135" s="381"/>
      <c r="AK135" s="381"/>
      <c r="AL135" s="381"/>
      <c r="AM135" s="381"/>
      <c r="AN135" s="381"/>
      <c r="AO135" s="381"/>
      <c r="AP135" s="381"/>
      <c r="AQ135" s="381"/>
      <c r="AR135" s="381"/>
      <c r="AS135" s="381"/>
      <c r="AT135" s="381"/>
      <c r="AU135" s="51"/>
      <c r="AV135" s="38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</row>
    <row r="136" ht="15.7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  <c r="Y136" s="381"/>
      <c r="Z136" s="381"/>
      <c r="AA136" s="381"/>
      <c r="AB136" s="381"/>
      <c r="AC136" s="381"/>
      <c r="AD136" s="381"/>
      <c r="AE136" s="381"/>
      <c r="AF136" s="381"/>
      <c r="AG136" s="381"/>
      <c r="AH136" s="381"/>
      <c r="AI136" s="381"/>
      <c r="AJ136" s="381"/>
      <c r="AK136" s="381"/>
      <c r="AL136" s="381"/>
      <c r="AM136" s="381"/>
      <c r="AN136" s="381"/>
      <c r="AO136" s="381"/>
      <c r="AP136" s="381"/>
      <c r="AQ136" s="381"/>
      <c r="AR136" s="381"/>
      <c r="AS136" s="381"/>
      <c r="AT136" s="381"/>
      <c r="AU136" s="51"/>
      <c r="AV136" s="38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</row>
    <row r="137" ht="15.7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  <c r="Y137" s="381"/>
      <c r="Z137" s="381"/>
      <c r="AA137" s="381"/>
      <c r="AB137" s="381"/>
      <c r="AC137" s="381"/>
      <c r="AD137" s="381"/>
      <c r="AE137" s="381"/>
      <c r="AF137" s="381"/>
      <c r="AG137" s="381"/>
      <c r="AH137" s="381"/>
      <c r="AI137" s="381"/>
      <c r="AJ137" s="381"/>
      <c r="AK137" s="381"/>
      <c r="AL137" s="381"/>
      <c r="AM137" s="381"/>
      <c r="AN137" s="381"/>
      <c r="AO137" s="381"/>
      <c r="AP137" s="381"/>
      <c r="AQ137" s="381"/>
      <c r="AR137" s="381"/>
      <c r="AS137" s="381"/>
      <c r="AT137" s="381"/>
      <c r="AU137" s="51"/>
      <c r="AV137" s="38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</row>
    <row r="138" ht="15.7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  <c r="Y138" s="381"/>
      <c r="Z138" s="381"/>
      <c r="AA138" s="381"/>
      <c r="AB138" s="381"/>
      <c r="AC138" s="381"/>
      <c r="AD138" s="381"/>
      <c r="AE138" s="381"/>
      <c r="AF138" s="381"/>
      <c r="AG138" s="381"/>
      <c r="AH138" s="381"/>
      <c r="AI138" s="381"/>
      <c r="AJ138" s="381"/>
      <c r="AK138" s="381"/>
      <c r="AL138" s="381"/>
      <c r="AM138" s="381"/>
      <c r="AN138" s="381"/>
      <c r="AO138" s="381"/>
      <c r="AP138" s="381"/>
      <c r="AQ138" s="381"/>
      <c r="AR138" s="381"/>
      <c r="AS138" s="381"/>
      <c r="AT138" s="381"/>
      <c r="AU138" s="51"/>
      <c r="AV138" s="38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</row>
    <row r="139" ht="15.7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  <c r="Y139" s="381"/>
      <c r="Z139" s="381"/>
      <c r="AA139" s="381"/>
      <c r="AB139" s="381"/>
      <c r="AC139" s="381"/>
      <c r="AD139" s="381"/>
      <c r="AE139" s="381"/>
      <c r="AF139" s="381"/>
      <c r="AG139" s="381"/>
      <c r="AH139" s="381"/>
      <c r="AI139" s="381"/>
      <c r="AJ139" s="381"/>
      <c r="AK139" s="381"/>
      <c r="AL139" s="381"/>
      <c r="AM139" s="381"/>
      <c r="AN139" s="381"/>
      <c r="AO139" s="381"/>
      <c r="AP139" s="381"/>
      <c r="AQ139" s="381"/>
      <c r="AR139" s="381"/>
      <c r="AS139" s="381"/>
      <c r="AT139" s="381"/>
      <c r="AU139" s="51"/>
      <c r="AV139" s="38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</row>
    <row r="140" ht="15.7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  <c r="Y140" s="381"/>
      <c r="Z140" s="381"/>
      <c r="AA140" s="381"/>
      <c r="AB140" s="381"/>
      <c r="AC140" s="381"/>
      <c r="AD140" s="381"/>
      <c r="AE140" s="381"/>
      <c r="AF140" s="381"/>
      <c r="AG140" s="381"/>
      <c r="AH140" s="381"/>
      <c r="AI140" s="381"/>
      <c r="AJ140" s="381"/>
      <c r="AK140" s="381"/>
      <c r="AL140" s="381"/>
      <c r="AM140" s="381"/>
      <c r="AN140" s="381"/>
      <c r="AO140" s="381"/>
      <c r="AP140" s="381"/>
      <c r="AQ140" s="381"/>
      <c r="AR140" s="381"/>
      <c r="AS140" s="381"/>
      <c r="AT140" s="381"/>
      <c r="AU140" s="51"/>
      <c r="AV140" s="38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</row>
    <row r="141" ht="15.7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  <c r="Y141" s="381"/>
      <c r="Z141" s="381"/>
      <c r="AA141" s="381"/>
      <c r="AB141" s="381"/>
      <c r="AC141" s="381"/>
      <c r="AD141" s="381"/>
      <c r="AE141" s="381"/>
      <c r="AF141" s="381"/>
      <c r="AG141" s="381"/>
      <c r="AH141" s="381"/>
      <c r="AI141" s="381"/>
      <c r="AJ141" s="381"/>
      <c r="AK141" s="381"/>
      <c r="AL141" s="381"/>
      <c r="AM141" s="381"/>
      <c r="AN141" s="381"/>
      <c r="AO141" s="381"/>
      <c r="AP141" s="381"/>
      <c r="AQ141" s="381"/>
      <c r="AR141" s="381"/>
      <c r="AS141" s="381"/>
      <c r="AT141" s="381"/>
      <c r="AU141" s="51"/>
      <c r="AV141" s="38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</row>
    <row r="142" ht="15.7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  <c r="Y142" s="381"/>
      <c r="Z142" s="381"/>
      <c r="AA142" s="381"/>
      <c r="AB142" s="381"/>
      <c r="AC142" s="381"/>
      <c r="AD142" s="381"/>
      <c r="AE142" s="381"/>
      <c r="AF142" s="381"/>
      <c r="AG142" s="381"/>
      <c r="AH142" s="381"/>
      <c r="AI142" s="381"/>
      <c r="AJ142" s="381"/>
      <c r="AK142" s="381"/>
      <c r="AL142" s="381"/>
      <c r="AM142" s="381"/>
      <c r="AN142" s="381"/>
      <c r="AO142" s="381"/>
      <c r="AP142" s="381"/>
      <c r="AQ142" s="381"/>
      <c r="AR142" s="381"/>
      <c r="AS142" s="381"/>
      <c r="AT142" s="381"/>
      <c r="AU142" s="51"/>
      <c r="AV142" s="38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</row>
    <row r="143" ht="15.7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  <c r="Y143" s="381"/>
      <c r="Z143" s="381"/>
      <c r="AA143" s="381"/>
      <c r="AB143" s="381"/>
      <c r="AC143" s="381"/>
      <c r="AD143" s="381"/>
      <c r="AE143" s="381"/>
      <c r="AF143" s="381"/>
      <c r="AG143" s="381"/>
      <c r="AH143" s="381"/>
      <c r="AI143" s="381"/>
      <c r="AJ143" s="381"/>
      <c r="AK143" s="381"/>
      <c r="AL143" s="381"/>
      <c r="AM143" s="381"/>
      <c r="AN143" s="381"/>
      <c r="AO143" s="381"/>
      <c r="AP143" s="381"/>
      <c r="AQ143" s="381"/>
      <c r="AR143" s="381"/>
      <c r="AS143" s="381"/>
      <c r="AT143" s="381"/>
      <c r="AU143" s="51"/>
      <c r="AV143" s="38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</row>
    <row r="144" ht="15.7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  <c r="Y144" s="381"/>
      <c r="Z144" s="381"/>
      <c r="AA144" s="381"/>
      <c r="AB144" s="381"/>
      <c r="AC144" s="381"/>
      <c r="AD144" s="381"/>
      <c r="AE144" s="381"/>
      <c r="AF144" s="381"/>
      <c r="AG144" s="381"/>
      <c r="AH144" s="381"/>
      <c r="AI144" s="381"/>
      <c r="AJ144" s="381"/>
      <c r="AK144" s="381"/>
      <c r="AL144" s="381"/>
      <c r="AM144" s="381"/>
      <c r="AN144" s="381"/>
      <c r="AO144" s="381"/>
      <c r="AP144" s="381"/>
      <c r="AQ144" s="381"/>
      <c r="AR144" s="381"/>
      <c r="AS144" s="381"/>
      <c r="AT144" s="381"/>
      <c r="AU144" s="51"/>
      <c r="AV144" s="38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</row>
    <row r="145" ht="15.7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  <c r="Y145" s="381"/>
      <c r="Z145" s="381"/>
      <c r="AA145" s="381"/>
      <c r="AB145" s="381"/>
      <c r="AC145" s="381"/>
      <c r="AD145" s="381"/>
      <c r="AE145" s="381"/>
      <c r="AF145" s="381"/>
      <c r="AG145" s="381"/>
      <c r="AH145" s="381"/>
      <c r="AI145" s="381"/>
      <c r="AJ145" s="381"/>
      <c r="AK145" s="381"/>
      <c r="AL145" s="381"/>
      <c r="AM145" s="381"/>
      <c r="AN145" s="381"/>
      <c r="AO145" s="381"/>
      <c r="AP145" s="381"/>
      <c r="AQ145" s="381"/>
      <c r="AR145" s="381"/>
      <c r="AS145" s="381"/>
      <c r="AT145" s="381"/>
      <c r="AU145" s="51"/>
      <c r="AV145" s="38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</row>
    <row r="146" ht="15.7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  <c r="Y146" s="381"/>
      <c r="Z146" s="381"/>
      <c r="AA146" s="381"/>
      <c r="AB146" s="381"/>
      <c r="AC146" s="381"/>
      <c r="AD146" s="381"/>
      <c r="AE146" s="381"/>
      <c r="AF146" s="381"/>
      <c r="AG146" s="381"/>
      <c r="AH146" s="381"/>
      <c r="AI146" s="381"/>
      <c r="AJ146" s="381"/>
      <c r="AK146" s="381"/>
      <c r="AL146" s="381"/>
      <c r="AM146" s="381"/>
      <c r="AN146" s="381"/>
      <c r="AO146" s="381"/>
      <c r="AP146" s="381"/>
      <c r="AQ146" s="381"/>
      <c r="AR146" s="381"/>
      <c r="AS146" s="381"/>
      <c r="AT146" s="381"/>
      <c r="AU146" s="51"/>
      <c r="AV146" s="38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</row>
    <row r="147" ht="15.7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  <c r="Y147" s="381"/>
      <c r="Z147" s="381"/>
      <c r="AA147" s="381"/>
      <c r="AB147" s="381"/>
      <c r="AC147" s="381"/>
      <c r="AD147" s="381"/>
      <c r="AE147" s="381"/>
      <c r="AF147" s="381"/>
      <c r="AG147" s="381"/>
      <c r="AH147" s="381"/>
      <c r="AI147" s="381"/>
      <c r="AJ147" s="381"/>
      <c r="AK147" s="381"/>
      <c r="AL147" s="381"/>
      <c r="AM147" s="381"/>
      <c r="AN147" s="381"/>
      <c r="AO147" s="381"/>
      <c r="AP147" s="381"/>
      <c r="AQ147" s="381"/>
      <c r="AR147" s="381"/>
      <c r="AS147" s="381"/>
      <c r="AT147" s="381"/>
      <c r="AU147" s="51"/>
      <c r="AV147" s="38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</row>
    <row r="148" ht="15.7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  <c r="Y148" s="381"/>
      <c r="Z148" s="381"/>
      <c r="AA148" s="381"/>
      <c r="AB148" s="381"/>
      <c r="AC148" s="381"/>
      <c r="AD148" s="381"/>
      <c r="AE148" s="381"/>
      <c r="AF148" s="381"/>
      <c r="AG148" s="381"/>
      <c r="AH148" s="381"/>
      <c r="AI148" s="381"/>
      <c r="AJ148" s="381"/>
      <c r="AK148" s="381"/>
      <c r="AL148" s="381"/>
      <c r="AM148" s="381"/>
      <c r="AN148" s="381"/>
      <c r="AO148" s="381"/>
      <c r="AP148" s="381"/>
      <c r="AQ148" s="381"/>
      <c r="AR148" s="381"/>
      <c r="AS148" s="381"/>
      <c r="AT148" s="381"/>
      <c r="AU148" s="51"/>
      <c r="AV148" s="38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</row>
    <row r="149" ht="15.7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  <c r="Y149" s="381"/>
      <c r="Z149" s="381"/>
      <c r="AA149" s="381"/>
      <c r="AB149" s="381"/>
      <c r="AC149" s="381"/>
      <c r="AD149" s="381"/>
      <c r="AE149" s="381"/>
      <c r="AF149" s="381"/>
      <c r="AG149" s="381"/>
      <c r="AH149" s="381"/>
      <c r="AI149" s="381"/>
      <c r="AJ149" s="381"/>
      <c r="AK149" s="381"/>
      <c r="AL149" s="381"/>
      <c r="AM149" s="381"/>
      <c r="AN149" s="381"/>
      <c r="AO149" s="381"/>
      <c r="AP149" s="381"/>
      <c r="AQ149" s="381"/>
      <c r="AR149" s="381"/>
      <c r="AS149" s="381"/>
      <c r="AT149" s="381"/>
      <c r="AU149" s="51"/>
      <c r="AV149" s="38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</row>
    <row r="150" ht="15.7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  <c r="Y150" s="381"/>
      <c r="Z150" s="381"/>
      <c r="AA150" s="381"/>
      <c r="AB150" s="381"/>
      <c r="AC150" s="381"/>
      <c r="AD150" s="381"/>
      <c r="AE150" s="381"/>
      <c r="AF150" s="381"/>
      <c r="AG150" s="381"/>
      <c r="AH150" s="381"/>
      <c r="AI150" s="381"/>
      <c r="AJ150" s="381"/>
      <c r="AK150" s="381"/>
      <c r="AL150" s="381"/>
      <c r="AM150" s="381"/>
      <c r="AN150" s="381"/>
      <c r="AO150" s="381"/>
      <c r="AP150" s="381"/>
      <c r="AQ150" s="381"/>
      <c r="AR150" s="381"/>
      <c r="AS150" s="381"/>
      <c r="AT150" s="381"/>
      <c r="AU150" s="51"/>
      <c r="AV150" s="38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</row>
    <row r="151" ht="15.7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381"/>
      <c r="Z151" s="381"/>
      <c r="AA151" s="381"/>
      <c r="AB151" s="381"/>
      <c r="AC151" s="381"/>
      <c r="AD151" s="381"/>
      <c r="AE151" s="381"/>
      <c r="AF151" s="381"/>
      <c r="AG151" s="381"/>
      <c r="AH151" s="381"/>
      <c r="AI151" s="381"/>
      <c r="AJ151" s="381"/>
      <c r="AK151" s="381"/>
      <c r="AL151" s="381"/>
      <c r="AM151" s="381"/>
      <c r="AN151" s="381"/>
      <c r="AO151" s="381"/>
      <c r="AP151" s="381"/>
      <c r="AQ151" s="381"/>
      <c r="AR151" s="381"/>
      <c r="AS151" s="381"/>
      <c r="AT151" s="381"/>
      <c r="AU151" s="51"/>
      <c r="AV151" s="38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</row>
    <row r="152" ht="15.7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  <c r="Y152" s="381"/>
      <c r="Z152" s="381"/>
      <c r="AA152" s="381"/>
      <c r="AB152" s="381"/>
      <c r="AC152" s="381"/>
      <c r="AD152" s="381"/>
      <c r="AE152" s="381"/>
      <c r="AF152" s="381"/>
      <c r="AG152" s="381"/>
      <c r="AH152" s="381"/>
      <c r="AI152" s="381"/>
      <c r="AJ152" s="381"/>
      <c r="AK152" s="381"/>
      <c r="AL152" s="381"/>
      <c r="AM152" s="381"/>
      <c r="AN152" s="381"/>
      <c r="AO152" s="381"/>
      <c r="AP152" s="381"/>
      <c r="AQ152" s="381"/>
      <c r="AR152" s="381"/>
      <c r="AS152" s="381"/>
      <c r="AT152" s="381"/>
      <c r="AU152" s="51"/>
      <c r="AV152" s="38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</row>
    <row r="153" ht="15.7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  <c r="Y153" s="381"/>
      <c r="Z153" s="381"/>
      <c r="AA153" s="381"/>
      <c r="AB153" s="381"/>
      <c r="AC153" s="381"/>
      <c r="AD153" s="381"/>
      <c r="AE153" s="381"/>
      <c r="AF153" s="381"/>
      <c r="AG153" s="381"/>
      <c r="AH153" s="381"/>
      <c r="AI153" s="381"/>
      <c r="AJ153" s="381"/>
      <c r="AK153" s="381"/>
      <c r="AL153" s="381"/>
      <c r="AM153" s="381"/>
      <c r="AN153" s="381"/>
      <c r="AO153" s="381"/>
      <c r="AP153" s="381"/>
      <c r="AQ153" s="381"/>
      <c r="AR153" s="381"/>
      <c r="AS153" s="381"/>
      <c r="AT153" s="381"/>
      <c r="AU153" s="51"/>
      <c r="AV153" s="38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</row>
    <row r="154" ht="15.7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381"/>
      <c r="Z154" s="381"/>
      <c r="AA154" s="381"/>
      <c r="AB154" s="381"/>
      <c r="AC154" s="381"/>
      <c r="AD154" s="381"/>
      <c r="AE154" s="381"/>
      <c r="AF154" s="381"/>
      <c r="AG154" s="381"/>
      <c r="AH154" s="381"/>
      <c r="AI154" s="381"/>
      <c r="AJ154" s="381"/>
      <c r="AK154" s="381"/>
      <c r="AL154" s="381"/>
      <c r="AM154" s="381"/>
      <c r="AN154" s="381"/>
      <c r="AO154" s="381"/>
      <c r="AP154" s="381"/>
      <c r="AQ154" s="381"/>
      <c r="AR154" s="381"/>
      <c r="AS154" s="381"/>
      <c r="AT154" s="381"/>
      <c r="AU154" s="51"/>
      <c r="AV154" s="38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</row>
    <row r="155" ht="15.7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  <c r="Y155" s="381"/>
      <c r="Z155" s="381"/>
      <c r="AA155" s="381"/>
      <c r="AB155" s="381"/>
      <c r="AC155" s="381"/>
      <c r="AD155" s="381"/>
      <c r="AE155" s="381"/>
      <c r="AF155" s="381"/>
      <c r="AG155" s="381"/>
      <c r="AH155" s="381"/>
      <c r="AI155" s="381"/>
      <c r="AJ155" s="381"/>
      <c r="AK155" s="381"/>
      <c r="AL155" s="381"/>
      <c r="AM155" s="381"/>
      <c r="AN155" s="381"/>
      <c r="AO155" s="381"/>
      <c r="AP155" s="381"/>
      <c r="AQ155" s="381"/>
      <c r="AR155" s="381"/>
      <c r="AS155" s="381"/>
      <c r="AT155" s="381"/>
      <c r="AU155" s="51"/>
      <c r="AV155" s="38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</row>
    <row r="156" ht="15.7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  <c r="Y156" s="381"/>
      <c r="Z156" s="381"/>
      <c r="AA156" s="381"/>
      <c r="AB156" s="381"/>
      <c r="AC156" s="381"/>
      <c r="AD156" s="381"/>
      <c r="AE156" s="381"/>
      <c r="AF156" s="381"/>
      <c r="AG156" s="381"/>
      <c r="AH156" s="381"/>
      <c r="AI156" s="381"/>
      <c r="AJ156" s="381"/>
      <c r="AK156" s="381"/>
      <c r="AL156" s="381"/>
      <c r="AM156" s="381"/>
      <c r="AN156" s="381"/>
      <c r="AO156" s="381"/>
      <c r="AP156" s="381"/>
      <c r="AQ156" s="381"/>
      <c r="AR156" s="381"/>
      <c r="AS156" s="381"/>
      <c r="AT156" s="381"/>
      <c r="AU156" s="51"/>
      <c r="AV156" s="38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</row>
    <row r="157" ht="15.7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  <c r="Y157" s="381"/>
      <c r="Z157" s="381"/>
      <c r="AA157" s="381"/>
      <c r="AB157" s="381"/>
      <c r="AC157" s="381"/>
      <c r="AD157" s="381"/>
      <c r="AE157" s="381"/>
      <c r="AF157" s="381"/>
      <c r="AG157" s="381"/>
      <c r="AH157" s="381"/>
      <c r="AI157" s="381"/>
      <c r="AJ157" s="381"/>
      <c r="AK157" s="381"/>
      <c r="AL157" s="381"/>
      <c r="AM157" s="381"/>
      <c r="AN157" s="381"/>
      <c r="AO157" s="381"/>
      <c r="AP157" s="381"/>
      <c r="AQ157" s="381"/>
      <c r="AR157" s="381"/>
      <c r="AS157" s="381"/>
      <c r="AT157" s="381"/>
      <c r="AU157" s="51"/>
      <c r="AV157" s="38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</row>
    <row r="158" ht="15.7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  <c r="Y158" s="381"/>
      <c r="Z158" s="381"/>
      <c r="AA158" s="381"/>
      <c r="AB158" s="381"/>
      <c r="AC158" s="381"/>
      <c r="AD158" s="381"/>
      <c r="AE158" s="381"/>
      <c r="AF158" s="381"/>
      <c r="AG158" s="381"/>
      <c r="AH158" s="381"/>
      <c r="AI158" s="381"/>
      <c r="AJ158" s="381"/>
      <c r="AK158" s="381"/>
      <c r="AL158" s="381"/>
      <c r="AM158" s="381"/>
      <c r="AN158" s="381"/>
      <c r="AO158" s="381"/>
      <c r="AP158" s="381"/>
      <c r="AQ158" s="381"/>
      <c r="AR158" s="381"/>
      <c r="AS158" s="381"/>
      <c r="AT158" s="381"/>
      <c r="AU158" s="51"/>
      <c r="AV158" s="38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</row>
    <row r="159" ht="15.7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  <c r="Y159" s="381"/>
      <c r="Z159" s="381"/>
      <c r="AA159" s="381"/>
      <c r="AB159" s="381"/>
      <c r="AC159" s="381"/>
      <c r="AD159" s="381"/>
      <c r="AE159" s="381"/>
      <c r="AF159" s="381"/>
      <c r="AG159" s="381"/>
      <c r="AH159" s="381"/>
      <c r="AI159" s="381"/>
      <c r="AJ159" s="381"/>
      <c r="AK159" s="381"/>
      <c r="AL159" s="381"/>
      <c r="AM159" s="381"/>
      <c r="AN159" s="381"/>
      <c r="AO159" s="381"/>
      <c r="AP159" s="381"/>
      <c r="AQ159" s="381"/>
      <c r="AR159" s="381"/>
      <c r="AS159" s="381"/>
      <c r="AT159" s="381"/>
      <c r="AU159" s="51"/>
      <c r="AV159" s="38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</row>
    <row r="160" ht="15.7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  <c r="Y160" s="381"/>
      <c r="Z160" s="381"/>
      <c r="AA160" s="381"/>
      <c r="AB160" s="381"/>
      <c r="AC160" s="381"/>
      <c r="AD160" s="381"/>
      <c r="AE160" s="381"/>
      <c r="AF160" s="381"/>
      <c r="AG160" s="381"/>
      <c r="AH160" s="381"/>
      <c r="AI160" s="381"/>
      <c r="AJ160" s="381"/>
      <c r="AK160" s="381"/>
      <c r="AL160" s="381"/>
      <c r="AM160" s="381"/>
      <c r="AN160" s="381"/>
      <c r="AO160" s="381"/>
      <c r="AP160" s="381"/>
      <c r="AQ160" s="381"/>
      <c r="AR160" s="381"/>
      <c r="AS160" s="381"/>
      <c r="AT160" s="381"/>
      <c r="AU160" s="51"/>
      <c r="AV160" s="38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</row>
    <row r="161" ht="15.7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  <c r="Y161" s="381"/>
      <c r="Z161" s="381"/>
      <c r="AA161" s="381"/>
      <c r="AB161" s="381"/>
      <c r="AC161" s="381"/>
      <c r="AD161" s="381"/>
      <c r="AE161" s="381"/>
      <c r="AF161" s="381"/>
      <c r="AG161" s="381"/>
      <c r="AH161" s="381"/>
      <c r="AI161" s="381"/>
      <c r="AJ161" s="381"/>
      <c r="AK161" s="381"/>
      <c r="AL161" s="381"/>
      <c r="AM161" s="381"/>
      <c r="AN161" s="381"/>
      <c r="AO161" s="381"/>
      <c r="AP161" s="381"/>
      <c r="AQ161" s="381"/>
      <c r="AR161" s="381"/>
      <c r="AS161" s="381"/>
      <c r="AT161" s="381"/>
      <c r="AU161" s="51"/>
      <c r="AV161" s="38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</row>
    <row r="162" ht="15.7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  <c r="Y162" s="381"/>
      <c r="Z162" s="381"/>
      <c r="AA162" s="381"/>
      <c r="AB162" s="381"/>
      <c r="AC162" s="381"/>
      <c r="AD162" s="381"/>
      <c r="AE162" s="381"/>
      <c r="AF162" s="381"/>
      <c r="AG162" s="381"/>
      <c r="AH162" s="381"/>
      <c r="AI162" s="381"/>
      <c r="AJ162" s="381"/>
      <c r="AK162" s="381"/>
      <c r="AL162" s="381"/>
      <c r="AM162" s="381"/>
      <c r="AN162" s="381"/>
      <c r="AO162" s="381"/>
      <c r="AP162" s="381"/>
      <c r="AQ162" s="381"/>
      <c r="AR162" s="381"/>
      <c r="AS162" s="381"/>
      <c r="AT162" s="381"/>
      <c r="AU162" s="51"/>
      <c r="AV162" s="38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</row>
    <row r="163" ht="15.7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  <c r="Y163" s="381"/>
      <c r="Z163" s="381"/>
      <c r="AA163" s="381"/>
      <c r="AB163" s="381"/>
      <c r="AC163" s="381"/>
      <c r="AD163" s="381"/>
      <c r="AE163" s="381"/>
      <c r="AF163" s="381"/>
      <c r="AG163" s="381"/>
      <c r="AH163" s="381"/>
      <c r="AI163" s="381"/>
      <c r="AJ163" s="381"/>
      <c r="AK163" s="381"/>
      <c r="AL163" s="381"/>
      <c r="AM163" s="381"/>
      <c r="AN163" s="381"/>
      <c r="AO163" s="381"/>
      <c r="AP163" s="381"/>
      <c r="AQ163" s="381"/>
      <c r="AR163" s="381"/>
      <c r="AS163" s="381"/>
      <c r="AT163" s="381"/>
      <c r="AU163" s="51"/>
      <c r="AV163" s="38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</row>
    <row r="164" ht="15.7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  <c r="Y164" s="381"/>
      <c r="Z164" s="381"/>
      <c r="AA164" s="381"/>
      <c r="AB164" s="381"/>
      <c r="AC164" s="381"/>
      <c r="AD164" s="381"/>
      <c r="AE164" s="381"/>
      <c r="AF164" s="381"/>
      <c r="AG164" s="381"/>
      <c r="AH164" s="381"/>
      <c r="AI164" s="381"/>
      <c r="AJ164" s="381"/>
      <c r="AK164" s="381"/>
      <c r="AL164" s="381"/>
      <c r="AM164" s="381"/>
      <c r="AN164" s="381"/>
      <c r="AO164" s="381"/>
      <c r="AP164" s="381"/>
      <c r="AQ164" s="381"/>
      <c r="AR164" s="381"/>
      <c r="AS164" s="381"/>
      <c r="AT164" s="381"/>
      <c r="AU164" s="51"/>
      <c r="AV164" s="38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</row>
    <row r="165" ht="15.7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  <c r="Y165" s="381"/>
      <c r="Z165" s="381"/>
      <c r="AA165" s="381"/>
      <c r="AB165" s="381"/>
      <c r="AC165" s="381"/>
      <c r="AD165" s="381"/>
      <c r="AE165" s="381"/>
      <c r="AF165" s="381"/>
      <c r="AG165" s="381"/>
      <c r="AH165" s="381"/>
      <c r="AI165" s="381"/>
      <c r="AJ165" s="381"/>
      <c r="AK165" s="381"/>
      <c r="AL165" s="381"/>
      <c r="AM165" s="381"/>
      <c r="AN165" s="381"/>
      <c r="AO165" s="381"/>
      <c r="AP165" s="381"/>
      <c r="AQ165" s="381"/>
      <c r="AR165" s="381"/>
      <c r="AS165" s="381"/>
      <c r="AT165" s="381"/>
      <c r="AU165" s="51"/>
      <c r="AV165" s="38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</row>
    <row r="166" ht="15.7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381"/>
      <c r="Z166" s="381"/>
      <c r="AA166" s="381"/>
      <c r="AB166" s="381"/>
      <c r="AC166" s="381"/>
      <c r="AD166" s="381"/>
      <c r="AE166" s="381"/>
      <c r="AF166" s="381"/>
      <c r="AG166" s="381"/>
      <c r="AH166" s="381"/>
      <c r="AI166" s="381"/>
      <c r="AJ166" s="381"/>
      <c r="AK166" s="381"/>
      <c r="AL166" s="381"/>
      <c r="AM166" s="381"/>
      <c r="AN166" s="381"/>
      <c r="AO166" s="381"/>
      <c r="AP166" s="381"/>
      <c r="AQ166" s="381"/>
      <c r="AR166" s="381"/>
      <c r="AS166" s="381"/>
      <c r="AT166" s="381"/>
      <c r="AU166" s="51"/>
      <c r="AV166" s="38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</row>
    <row r="167" ht="15.7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381"/>
      <c r="Z167" s="381"/>
      <c r="AA167" s="381"/>
      <c r="AB167" s="381"/>
      <c r="AC167" s="381"/>
      <c r="AD167" s="381"/>
      <c r="AE167" s="381"/>
      <c r="AF167" s="381"/>
      <c r="AG167" s="381"/>
      <c r="AH167" s="381"/>
      <c r="AI167" s="381"/>
      <c r="AJ167" s="381"/>
      <c r="AK167" s="381"/>
      <c r="AL167" s="381"/>
      <c r="AM167" s="381"/>
      <c r="AN167" s="381"/>
      <c r="AO167" s="381"/>
      <c r="AP167" s="381"/>
      <c r="AQ167" s="381"/>
      <c r="AR167" s="381"/>
      <c r="AS167" s="381"/>
      <c r="AT167" s="381"/>
      <c r="AU167" s="51"/>
      <c r="AV167" s="38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</row>
    <row r="168" ht="15.7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  <c r="Y168" s="381"/>
      <c r="Z168" s="381"/>
      <c r="AA168" s="381"/>
      <c r="AB168" s="381"/>
      <c r="AC168" s="381"/>
      <c r="AD168" s="381"/>
      <c r="AE168" s="381"/>
      <c r="AF168" s="381"/>
      <c r="AG168" s="381"/>
      <c r="AH168" s="381"/>
      <c r="AI168" s="381"/>
      <c r="AJ168" s="381"/>
      <c r="AK168" s="381"/>
      <c r="AL168" s="381"/>
      <c r="AM168" s="381"/>
      <c r="AN168" s="381"/>
      <c r="AO168" s="381"/>
      <c r="AP168" s="381"/>
      <c r="AQ168" s="381"/>
      <c r="AR168" s="381"/>
      <c r="AS168" s="381"/>
      <c r="AT168" s="381"/>
      <c r="AU168" s="51"/>
      <c r="AV168" s="38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</row>
    <row r="169" ht="15.7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  <c r="Y169" s="381"/>
      <c r="Z169" s="381"/>
      <c r="AA169" s="381"/>
      <c r="AB169" s="381"/>
      <c r="AC169" s="381"/>
      <c r="AD169" s="381"/>
      <c r="AE169" s="381"/>
      <c r="AF169" s="381"/>
      <c r="AG169" s="381"/>
      <c r="AH169" s="381"/>
      <c r="AI169" s="381"/>
      <c r="AJ169" s="381"/>
      <c r="AK169" s="381"/>
      <c r="AL169" s="381"/>
      <c r="AM169" s="381"/>
      <c r="AN169" s="381"/>
      <c r="AO169" s="381"/>
      <c r="AP169" s="381"/>
      <c r="AQ169" s="381"/>
      <c r="AR169" s="381"/>
      <c r="AS169" s="381"/>
      <c r="AT169" s="381"/>
      <c r="AU169" s="51"/>
      <c r="AV169" s="38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</row>
    <row r="170" ht="15.7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  <c r="Y170" s="381"/>
      <c r="Z170" s="381"/>
      <c r="AA170" s="381"/>
      <c r="AB170" s="381"/>
      <c r="AC170" s="381"/>
      <c r="AD170" s="381"/>
      <c r="AE170" s="381"/>
      <c r="AF170" s="381"/>
      <c r="AG170" s="381"/>
      <c r="AH170" s="381"/>
      <c r="AI170" s="381"/>
      <c r="AJ170" s="381"/>
      <c r="AK170" s="381"/>
      <c r="AL170" s="381"/>
      <c r="AM170" s="381"/>
      <c r="AN170" s="381"/>
      <c r="AO170" s="381"/>
      <c r="AP170" s="381"/>
      <c r="AQ170" s="381"/>
      <c r="AR170" s="381"/>
      <c r="AS170" s="381"/>
      <c r="AT170" s="381"/>
      <c r="AU170" s="51"/>
      <c r="AV170" s="38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</row>
    <row r="171" ht="15.7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  <c r="Y171" s="381"/>
      <c r="Z171" s="381"/>
      <c r="AA171" s="381"/>
      <c r="AB171" s="381"/>
      <c r="AC171" s="381"/>
      <c r="AD171" s="381"/>
      <c r="AE171" s="381"/>
      <c r="AF171" s="381"/>
      <c r="AG171" s="381"/>
      <c r="AH171" s="381"/>
      <c r="AI171" s="381"/>
      <c r="AJ171" s="381"/>
      <c r="AK171" s="381"/>
      <c r="AL171" s="381"/>
      <c r="AM171" s="381"/>
      <c r="AN171" s="381"/>
      <c r="AO171" s="381"/>
      <c r="AP171" s="381"/>
      <c r="AQ171" s="381"/>
      <c r="AR171" s="381"/>
      <c r="AS171" s="381"/>
      <c r="AT171" s="381"/>
      <c r="AU171" s="51"/>
      <c r="AV171" s="38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</row>
    <row r="172" ht="15.7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  <c r="Y172" s="381"/>
      <c r="Z172" s="381"/>
      <c r="AA172" s="381"/>
      <c r="AB172" s="381"/>
      <c r="AC172" s="381"/>
      <c r="AD172" s="381"/>
      <c r="AE172" s="381"/>
      <c r="AF172" s="381"/>
      <c r="AG172" s="381"/>
      <c r="AH172" s="381"/>
      <c r="AI172" s="381"/>
      <c r="AJ172" s="381"/>
      <c r="AK172" s="381"/>
      <c r="AL172" s="381"/>
      <c r="AM172" s="381"/>
      <c r="AN172" s="381"/>
      <c r="AO172" s="381"/>
      <c r="AP172" s="381"/>
      <c r="AQ172" s="381"/>
      <c r="AR172" s="381"/>
      <c r="AS172" s="381"/>
      <c r="AT172" s="381"/>
      <c r="AU172" s="51"/>
      <c r="AV172" s="38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</row>
    <row r="173" ht="15.7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  <c r="Y173" s="381"/>
      <c r="Z173" s="381"/>
      <c r="AA173" s="381"/>
      <c r="AB173" s="381"/>
      <c r="AC173" s="381"/>
      <c r="AD173" s="381"/>
      <c r="AE173" s="381"/>
      <c r="AF173" s="381"/>
      <c r="AG173" s="381"/>
      <c r="AH173" s="381"/>
      <c r="AI173" s="381"/>
      <c r="AJ173" s="381"/>
      <c r="AK173" s="381"/>
      <c r="AL173" s="381"/>
      <c r="AM173" s="381"/>
      <c r="AN173" s="381"/>
      <c r="AO173" s="381"/>
      <c r="AP173" s="381"/>
      <c r="AQ173" s="381"/>
      <c r="AR173" s="381"/>
      <c r="AS173" s="381"/>
      <c r="AT173" s="381"/>
      <c r="AU173" s="51"/>
      <c r="AV173" s="38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</row>
    <row r="174" ht="15.7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  <c r="Y174" s="381"/>
      <c r="Z174" s="381"/>
      <c r="AA174" s="381"/>
      <c r="AB174" s="381"/>
      <c r="AC174" s="381"/>
      <c r="AD174" s="381"/>
      <c r="AE174" s="381"/>
      <c r="AF174" s="381"/>
      <c r="AG174" s="381"/>
      <c r="AH174" s="381"/>
      <c r="AI174" s="381"/>
      <c r="AJ174" s="381"/>
      <c r="AK174" s="381"/>
      <c r="AL174" s="381"/>
      <c r="AM174" s="381"/>
      <c r="AN174" s="381"/>
      <c r="AO174" s="381"/>
      <c r="AP174" s="381"/>
      <c r="AQ174" s="381"/>
      <c r="AR174" s="381"/>
      <c r="AS174" s="381"/>
      <c r="AT174" s="381"/>
      <c r="AU174" s="51"/>
      <c r="AV174" s="38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</row>
    <row r="175" ht="15.7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  <c r="Y175" s="381"/>
      <c r="Z175" s="381"/>
      <c r="AA175" s="381"/>
      <c r="AB175" s="381"/>
      <c r="AC175" s="381"/>
      <c r="AD175" s="381"/>
      <c r="AE175" s="381"/>
      <c r="AF175" s="381"/>
      <c r="AG175" s="381"/>
      <c r="AH175" s="381"/>
      <c r="AI175" s="381"/>
      <c r="AJ175" s="381"/>
      <c r="AK175" s="381"/>
      <c r="AL175" s="381"/>
      <c r="AM175" s="381"/>
      <c r="AN175" s="381"/>
      <c r="AO175" s="381"/>
      <c r="AP175" s="381"/>
      <c r="AQ175" s="381"/>
      <c r="AR175" s="381"/>
      <c r="AS175" s="381"/>
      <c r="AT175" s="381"/>
      <c r="AU175" s="51"/>
      <c r="AV175" s="38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</row>
    <row r="176" ht="15.7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  <c r="Y176" s="381"/>
      <c r="Z176" s="381"/>
      <c r="AA176" s="381"/>
      <c r="AB176" s="381"/>
      <c r="AC176" s="381"/>
      <c r="AD176" s="381"/>
      <c r="AE176" s="381"/>
      <c r="AF176" s="381"/>
      <c r="AG176" s="381"/>
      <c r="AH176" s="381"/>
      <c r="AI176" s="381"/>
      <c r="AJ176" s="381"/>
      <c r="AK176" s="381"/>
      <c r="AL176" s="381"/>
      <c r="AM176" s="381"/>
      <c r="AN176" s="381"/>
      <c r="AO176" s="381"/>
      <c r="AP176" s="381"/>
      <c r="AQ176" s="381"/>
      <c r="AR176" s="381"/>
      <c r="AS176" s="381"/>
      <c r="AT176" s="381"/>
      <c r="AU176" s="51"/>
      <c r="AV176" s="38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</row>
    <row r="177" ht="15.7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  <c r="Y177" s="381"/>
      <c r="Z177" s="381"/>
      <c r="AA177" s="381"/>
      <c r="AB177" s="381"/>
      <c r="AC177" s="381"/>
      <c r="AD177" s="381"/>
      <c r="AE177" s="381"/>
      <c r="AF177" s="381"/>
      <c r="AG177" s="381"/>
      <c r="AH177" s="381"/>
      <c r="AI177" s="381"/>
      <c r="AJ177" s="381"/>
      <c r="AK177" s="381"/>
      <c r="AL177" s="381"/>
      <c r="AM177" s="381"/>
      <c r="AN177" s="381"/>
      <c r="AO177" s="381"/>
      <c r="AP177" s="381"/>
      <c r="AQ177" s="381"/>
      <c r="AR177" s="381"/>
      <c r="AS177" s="381"/>
      <c r="AT177" s="381"/>
      <c r="AU177" s="51"/>
      <c r="AV177" s="38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</row>
    <row r="178" ht="15.7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  <c r="Y178" s="381"/>
      <c r="Z178" s="381"/>
      <c r="AA178" s="381"/>
      <c r="AB178" s="381"/>
      <c r="AC178" s="381"/>
      <c r="AD178" s="381"/>
      <c r="AE178" s="381"/>
      <c r="AF178" s="381"/>
      <c r="AG178" s="381"/>
      <c r="AH178" s="381"/>
      <c r="AI178" s="381"/>
      <c r="AJ178" s="381"/>
      <c r="AK178" s="381"/>
      <c r="AL178" s="381"/>
      <c r="AM178" s="381"/>
      <c r="AN178" s="381"/>
      <c r="AO178" s="381"/>
      <c r="AP178" s="381"/>
      <c r="AQ178" s="381"/>
      <c r="AR178" s="381"/>
      <c r="AS178" s="381"/>
      <c r="AT178" s="381"/>
      <c r="AU178" s="51"/>
      <c r="AV178" s="38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</row>
    <row r="179" ht="15.7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  <c r="Y179" s="381"/>
      <c r="Z179" s="381"/>
      <c r="AA179" s="381"/>
      <c r="AB179" s="381"/>
      <c r="AC179" s="381"/>
      <c r="AD179" s="381"/>
      <c r="AE179" s="381"/>
      <c r="AF179" s="381"/>
      <c r="AG179" s="381"/>
      <c r="AH179" s="381"/>
      <c r="AI179" s="381"/>
      <c r="AJ179" s="381"/>
      <c r="AK179" s="381"/>
      <c r="AL179" s="381"/>
      <c r="AM179" s="381"/>
      <c r="AN179" s="381"/>
      <c r="AO179" s="381"/>
      <c r="AP179" s="381"/>
      <c r="AQ179" s="381"/>
      <c r="AR179" s="381"/>
      <c r="AS179" s="381"/>
      <c r="AT179" s="381"/>
      <c r="AU179" s="51"/>
      <c r="AV179" s="38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</row>
    <row r="180" ht="15.7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  <c r="Y180" s="381"/>
      <c r="Z180" s="381"/>
      <c r="AA180" s="381"/>
      <c r="AB180" s="381"/>
      <c r="AC180" s="381"/>
      <c r="AD180" s="381"/>
      <c r="AE180" s="381"/>
      <c r="AF180" s="381"/>
      <c r="AG180" s="381"/>
      <c r="AH180" s="381"/>
      <c r="AI180" s="381"/>
      <c r="AJ180" s="381"/>
      <c r="AK180" s="381"/>
      <c r="AL180" s="381"/>
      <c r="AM180" s="381"/>
      <c r="AN180" s="381"/>
      <c r="AO180" s="381"/>
      <c r="AP180" s="381"/>
      <c r="AQ180" s="381"/>
      <c r="AR180" s="381"/>
      <c r="AS180" s="381"/>
      <c r="AT180" s="381"/>
      <c r="AU180" s="51"/>
      <c r="AV180" s="38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</row>
    <row r="181" ht="15.7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  <c r="Y181" s="381"/>
      <c r="Z181" s="381"/>
      <c r="AA181" s="381"/>
      <c r="AB181" s="381"/>
      <c r="AC181" s="381"/>
      <c r="AD181" s="381"/>
      <c r="AE181" s="381"/>
      <c r="AF181" s="381"/>
      <c r="AG181" s="381"/>
      <c r="AH181" s="381"/>
      <c r="AI181" s="381"/>
      <c r="AJ181" s="381"/>
      <c r="AK181" s="381"/>
      <c r="AL181" s="381"/>
      <c r="AM181" s="381"/>
      <c r="AN181" s="381"/>
      <c r="AO181" s="381"/>
      <c r="AP181" s="381"/>
      <c r="AQ181" s="381"/>
      <c r="AR181" s="381"/>
      <c r="AS181" s="381"/>
      <c r="AT181" s="381"/>
      <c r="AU181" s="51"/>
      <c r="AV181" s="38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</row>
    <row r="182" ht="15.7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  <c r="Y182" s="381"/>
      <c r="Z182" s="381"/>
      <c r="AA182" s="381"/>
      <c r="AB182" s="381"/>
      <c r="AC182" s="381"/>
      <c r="AD182" s="381"/>
      <c r="AE182" s="381"/>
      <c r="AF182" s="381"/>
      <c r="AG182" s="381"/>
      <c r="AH182" s="381"/>
      <c r="AI182" s="381"/>
      <c r="AJ182" s="381"/>
      <c r="AK182" s="381"/>
      <c r="AL182" s="381"/>
      <c r="AM182" s="381"/>
      <c r="AN182" s="381"/>
      <c r="AO182" s="381"/>
      <c r="AP182" s="381"/>
      <c r="AQ182" s="381"/>
      <c r="AR182" s="381"/>
      <c r="AS182" s="381"/>
      <c r="AT182" s="381"/>
      <c r="AU182" s="51"/>
      <c r="AV182" s="38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</row>
    <row r="183" ht="15.7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  <c r="Y183" s="381"/>
      <c r="Z183" s="381"/>
      <c r="AA183" s="381"/>
      <c r="AB183" s="381"/>
      <c r="AC183" s="381"/>
      <c r="AD183" s="381"/>
      <c r="AE183" s="381"/>
      <c r="AF183" s="381"/>
      <c r="AG183" s="381"/>
      <c r="AH183" s="381"/>
      <c r="AI183" s="381"/>
      <c r="AJ183" s="381"/>
      <c r="AK183" s="381"/>
      <c r="AL183" s="381"/>
      <c r="AM183" s="381"/>
      <c r="AN183" s="381"/>
      <c r="AO183" s="381"/>
      <c r="AP183" s="381"/>
      <c r="AQ183" s="381"/>
      <c r="AR183" s="381"/>
      <c r="AS183" s="381"/>
      <c r="AT183" s="381"/>
      <c r="AU183" s="51"/>
      <c r="AV183" s="38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</row>
    <row r="184" ht="15.7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  <c r="Y184" s="381"/>
      <c r="Z184" s="381"/>
      <c r="AA184" s="381"/>
      <c r="AB184" s="381"/>
      <c r="AC184" s="381"/>
      <c r="AD184" s="381"/>
      <c r="AE184" s="381"/>
      <c r="AF184" s="381"/>
      <c r="AG184" s="381"/>
      <c r="AH184" s="381"/>
      <c r="AI184" s="381"/>
      <c r="AJ184" s="381"/>
      <c r="AK184" s="381"/>
      <c r="AL184" s="381"/>
      <c r="AM184" s="381"/>
      <c r="AN184" s="381"/>
      <c r="AO184" s="381"/>
      <c r="AP184" s="381"/>
      <c r="AQ184" s="381"/>
      <c r="AR184" s="381"/>
      <c r="AS184" s="381"/>
      <c r="AT184" s="381"/>
      <c r="AU184" s="51"/>
      <c r="AV184" s="38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</row>
    <row r="185" ht="15.7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  <c r="Y185" s="381"/>
      <c r="Z185" s="381"/>
      <c r="AA185" s="381"/>
      <c r="AB185" s="381"/>
      <c r="AC185" s="381"/>
      <c r="AD185" s="381"/>
      <c r="AE185" s="381"/>
      <c r="AF185" s="381"/>
      <c r="AG185" s="381"/>
      <c r="AH185" s="381"/>
      <c r="AI185" s="381"/>
      <c r="AJ185" s="381"/>
      <c r="AK185" s="381"/>
      <c r="AL185" s="381"/>
      <c r="AM185" s="381"/>
      <c r="AN185" s="381"/>
      <c r="AO185" s="381"/>
      <c r="AP185" s="381"/>
      <c r="AQ185" s="381"/>
      <c r="AR185" s="381"/>
      <c r="AS185" s="381"/>
      <c r="AT185" s="381"/>
      <c r="AU185" s="51"/>
      <c r="AV185" s="38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</row>
    <row r="186" ht="15.7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  <c r="Y186" s="381"/>
      <c r="Z186" s="381"/>
      <c r="AA186" s="381"/>
      <c r="AB186" s="381"/>
      <c r="AC186" s="381"/>
      <c r="AD186" s="381"/>
      <c r="AE186" s="381"/>
      <c r="AF186" s="381"/>
      <c r="AG186" s="381"/>
      <c r="AH186" s="381"/>
      <c r="AI186" s="381"/>
      <c r="AJ186" s="381"/>
      <c r="AK186" s="381"/>
      <c r="AL186" s="381"/>
      <c r="AM186" s="381"/>
      <c r="AN186" s="381"/>
      <c r="AO186" s="381"/>
      <c r="AP186" s="381"/>
      <c r="AQ186" s="381"/>
      <c r="AR186" s="381"/>
      <c r="AS186" s="381"/>
      <c r="AT186" s="381"/>
      <c r="AU186" s="51"/>
      <c r="AV186" s="38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</row>
    <row r="187" ht="15.7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  <c r="AA187" s="381"/>
      <c r="AB187" s="381"/>
      <c r="AC187" s="381"/>
      <c r="AD187" s="381"/>
      <c r="AE187" s="381"/>
      <c r="AF187" s="381"/>
      <c r="AG187" s="381"/>
      <c r="AH187" s="381"/>
      <c r="AI187" s="381"/>
      <c r="AJ187" s="381"/>
      <c r="AK187" s="381"/>
      <c r="AL187" s="381"/>
      <c r="AM187" s="381"/>
      <c r="AN187" s="381"/>
      <c r="AO187" s="381"/>
      <c r="AP187" s="381"/>
      <c r="AQ187" s="381"/>
      <c r="AR187" s="381"/>
      <c r="AS187" s="381"/>
      <c r="AT187" s="381"/>
      <c r="AU187" s="51"/>
      <c r="AV187" s="38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</row>
    <row r="188" ht="15.7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  <c r="Y188" s="381"/>
      <c r="Z188" s="381"/>
      <c r="AA188" s="381"/>
      <c r="AB188" s="381"/>
      <c r="AC188" s="381"/>
      <c r="AD188" s="381"/>
      <c r="AE188" s="381"/>
      <c r="AF188" s="381"/>
      <c r="AG188" s="381"/>
      <c r="AH188" s="381"/>
      <c r="AI188" s="381"/>
      <c r="AJ188" s="381"/>
      <c r="AK188" s="381"/>
      <c r="AL188" s="381"/>
      <c r="AM188" s="381"/>
      <c r="AN188" s="381"/>
      <c r="AO188" s="381"/>
      <c r="AP188" s="381"/>
      <c r="AQ188" s="381"/>
      <c r="AR188" s="381"/>
      <c r="AS188" s="381"/>
      <c r="AT188" s="381"/>
      <c r="AU188" s="51"/>
      <c r="AV188" s="38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</row>
    <row r="189" ht="15.7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  <c r="Y189" s="381"/>
      <c r="Z189" s="381"/>
      <c r="AA189" s="381"/>
      <c r="AB189" s="381"/>
      <c r="AC189" s="381"/>
      <c r="AD189" s="381"/>
      <c r="AE189" s="381"/>
      <c r="AF189" s="381"/>
      <c r="AG189" s="381"/>
      <c r="AH189" s="381"/>
      <c r="AI189" s="381"/>
      <c r="AJ189" s="381"/>
      <c r="AK189" s="381"/>
      <c r="AL189" s="381"/>
      <c r="AM189" s="381"/>
      <c r="AN189" s="381"/>
      <c r="AO189" s="381"/>
      <c r="AP189" s="381"/>
      <c r="AQ189" s="381"/>
      <c r="AR189" s="381"/>
      <c r="AS189" s="381"/>
      <c r="AT189" s="381"/>
      <c r="AU189" s="51"/>
      <c r="AV189" s="38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</row>
    <row r="190" ht="15.7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  <c r="Y190" s="381"/>
      <c r="Z190" s="381"/>
      <c r="AA190" s="381"/>
      <c r="AB190" s="381"/>
      <c r="AC190" s="381"/>
      <c r="AD190" s="381"/>
      <c r="AE190" s="381"/>
      <c r="AF190" s="381"/>
      <c r="AG190" s="381"/>
      <c r="AH190" s="381"/>
      <c r="AI190" s="381"/>
      <c r="AJ190" s="381"/>
      <c r="AK190" s="381"/>
      <c r="AL190" s="381"/>
      <c r="AM190" s="381"/>
      <c r="AN190" s="381"/>
      <c r="AO190" s="381"/>
      <c r="AP190" s="381"/>
      <c r="AQ190" s="381"/>
      <c r="AR190" s="381"/>
      <c r="AS190" s="381"/>
      <c r="AT190" s="381"/>
      <c r="AU190" s="51"/>
      <c r="AV190" s="38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</row>
    <row r="191" ht="15.7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  <c r="Y191" s="381"/>
      <c r="Z191" s="381"/>
      <c r="AA191" s="381"/>
      <c r="AB191" s="381"/>
      <c r="AC191" s="381"/>
      <c r="AD191" s="381"/>
      <c r="AE191" s="381"/>
      <c r="AF191" s="381"/>
      <c r="AG191" s="381"/>
      <c r="AH191" s="381"/>
      <c r="AI191" s="381"/>
      <c r="AJ191" s="381"/>
      <c r="AK191" s="381"/>
      <c r="AL191" s="381"/>
      <c r="AM191" s="381"/>
      <c r="AN191" s="381"/>
      <c r="AO191" s="381"/>
      <c r="AP191" s="381"/>
      <c r="AQ191" s="381"/>
      <c r="AR191" s="381"/>
      <c r="AS191" s="381"/>
      <c r="AT191" s="381"/>
      <c r="AU191" s="51"/>
      <c r="AV191" s="38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</row>
    <row r="192" ht="15.7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  <c r="Y192" s="381"/>
      <c r="Z192" s="381"/>
      <c r="AA192" s="381"/>
      <c r="AB192" s="381"/>
      <c r="AC192" s="381"/>
      <c r="AD192" s="381"/>
      <c r="AE192" s="381"/>
      <c r="AF192" s="381"/>
      <c r="AG192" s="381"/>
      <c r="AH192" s="381"/>
      <c r="AI192" s="381"/>
      <c r="AJ192" s="381"/>
      <c r="AK192" s="381"/>
      <c r="AL192" s="381"/>
      <c r="AM192" s="381"/>
      <c r="AN192" s="381"/>
      <c r="AO192" s="381"/>
      <c r="AP192" s="381"/>
      <c r="AQ192" s="381"/>
      <c r="AR192" s="381"/>
      <c r="AS192" s="381"/>
      <c r="AT192" s="381"/>
      <c r="AU192" s="51"/>
      <c r="AV192" s="38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</row>
    <row r="193" ht="15.7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  <c r="Y193" s="381"/>
      <c r="Z193" s="381"/>
      <c r="AA193" s="381"/>
      <c r="AB193" s="381"/>
      <c r="AC193" s="381"/>
      <c r="AD193" s="381"/>
      <c r="AE193" s="381"/>
      <c r="AF193" s="381"/>
      <c r="AG193" s="381"/>
      <c r="AH193" s="381"/>
      <c r="AI193" s="381"/>
      <c r="AJ193" s="381"/>
      <c r="AK193" s="381"/>
      <c r="AL193" s="381"/>
      <c r="AM193" s="381"/>
      <c r="AN193" s="381"/>
      <c r="AO193" s="381"/>
      <c r="AP193" s="381"/>
      <c r="AQ193" s="381"/>
      <c r="AR193" s="381"/>
      <c r="AS193" s="381"/>
      <c r="AT193" s="381"/>
      <c r="AU193" s="51"/>
      <c r="AV193" s="38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</row>
    <row r="194" ht="15.7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  <c r="Y194" s="381"/>
      <c r="Z194" s="381"/>
      <c r="AA194" s="381"/>
      <c r="AB194" s="381"/>
      <c r="AC194" s="381"/>
      <c r="AD194" s="381"/>
      <c r="AE194" s="381"/>
      <c r="AF194" s="381"/>
      <c r="AG194" s="381"/>
      <c r="AH194" s="381"/>
      <c r="AI194" s="381"/>
      <c r="AJ194" s="381"/>
      <c r="AK194" s="381"/>
      <c r="AL194" s="381"/>
      <c r="AM194" s="381"/>
      <c r="AN194" s="381"/>
      <c r="AO194" s="381"/>
      <c r="AP194" s="381"/>
      <c r="AQ194" s="381"/>
      <c r="AR194" s="381"/>
      <c r="AS194" s="381"/>
      <c r="AT194" s="381"/>
      <c r="AU194" s="51"/>
      <c r="AV194" s="38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</row>
    <row r="195" ht="15.7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  <c r="Y195" s="381"/>
      <c r="Z195" s="381"/>
      <c r="AA195" s="381"/>
      <c r="AB195" s="381"/>
      <c r="AC195" s="381"/>
      <c r="AD195" s="381"/>
      <c r="AE195" s="381"/>
      <c r="AF195" s="381"/>
      <c r="AG195" s="381"/>
      <c r="AH195" s="381"/>
      <c r="AI195" s="381"/>
      <c r="AJ195" s="381"/>
      <c r="AK195" s="381"/>
      <c r="AL195" s="381"/>
      <c r="AM195" s="381"/>
      <c r="AN195" s="381"/>
      <c r="AO195" s="381"/>
      <c r="AP195" s="381"/>
      <c r="AQ195" s="381"/>
      <c r="AR195" s="381"/>
      <c r="AS195" s="381"/>
      <c r="AT195" s="381"/>
      <c r="AU195" s="51"/>
      <c r="AV195" s="38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</row>
    <row r="196" ht="15.7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  <c r="Y196" s="381"/>
      <c r="Z196" s="381"/>
      <c r="AA196" s="381"/>
      <c r="AB196" s="381"/>
      <c r="AC196" s="381"/>
      <c r="AD196" s="381"/>
      <c r="AE196" s="381"/>
      <c r="AF196" s="381"/>
      <c r="AG196" s="381"/>
      <c r="AH196" s="381"/>
      <c r="AI196" s="381"/>
      <c r="AJ196" s="381"/>
      <c r="AK196" s="381"/>
      <c r="AL196" s="381"/>
      <c r="AM196" s="381"/>
      <c r="AN196" s="381"/>
      <c r="AO196" s="381"/>
      <c r="AP196" s="381"/>
      <c r="AQ196" s="381"/>
      <c r="AR196" s="381"/>
      <c r="AS196" s="381"/>
      <c r="AT196" s="381"/>
      <c r="AU196" s="51"/>
      <c r="AV196" s="38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</row>
    <row r="197" ht="15.7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  <c r="Y197" s="381"/>
      <c r="Z197" s="381"/>
      <c r="AA197" s="381"/>
      <c r="AB197" s="381"/>
      <c r="AC197" s="381"/>
      <c r="AD197" s="381"/>
      <c r="AE197" s="381"/>
      <c r="AF197" s="381"/>
      <c r="AG197" s="381"/>
      <c r="AH197" s="381"/>
      <c r="AI197" s="381"/>
      <c r="AJ197" s="381"/>
      <c r="AK197" s="381"/>
      <c r="AL197" s="381"/>
      <c r="AM197" s="381"/>
      <c r="AN197" s="381"/>
      <c r="AO197" s="381"/>
      <c r="AP197" s="381"/>
      <c r="AQ197" s="381"/>
      <c r="AR197" s="381"/>
      <c r="AS197" s="381"/>
      <c r="AT197" s="381"/>
      <c r="AU197" s="51"/>
      <c r="AV197" s="38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</row>
    <row r="198" ht="15.7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  <c r="Y198" s="381"/>
      <c r="Z198" s="381"/>
      <c r="AA198" s="381"/>
      <c r="AB198" s="381"/>
      <c r="AC198" s="381"/>
      <c r="AD198" s="381"/>
      <c r="AE198" s="381"/>
      <c r="AF198" s="381"/>
      <c r="AG198" s="381"/>
      <c r="AH198" s="381"/>
      <c r="AI198" s="381"/>
      <c r="AJ198" s="381"/>
      <c r="AK198" s="381"/>
      <c r="AL198" s="381"/>
      <c r="AM198" s="381"/>
      <c r="AN198" s="381"/>
      <c r="AO198" s="381"/>
      <c r="AP198" s="381"/>
      <c r="AQ198" s="381"/>
      <c r="AR198" s="381"/>
      <c r="AS198" s="381"/>
      <c r="AT198" s="381"/>
      <c r="AU198" s="51"/>
      <c r="AV198" s="38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</row>
    <row r="199" ht="15.7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  <c r="Y199" s="381"/>
      <c r="Z199" s="381"/>
      <c r="AA199" s="381"/>
      <c r="AB199" s="381"/>
      <c r="AC199" s="381"/>
      <c r="AD199" s="381"/>
      <c r="AE199" s="381"/>
      <c r="AF199" s="381"/>
      <c r="AG199" s="381"/>
      <c r="AH199" s="381"/>
      <c r="AI199" s="381"/>
      <c r="AJ199" s="381"/>
      <c r="AK199" s="381"/>
      <c r="AL199" s="381"/>
      <c r="AM199" s="381"/>
      <c r="AN199" s="381"/>
      <c r="AO199" s="381"/>
      <c r="AP199" s="381"/>
      <c r="AQ199" s="381"/>
      <c r="AR199" s="381"/>
      <c r="AS199" s="381"/>
      <c r="AT199" s="381"/>
      <c r="AU199" s="51"/>
      <c r="AV199" s="38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</row>
    <row r="200" ht="15.7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  <c r="Y200" s="381"/>
      <c r="Z200" s="381"/>
      <c r="AA200" s="381"/>
      <c r="AB200" s="381"/>
      <c r="AC200" s="381"/>
      <c r="AD200" s="381"/>
      <c r="AE200" s="381"/>
      <c r="AF200" s="381"/>
      <c r="AG200" s="381"/>
      <c r="AH200" s="381"/>
      <c r="AI200" s="381"/>
      <c r="AJ200" s="381"/>
      <c r="AK200" s="381"/>
      <c r="AL200" s="381"/>
      <c r="AM200" s="381"/>
      <c r="AN200" s="381"/>
      <c r="AO200" s="381"/>
      <c r="AP200" s="381"/>
      <c r="AQ200" s="381"/>
      <c r="AR200" s="381"/>
      <c r="AS200" s="381"/>
      <c r="AT200" s="381"/>
      <c r="AU200" s="51"/>
      <c r="AV200" s="38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</row>
    <row r="201" ht="15.7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  <c r="Y201" s="381"/>
      <c r="Z201" s="381"/>
      <c r="AA201" s="381"/>
      <c r="AB201" s="381"/>
      <c r="AC201" s="381"/>
      <c r="AD201" s="381"/>
      <c r="AE201" s="381"/>
      <c r="AF201" s="381"/>
      <c r="AG201" s="381"/>
      <c r="AH201" s="381"/>
      <c r="AI201" s="381"/>
      <c r="AJ201" s="381"/>
      <c r="AK201" s="381"/>
      <c r="AL201" s="381"/>
      <c r="AM201" s="381"/>
      <c r="AN201" s="381"/>
      <c r="AO201" s="381"/>
      <c r="AP201" s="381"/>
      <c r="AQ201" s="381"/>
      <c r="AR201" s="381"/>
      <c r="AS201" s="381"/>
      <c r="AT201" s="381"/>
      <c r="AU201" s="51"/>
      <c r="AV201" s="38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</row>
    <row r="202" ht="15.7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  <c r="Y202" s="381"/>
      <c r="Z202" s="381"/>
      <c r="AA202" s="381"/>
      <c r="AB202" s="381"/>
      <c r="AC202" s="381"/>
      <c r="AD202" s="381"/>
      <c r="AE202" s="381"/>
      <c r="AF202" s="381"/>
      <c r="AG202" s="381"/>
      <c r="AH202" s="381"/>
      <c r="AI202" s="381"/>
      <c r="AJ202" s="381"/>
      <c r="AK202" s="381"/>
      <c r="AL202" s="381"/>
      <c r="AM202" s="381"/>
      <c r="AN202" s="381"/>
      <c r="AO202" s="381"/>
      <c r="AP202" s="381"/>
      <c r="AQ202" s="381"/>
      <c r="AR202" s="381"/>
      <c r="AS202" s="381"/>
      <c r="AT202" s="381"/>
      <c r="AU202" s="51"/>
      <c r="AV202" s="38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</row>
    <row r="203" ht="15.7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  <c r="Y203" s="381"/>
      <c r="Z203" s="381"/>
      <c r="AA203" s="381"/>
      <c r="AB203" s="381"/>
      <c r="AC203" s="381"/>
      <c r="AD203" s="381"/>
      <c r="AE203" s="381"/>
      <c r="AF203" s="381"/>
      <c r="AG203" s="381"/>
      <c r="AH203" s="381"/>
      <c r="AI203" s="381"/>
      <c r="AJ203" s="381"/>
      <c r="AK203" s="381"/>
      <c r="AL203" s="381"/>
      <c r="AM203" s="381"/>
      <c r="AN203" s="381"/>
      <c r="AO203" s="381"/>
      <c r="AP203" s="381"/>
      <c r="AQ203" s="381"/>
      <c r="AR203" s="381"/>
      <c r="AS203" s="381"/>
      <c r="AT203" s="381"/>
      <c r="AU203" s="51"/>
      <c r="AV203" s="38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</row>
    <row r="204" ht="15.7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  <c r="Y204" s="381"/>
      <c r="Z204" s="381"/>
      <c r="AA204" s="381"/>
      <c r="AB204" s="381"/>
      <c r="AC204" s="381"/>
      <c r="AD204" s="381"/>
      <c r="AE204" s="381"/>
      <c r="AF204" s="381"/>
      <c r="AG204" s="381"/>
      <c r="AH204" s="381"/>
      <c r="AI204" s="381"/>
      <c r="AJ204" s="381"/>
      <c r="AK204" s="381"/>
      <c r="AL204" s="381"/>
      <c r="AM204" s="381"/>
      <c r="AN204" s="381"/>
      <c r="AO204" s="381"/>
      <c r="AP204" s="381"/>
      <c r="AQ204" s="381"/>
      <c r="AR204" s="381"/>
      <c r="AS204" s="381"/>
      <c r="AT204" s="381"/>
      <c r="AU204" s="51"/>
      <c r="AV204" s="38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</row>
    <row r="205" ht="15.7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  <c r="Y205" s="381"/>
      <c r="Z205" s="381"/>
      <c r="AA205" s="381"/>
      <c r="AB205" s="381"/>
      <c r="AC205" s="381"/>
      <c r="AD205" s="381"/>
      <c r="AE205" s="381"/>
      <c r="AF205" s="381"/>
      <c r="AG205" s="381"/>
      <c r="AH205" s="381"/>
      <c r="AI205" s="381"/>
      <c r="AJ205" s="381"/>
      <c r="AK205" s="381"/>
      <c r="AL205" s="381"/>
      <c r="AM205" s="381"/>
      <c r="AN205" s="381"/>
      <c r="AO205" s="381"/>
      <c r="AP205" s="381"/>
      <c r="AQ205" s="381"/>
      <c r="AR205" s="381"/>
      <c r="AS205" s="381"/>
      <c r="AT205" s="381"/>
      <c r="AU205" s="51"/>
      <c r="AV205" s="38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</row>
    <row r="206" ht="15.7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  <c r="Y206" s="381"/>
      <c r="Z206" s="381"/>
      <c r="AA206" s="381"/>
      <c r="AB206" s="381"/>
      <c r="AC206" s="381"/>
      <c r="AD206" s="381"/>
      <c r="AE206" s="381"/>
      <c r="AF206" s="381"/>
      <c r="AG206" s="381"/>
      <c r="AH206" s="381"/>
      <c r="AI206" s="381"/>
      <c r="AJ206" s="381"/>
      <c r="AK206" s="381"/>
      <c r="AL206" s="381"/>
      <c r="AM206" s="381"/>
      <c r="AN206" s="381"/>
      <c r="AO206" s="381"/>
      <c r="AP206" s="381"/>
      <c r="AQ206" s="381"/>
      <c r="AR206" s="381"/>
      <c r="AS206" s="381"/>
      <c r="AT206" s="381"/>
      <c r="AU206" s="51"/>
      <c r="AV206" s="38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</row>
    <row r="207" ht="15.7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  <c r="Y207" s="381"/>
      <c r="Z207" s="381"/>
      <c r="AA207" s="381"/>
      <c r="AB207" s="381"/>
      <c r="AC207" s="381"/>
      <c r="AD207" s="381"/>
      <c r="AE207" s="381"/>
      <c r="AF207" s="381"/>
      <c r="AG207" s="381"/>
      <c r="AH207" s="381"/>
      <c r="AI207" s="381"/>
      <c r="AJ207" s="381"/>
      <c r="AK207" s="381"/>
      <c r="AL207" s="381"/>
      <c r="AM207" s="381"/>
      <c r="AN207" s="381"/>
      <c r="AO207" s="381"/>
      <c r="AP207" s="381"/>
      <c r="AQ207" s="381"/>
      <c r="AR207" s="381"/>
      <c r="AS207" s="381"/>
      <c r="AT207" s="381"/>
      <c r="AU207" s="51"/>
      <c r="AV207" s="38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</row>
    <row r="208" ht="15.7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  <c r="Y208" s="381"/>
      <c r="Z208" s="381"/>
      <c r="AA208" s="381"/>
      <c r="AB208" s="381"/>
      <c r="AC208" s="381"/>
      <c r="AD208" s="381"/>
      <c r="AE208" s="381"/>
      <c r="AF208" s="381"/>
      <c r="AG208" s="381"/>
      <c r="AH208" s="381"/>
      <c r="AI208" s="381"/>
      <c r="AJ208" s="381"/>
      <c r="AK208" s="381"/>
      <c r="AL208" s="381"/>
      <c r="AM208" s="381"/>
      <c r="AN208" s="381"/>
      <c r="AO208" s="381"/>
      <c r="AP208" s="381"/>
      <c r="AQ208" s="381"/>
      <c r="AR208" s="381"/>
      <c r="AS208" s="381"/>
      <c r="AT208" s="381"/>
      <c r="AU208" s="51"/>
      <c r="AV208" s="38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</row>
    <row r="209" ht="15.7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  <c r="Y209" s="381"/>
      <c r="Z209" s="381"/>
      <c r="AA209" s="381"/>
      <c r="AB209" s="381"/>
      <c r="AC209" s="381"/>
      <c r="AD209" s="381"/>
      <c r="AE209" s="381"/>
      <c r="AF209" s="381"/>
      <c r="AG209" s="381"/>
      <c r="AH209" s="381"/>
      <c r="AI209" s="381"/>
      <c r="AJ209" s="381"/>
      <c r="AK209" s="381"/>
      <c r="AL209" s="381"/>
      <c r="AM209" s="381"/>
      <c r="AN209" s="381"/>
      <c r="AO209" s="381"/>
      <c r="AP209" s="381"/>
      <c r="AQ209" s="381"/>
      <c r="AR209" s="381"/>
      <c r="AS209" s="381"/>
      <c r="AT209" s="381"/>
      <c r="AU209" s="51"/>
      <c r="AV209" s="38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</row>
    <row r="210" ht="15.7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  <c r="Y210" s="381"/>
      <c r="Z210" s="381"/>
      <c r="AA210" s="381"/>
      <c r="AB210" s="381"/>
      <c r="AC210" s="381"/>
      <c r="AD210" s="381"/>
      <c r="AE210" s="381"/>
      <c r="AF210" s="381"/>
      <c r="AG210" s="381"/>
      <c r="AH210" s="381"/>
      <c r="AI210" s="381"/>
      <c r="AJ210" s="381"/>
      <c r="AK210" s="381"/>
      <c r="AL210" s="381"/>
      <c r="AM210" s="381"/>
      <c r="AN210" s="381"/>
      <c r="AO210" s="381"/>
      <c r="AP210" s="381"/>
      <c r="AQ210" s="381"/>
      <c r="AR210" s="381"/>
      <c r="AS210" s="381"/>
      <c r="AT210" s="381"/>
      <c r="AU210" s="51"/>
      <c r="AV210" s="38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</row>
    <row r="211" ht="15.7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  <c r="Y211" s="381"/>
      <c r="Z211" s="381"/>
      <c r="AA211" s="381"/>
      <c r="AB211" s="381"/>
      <c r="AC211" s="381"/>
      <c r="AD211" s="381"/>
      <c r="AE211" s="381"/>
      <c r="AF211" s="381"/>
      <c r="AG211" s="381"/>
      <c r="AH211" s="381"/>
      <c r="AI211" s="381"/>
      <c r="AJ211" s="381"/>
      <c r="AK211" s="381"/>
      <c r="AL211" s="381"/>
      <c r="AM211" s="381"/>
      <c r="AN211" s="381"/>
      <c r="AO211" s="381"/>
      <c r="AP211" s="381"/>
      <c r="AQ211" s="381"/>
      <c r="AR211" s="381"/>
      <c r="AS211" s="381"/>
      <c r="AT211" s="381"/>
      <c r="AU211" s="51"/>
      <c r="AV211" s="38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</row>
    <row r="212" ht="15.7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  <c r="Y212" s="381"/>
      <c r="Z212" s="381"/>
      <c r="AA212" s="381"/>
      <c r="AB212" s="381"/>
      <c r="AC212" s="381"/>
      <c r="AD212" s="381"/>
      <c r="AE212" s="381"/>
      <c r="AF212" s="381"/>
      <c r="AG212" s="381"/>
      <c r="AH212" s="381"/>
      <c r="AI212" s="381"/>
      <c r="AJ212" s="381"/>
      <c r="AK212" s="381"/>
      <c r="AL212" s="381"/>
      <c r="AM212" s="381"/>
      <c r="AN212" s="381"/>
      <c r="AO212" s="381"/>
      <c r="AP212" s="381"/>
      <c r="AQ212" s="381"/>
      <c r="AR212" s="381"/>
      <c r="AS212" s="381"/>
      <c r="AT212" s="381"/>
      <c r="AU212" s="51"/>
      <c r="AV212" s="38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</row>
    <row r="213" ht="15.7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  <c r="Y213" s="381"/>
      <c r="Z213" s="381"/>
      <c r="AA213" s="381"/>
      <c r="AB213" s="381"/>
      <c r="AC213" s="381"/>
      <c r="AD213" s="381"/>
      <c r="AE213" s="381"/>
      <c r="AF213" s="381"/>
      <c r="AG213" s="381"/>
      <c r="AH213" s="381"/>
      <c r="AI213" s="381"/>
      <c r="AJ213" s="381"/>
      <c r="AK213" s="381"/>
      <c r="AL213" s="381"/>
      <c r="AM213" s="381"/>
      <c r="AN213" s="381"/>
      <c r="AO213" s="381"/>
      <c r="AP213" s="381"/>
      <c r="AQ213" s="381"/>
      <c r="AR213" s="381"/>
      <c r="AS213" s="381"/>
      <c r="AT213" s="381"/>
      <c r="AU213" s="51"/>
      <c r="AV213" s="38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</row>
    <row r="214" ht="15.7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  <c r="Y214" s="381"/>
      <c r="Z214" s="381"/>
      <c r="AA214" s="381"/>
      <c r="AB214" s="381"/>
      <c r="AC214" s="381"/>
      <c r="AD214" s="381"/>
      <c r="AE214" s="381"/>
      <c r="AF214" s="381"/>
      <c r="AG214" s="381"/>
      <c r="AH214" s="381"/>
      <c r="AI214" s="381"/>
      <c r="AJ214" s="381"/>
      <c r="AK214" s="381"/>
      <c r="AL214" s="381"/>
      <c r="AM214" s="381"/>
      <c r="AN214" s="381"/>
      <c r="AO214" s="381"/>
      <c r="AP214" s="381"/>
      <c r="AQ214" s="381"/>
      <c r="AR214" s="381"/>
      <c r="AS214" s="381"/>
      <c r="AT214" s="381"/>
      <c r="AU214" s="51"/>
      <c r="AV214" s="38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</row>
    <row r="215" ht="15.7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  <c r="Y215" s="381"/>
      <c r="Z215" s="381"/>
      <c r="AA215" s="381"/>
      <c r="AB215" s="381"/>
      <c r="AC215" s="381"/>
      <c r="AD215" s="381"/>
      <c r="AE215" s="381"/>
      <c r="AF215" s="381"/>
      <c r="AG215" s="381"/>
      <c r="AH215" s="381"/>
      <c r="AI215" s="381"/>
      <c r="AJ215" s="381"/>
      <c r="AK215" s="381"/>
      <c r="AL215" s="381"/>
      <c r="AM215" s="381"/>
      <c r="AN215" s="381"/>
      <c r="AO215" s="381"/>
      <c r="AP215" s="381"/>
      <c r="AQ215" s="381"/>
      <c r="AR215" s="381"/>
      <c r="AS215" s="381"/>
      <c r="AT215" s="381"/>
      <c r="AU215" s="51"/>
      <c r="AV215" s="38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</row>
    <row r="216" ht="15.7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  <c r="Y216" s="381"/>
      <c r="Z216" s="381"/>
      <c r="AA216" s="381"/>
      <c r="AB216" s="381"/>
      <c r="AC216" s="381"/>
      <c r="AD216" s="381"/>
      <c r="AE216" s="381"/>
      <c r="AF216" s="381"/>
      <c r="AG216" s="381"/>
      <c r="AH216" s="381"/>
      <c r="AI216" s="381"/>
      <c r="AJ216" s="381"/>
      <c r="AK216" s="381"/>
      <c r="AL216" s="381"/>
      <c r="AM216" s="381"/>
      <c r="AN216" s="381"/>
      <c r="AO216" s="381"/>
      <c r="AP216" s="381"/>
      <c r="AQ216" s="381"/>
      <c r="AR216" s="381"/>
      <c r="AS216" s="381"/>
      <c r="AT216" s="381"/>
      <c r="AU216" s="51"/>
      <c r="AV216" s="38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</row>
    <row r="217" ht="15.7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  <c r="Y217" s="381"/>
      <c r="Z217" s="381"/>
      <c r="AA217" s="381"/>
      <c r="AB217" s="381"/>
      <c r="AC217" s="381"/>
      <c r="AD217" s="381"/>
      <c r="AE217" s="381"/>
      <c r="AF217" s="381"/>
      <c r="AG217" s="381"/>
      <c r="AH217" s="381"/>
      <c r="AI217" s="381"/>
      <c r="AJ217" s="381"/>
      <c r="AK217" s="381"/>
      <c r="AL217" s="381"/>
      <c r="AM217" s="381"/>
      <c r="AN217" s="381"/>
      <c r="AO217" s="381"/>
      <c r="AP217" s="381"/>
      <c r="AQ217" s="381"/>
      <c r="AR217" s="381"/>
      <c r="AS217" s="381"/>
      <c r="AT217" s="381"/>
      <c r="AU217" s="51"/>
      <c r="AV217" s="38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</row>
    <row r="218" ht="15.7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  <c r="Y218" s="381"/>
      <c r="Z218" s="381"/>
      <c r="AA218" s="381"/>
      <c r="AB218" s="381"/>
      <c r="AC218" s="381"/>
      <c r="AD218" s="381"/>
      <c r="AE218" s="381"/>
      <c r="AF218" s="381"/>
      <c r="AG218" s="381"/>
      <c r="AH218" s="381"/>
      <c r="AI218" s="381"/>
      <c r="AJ218" s="381"/>
      <c r="AK218" s="381"/>
      <c r="AL218" s="381"/>
      <c r="AM218" s="381"/>
      <c r="AN218" s="381"/>
      <c r="AO218" s="381"/>
      <c r="AP218" s="381"/>
      <c r="AQ218" s="381"/>
      <c r="AR218" s="381"/>
      <c r="AS218" s="381"/>
      <c r="AT218" s="381"/>
      <c r="AU218" s="51"/>
      <c r="AV218" s="38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</row>
    <row r="219" ht="15.7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  <c r="Y219" s="381"/>
      <c r="Z219" s="381"/>
      <c r="AA219" s="381"/>
      <c r="AB219" s="381"/>
      <c r="AC219" s="381"/>
      <c r="AD219" s="381"/>
      <c r="AE219" s="381"/>
      <c r="AF219" s="381"/>
      <c r="AG219" s="381"/>
      <c r="AH219" s="381"/>
      <c r="AI219" s="381"/>
      <c r="AJ219" s="381"/>
      <c r="AK219" s="381"/>
      <c r="AL219" s="381"/>
      <c r="AM219" s="381"/>
      <c r="AN219" s="381"/>
      <c r="AO219" s="381"/>
      <c r="AP219" s="381"/>
      <c r="AQ219" s="381"/>
      <c r="AR219" s="381"/>
      <c r="AS219" s="381"/>
      <c r="AT219" s="381"/>
      <c r="AU219" s="51"/>
      <c r="AV219" s="38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</row>
    <row r="220" ht="15.7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  <c r="AA220" s="381"/>
      <c r="AB220" s="381"/>
      <c r="AC220" s="381"/>
      <c r="AD220" s="381"/>
      <c r="AE220" s="381"/>
      <c r="AF220" s="381"/>
      <c r="AG220" s="381"/>
      <c r="AH220" s="381"/>
      <c r="AI220" s="381"/>
      <c r="AJ220" s="381"/>
      <c r="AK220" s="381"/>
      <c r="AL220" s="381"/>
      <c r="AM220" s="381"/>
      <c r="AN220" s="381"/>
      <c r="AO220" s="381"/>
      <c r="AP220" s="381"/>
      <c r="AQ220" s="381"/>
      <c r="AR220" s="381"/>
      <c r="AS220" s="381"/>
      <c r="AT220" s="381"/>
      <c r="AU220" s="51"/>
      <c r="AV220" s="38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</row>
    <row r="221" ht="15.7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  <c r="Y221" s="381"/>
      <c r="Z221" s="381"/>
      <c r="AA221" s="381"/>
      <c r="AB221" s="381"/>
      <c r="AC221" s="381"/>
      <c r="AD221" s="381"/>
      <c r="AE221" s="381"/>
      <c r="AF221" s="381"/>
      <c r="AG221" s="381"/>
      <c r="AH221" s="381"/>
      <c r="AI221" s="381"/>
      <c r="AJ221" s="381"/>
      <c r="AK221" s="381"/>
      <c r="AL221" s="381"/>
      <c r="AM221" s="381"/>
      <c r="AN221" s="381"/>
      <c r="AO221" s="381"/>
      <c r="AP221" s="381"/>
      <c r="AQ221" s="381"/>
      <c r="AR221" s="381"/>
      <c r="AS221" s="381"/>
      <c r="AT221" s="381"/>
      <c r="AU221" s="51"/>
      <c r="AV221" s="38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</row>
    <row r="222" ht="15.7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  <c r="Y222" s="381"/>
      <c r="Z222" s="381"/>
      <c r="AA222" s="381"/>
      <c r="AB222" s="381"/>
      <c r="AC222" s="381"/>
      <c r="AD222" s="381"/>
      <c r="AE222" s="381"/>
      <c r="AF222" s="381"/>
      <c r="AG222" s="381"/>
      <c r="AH222" s="381"/>
      <c r="AI222" s="381"/>
      <c r="AJ222" s="381"/>
      <c r="AK222" s="381"/>
      <c r="AL222" s="381"/>
      <c r="AM222" s="381"/>
      <c r="AN222" s="381"/>
      <c r="AO222" s="381"/>
      <c r="AP222" s="381"/>
      <c r="AQ222" s="381"/>
      <c r="AR222" s="381"/>
      <c r="AS222" s="381"/>
      <c r="AT222" s="381"/>
      <c r="AU222" s="51"/>
      <c r="AV222" s="38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</row>
    <row r="223" ht="15.7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  <c r="Y223" s="381"/>
      <c r="Z223" s="381"/>
      <c r="AA223" s="381"/>
      <c r="AB223" s="381"/>
      <c r="AC223" s="381"/>
      <c r="AD223" s="381"/>
      <c r="AE223" s="381"/>
      <c r="AF223" s="381"/>
      <c r="AG223" s="381"/>
      <c r="AH223" s="381"/>
      <c r="AI223" s="381"/>
      <c r="AJ223" s="381"/>
      <c r="AK223" s="381"/>
      <c r="AL223" s="381"/>
      <c r="AM223" s="381"/>
      <c r="AN223" s="381"/>
      <c r="AO223" s="381"/>
      <c r="AP223" s="381"/>
      <c r="AQ223" s="381"/>
      <c r="AR223" s="381"/>
      <c r="AS223" s="381"/>
      <c r="AT223" s="381"/>
      <c r="AU223" s="51"/>
      <c r="AV223" s="38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</row>
    <row r="224" ht="15.7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  <c r="Y224" s="381"/>
      <c r="Z224" s="381"/>
      <c r="AA224" s="381"/>
      <c r="AB224" s="381"/>
      <c r="AC224" s="381"/>
      <c r="AD224" s="381"/>
      <c r="AE224" s="381"/>
      <c r="AF224" s="381"/>
      <c r="AG224" s="381"/>
      <c r="AH224" s="381"/>
      <c r="AI224" s="381"/>
      <c r="AJ224" s="381"/>
      <c r="AK224" s="381"/>
      <c r="AL224" s="381"/>
      <c r="AM224" s="381"/>
      <c r="AN224" s="381"/>
      <c r="AO224" s="381"/>
      <c r="AP224" s="381"/>
      <c r="AQ224" s="381"/>
      <c r="AR224" s="381"/>
      <c r="AS224" s="381"/>
      <c r="AT224" s="381"/>
      <c r="AU224" s="51"/>
      <c r="AV224" s="38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</row>
    <row r="225" ht="15.7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  <c r="Y225" s="381"/>
      <c r="Z225" s="381"/>
      <c r="AA225" s="381"/>
      <c r="AB225" s="381"/>
      <c r="AC225" s="381"/>
      <c r="AD225" s="381"/>
      <c r="AE225" s="381"/>
      <c r="AF225" s="381"/>
      <c r="AG225" s="381"/>
      <c r="AH225" s="381"/>
      <c r="AI225" s="381"/>
      <c r="AJ225" s="381"/>
      <c r="AK225" s="381"/>
      <c r="AL225" s="381"/>
      <c r="AM225" s="381"/>
      <c r="AN225" s="381"/>
      <c r="AO225" s="381"/>
      <c r="AP225" s="381"/>
      <c r="AQ225" s="381"/>
      <c r="AR225" s="381"/>
      <c r="AS225" s="381"/>
      <c r="AT225" s="381"/>
      <c r="AU225" s="51"/>
      <c r="AV225" s="38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</row>
    <row r="226" ht="15.7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  <c r="Y226" s="381"/>
      <c r="Z226" s="381"/>
      <c r="AA226" s="381"/>
      <c r="AB226" s="381"/>
      <c r="AC226" s="381"/>
      <c r="AD226" s="381"/>
      <c r="AE226" s="381"/>
      <c r="AF226" s="381"/>
      <c r="AG226" s="381"/>
      <c r="AH226" s="381"/>
      <c r="AI226" s="381"/>
      <c r="AJ226" s="381"/>
      <c r="AK226" s="381"/>
      <c r="AL226" s="381"/>
      <c r="AM226" s="381"/>
      <c r="AN226" s="381"/>
      <c r="AO226" s="381"/>
      <c r="AP226" s="381"/>
      <c r="AQ226" s="381"/>
      <c r="AR226" s="381"/>
      <c r="AS226" s="381"/>
      <c r="AT226" s="381"/>
      <c r="AU226" s="51"/>
      <c r="AV226" s="38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J2:AU2"/>
    <mergeCell ref="AV2:BG2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11"/>
    <col customWidth="1" min="2" max="3" width="11.22"/>
    <col customWidth="1" min="4" max="4" width="13.56"/>
    <col customWidth="1" min="5" max="6" width="11.22"/>
  </cols>
  <sheetData>
    <row r="1">
      <c r="A1" s="3" t="s">
        <v>521</v>
      </c>
    </row>
    <row r="2">
      <c r="A2" s="15" t="s">
        <v>522</v>
      </c>
      <c r="B2" s="65">
        <v>351591.0</v>
      </c>
      <c r="C2" s="65"/>
      <c r="D2" s="65"/>
      <c r="E2" s="65"/>
      <c r="F2" s="65"/>
      <c r="G2" s="65"/>
      <c r="H2" s="65"/>
      <c r="I2" s="65"/>
      <c r="J2" s="65"/>
      <c r="K2" s="65"/>
      <c r="L2" s="3"/>
    </row>
    <row r="3">
      <c r="A3" s="15" t="s">
        <v>190</v>
      </c>
      <c r="B3" s="65">
        <f>B2/1.21</f>
        <v>290571.0744</v>
      </c>
      <c r="C3" s="65"/>
      <c r="D3" s="15" t="s">
        <v>191</v>
      </c>
      <c r="E3" s="65">
        <v>260942.0</v>
      </c>
      <c r="F3" s="65"/>
      <c r="G3" s="65"/>
      <c r="H3" s="65"/>
      <c r="I3" s="65"/>
      <c r="J3" s="65"/>
      <c r="K3" s="65"/>
    </row>
    <row r="4">
      <c r="A4" s="15" t="s">
        <v>192</v>
      </c>
      <c r="B4" s="65">
        <v>347920.0</v>
      </c>
      <c r="C4" s="65"/>
      <c r="D4" s="65"/>
      <c r="E4" s="65"/>
      <c r="F4" s="65"/>
      <c r="G4" s="65"/>
      <c r="H4" s="65"/>
      <c r="I4" s="65"/>
      <c r="J4" s="65"/>
      <c r="K4" s="65"/>
    </row>
    <row r="5">
      <c r="A5" s="15" t="s">
        <v>193</v>
      </c>
      <c r="B5" s="65">
        <f>B4-B2</f>
        <v>-3671</v>
      </c>
      <c r="C5" s="65"/>
      <c r="D5" s="65"/>
      <c r="E5" s="65"/>
      <c r="F5" s="65"/>
      <c r="G5" s="65"/>
      <c r="H5" s="65"/>
      <c r="I5" s="65"/>
      <c r="J5" s="65"/>
      <c r="K5" s="65"/>
    </row>
    <row r="6">
      <c r="A6" s="15" t="s">
        <v>523</v>
      </c>
      <c r="B6" s="15">
        <v>51443.0</v>
      </c>
    </row>
    <row r="7">
      <c r="D7" s="15" t="s">
        <v>193</v>
      </c>
      <c r="E7" s="65">
        <f>E3-B3</f>
        <v>-29629.07438</v>
      </c>
    </row>
    <row r="8">
      <c r="B8" s="3"/>
      <c r="C8" s="3"/>
      <c r="D8" s="3"/>
      <c r="E8" s="3"/>
      <c r="F8" s="3"/>
      <c r="G8" s="3"/>
      <c r="H8" s="3"/>
      <c r="I8" s="3"/>
      <c r="J8" s="3"/>
      <c r="K8" s="3"/>
    </row>
    <row r="13">
      <c r="B13" s="189">
        <v>44743.0</v>
      </c>
      <c r="C13" s="189">
        <v>44774.0</v>
      </c>
      <c r="D13" s="189">
        <v>44805.0</v>
      </c>
      <c r="E13" s="189">
        <v>44835.0</v>
      </c>
      <c r="F13" s="189">
        <v>44866.0</v>
      </c>
      <c r="G13" s="189">
        <v>44896.0</v>
      </c>
      <c r="H13" s="189">
        <v>44927.0</v>
      </c>
      <c r="I13" s="189">
        <v>44958.0</v>
      </c>
      <c r="J13" s="189">
        <v>44986.0</v>
      </c>
      <c r="K13" s="189">
        <v>45017.0</v>
      </c>
      <c r="L13" s="189">
        <v>45047.0</v>
      </c>
      <c r="M13" s="189">
        <v>45078.0</v>
      </c>
      <c r="N13" s="218">
        <v>45108.0</v>
      </c>
      <c r="O13" s="3" t="s">
        <v>194</v>
      </c>
      <c r="P13" s="3" t="s">
        <v>195</v>
      </c>
    </row>
    <row r="14">
      <c r="B14" s="191">
        <v>733.0</v>
      </c>
      <c r="C14" s="191">
        <v>1291.0</v>
      </c>
      <c r="D14" s="191">
        <v>638.0</v>
      </c>
      <c r="E14" s="191">
        <v>1110.0</v>
      </c>
      <c r="F14" s="191">
        <v>171.0</v>
      </c>
      <c r="G14" s="191">
        <v>1169.0</v>
      </c>
      <c r="H14" s="191">
        <v>846.0</v>
      </c>
      <c r="I14" s="191">
        <v>909.0</v>
      </c>
      <c r="J14" s="191">
        <v>823.0</v>
      </c>
      <c r="K14" s="191">
        <v>777.0</v>
      </c>
      <c r="L14" s="191">
        <v>812.0</v>
      </c>
      <c r="M14" s="191">
        <v>686.0</v>
      </c>
      <c r="N14" s="191">
        <v>865.0</v>
      </c>
    </row>
    <row r="15">
      <c r="A15" s="3" t="s">
        <v>196</v>
      </c>
      <c r="B15" s="65">
        <f t="shared" ref="B15:G15" si="1">B14*24.5</f>
        <v>17958.5</v>
      </c>
      <c r="C15" s="65">
        <f t="shared" si="1"/>
        <v>31629.5</v>
      </c>
      <c r="D15" s="65">
        <f t="shared" si="1"/>
        <v>15631</v>
      </c>
      <c r="E15" s="65">
        <f t="shared" si="1"/>
        <v>27195</v>
      </c>
      <c r="F15" s="65">
        <f t="shared" si="1"/>
        <v>4189.5</v>
      </c>
      <c r="G15" s="65">
        <f t="shared" si="1"/>
        <v>28640.5</v>
      </c>
      <c r="H15" s="65">
        <f>H14*24.17</f>
        <v>20447.82</v>
      </c>
      <c r="I15" s="65">
        <f>I14*23.51</f>
        <v>21370.59</v>
      </c>
      <c r="J15" s="65">
        <f>J14*23.46</f>
        <v>19307.58</v>
      </c>
      <c r="K15" s="65">
        <f>K14*23.49</f>
        <v>18251.73</v>
      </c>
      <c r="L15" s="65">
        <f>L14*23.72</f>
        <v>19260.64</v>
      </c>
      <c r="M15" s="65">
        <f>M14*23.76</f>
        <v>16299.36</v>
      </c>
      <c r="N15" s="65">
        <f>N14*24</f>
        <v>20760</v>
      </c>
      <c r="O15" s="210">
        <f>SUM(B15:N15)</f>
        <v>260941.72</v>
      </c>
      <c r="P15" s="65">
        <f>O15*1.21</f>
        <v>315739.4812</v>
      </c>
    </row>
    <row r="18">
      <c r="A18" s="3" t="s">
        <v>524</v>
      </c>
    </row>
    <row r="19">
      <c r="A19" s="15" t="s">
        <v>190</v>
      </c>
      <c r="B19" s="65">
        <f>236376+15994</f>
        <v>252370</v>
      </c>
    </row>
    <row r="20">
      <c r="A20" s="15" t="s">
        <v>522</v>
      </c>
      <c r="B20" s="65">
        <f>286015+19353.18</f>
        <v>305368.18</v>
      </c>
    </row>
    <row r="21" ht="15.75" customHeight="1">
      <c r="A21" s="15" t="s">
        <v>192</v>
      </c>
    </row>
    <row r="22" ht="15.75" customHeight="1">
      <c r="A22" s="15" t="s">
        <v>193</v>
      </c>
      <c r="B22" s="201">
        <f>J26-B19</f>
        <v>-29259.1</v>
      </c>
    </row>
    <row r="23" ht="15.75" customHeight="1">
      <c r="A23" s="15" t="s">
        <v>523</v>
      </c>
      <c r="B23" s="17">
        <f>38413+1872</f>
        <v>40285</v>
      </c>
    </row>
    <row r="24" ht="15.75" customHeight="1">
      <c r="A24" s="15" t="s">
        <v>434</v>
      </c>
      <c r="B24" s="355">
        <f>B19/B23</f>
        <v>6.264614621</v>
      </c>
    </row>
    <row r="25" ht="15.75" customHeight="1">
      <c r="B25" s="189">
        <v>45536.0</v>
      </c>
      <c r="C25" s="189">
        <v>45566.0</v>
      </c>
      <c r="D25" s="189">
        <v>45597.0</v>
      </c>
      <c r="E25" s="189">
        <v>45627.0</v>
      </c>
      <c r="F25" s="189">
        <v>45658.0</v>
      </c>
      <c r="G25" s="189">
        <v>45689.0</v>
      </c>
      <c r="H25" s="189">
        <v>45717.0</v>
      </c>
      <c r="I25" s="189">
        <v>45748.0</v>
      </c>
      <c r="J25" s="3" t="s">
        <v>194</v>
      </c>
      <c r="K25" s="3" t="s">
        <v>195</v>
      </c>
      <c r="L25" s="414"/>
      <c r="M25" s="414"/>
      <c r="N25" s="353"/>
    </row>
    <row r="26" ht="15.75" customHeight="1">
      <c r="B26" s="201">
        <v>22385.0</v>
      </c>
      <c r="C26" s="201">
        <v>26092.0</v>
      </c>
      <c r="D26" s="201">
        <v>23584.0</v>
      </c>
      <c r="E26" s="201">
        <v>28259.0</v>
      </c>
      <c r="F26" s="201">
        <v>29916.0</v>
      </c>
      <c r="G26" s="201">
        <v>29136.0</v>
      </c>
      <c r="H26" s="201">
        <v>33049.799999999996</v>
      </c>
      <c r="I26" s="201">
        <v>30689.1</v>
      </c>
      <c r="J26" s="415">
        <f>SUM(B26:I26)</f>
        <v>223110.9</v>
      </c>
      <c r="K26" s="415">
        <f>J26*1.21</f>
        <v>269964.189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9" width="8.33"/>
  </cols>
  <sheetData>
    <row r="1">
      <c r="D1" s="5" t="s">
        <v>525</v>
      </c>
    </row>
    <row r="2">
      <c r="J2" s="5" t="s">
        <v>526</v>
      </c>
    </row>
    <row r="3">
      <c r="B3" s="5" t="s">
        <v>527</v>
      </c>
      <c r="C3" s="5" t="s">
        <v>518</v>
      </c>
    </row>
    <row r="4">
      <c r="A4" s="5" t="s">
        <v>69</v>
      </c>
      <c r="B4" s="5">
        <v>158.0</v>
      </c>
      <c r="H4" s="5" t="s">
        <v>528</v>
      </c>
      <c r="I4" s="5" t="s">
        <v>529</v>
      </c>
      <c r="J4" s="5" t="s">
        <v>228</v>
      </c>
      <c r="L4" s="5" t="s">
        <v>530</v>
      </c>
      <c r="N4" s="5" t="s">
        <v>531</v>
      </c>
      <c r="P4" s="5" t="s">
        <v>532</v>
      </c>
      <c r="R4" s="5" t="s">
        <v>533</v>
      </c>
    </row>
    <row r="5">
      <c r="A5" s="5" t="s">
        <v>528</v>
      </c>
      <c r="B5" s="5">
        <v>169.0</v>
      </c>
      <c r="C5" s="5">
        <f t="shared" ref="C5:C13" si="1">B5-B4</f>
        <v>11</v>
      </c>
      <c r="E5" s="5" t="s">
        <v>517</v>
      </c>
      <c r="F5" s="5">
        <v>31.9</v>
      </c>
      <c r="G5" s="5" t="s">
        <v>534</v>
      </c>
      <c r="H5" s="5">
        <v>11.0</v>
      </c>
      <c r="I5" s="5">
        <f>$F$5*H5</f>
        <v>350.9</v>
      </c>
      <c r="J5" s="5">
        <v>12.0</v>
      </c>
      <c r="K5" s="5">
        <f>$F$5*J5</f>
        <v>382.8</v>
      </c>
      <c r="L5" s="5">
        <v>11.0</v>
      </c>
      <c r="M5" s="5">
        <f>$F$5*L5</f>
        <v>350.9</v>
      </c>
      <c r="N5" s="5">
        <v>10.0</v>
      </c>
      <c r="O5" s="5">
        <f>$F$5*N5</f>
        <v>319</v>
      </c>
      <c r="P5" s="5">
        <v>11.0</v>
      </c>
      <c r="Q5" s="5">
        <f>$F$5*P5</f>
        <v>350.9</v>
      </c>
      <c r="R5" s="5">
        <v>10.0</v>
      </c>
      <c r="S5" s="5">
        <f>$F$5*R5</f>
        <v>319</v>
      </c>
    </row>
    <row r="6">
      <c r="A6" s="5" t="s">
        <v>228</v>
      </c>
      <c r="B6" s="5">
        <v>181.0</v>
      </c>
      <c r="C6" s="5">
        <f t="shared" si="1"/>
        <v>12</v>
      </c>
      <c r="E6" s="5" t="s">
        <v>535</v>
      </c>
      <c r="F6" s="5">
        <v>24.68</v>
      </c>
      <c r="G6" s="5" t="s">
        <v>534</v>
      </c>
      <c r="H6" s="5">
        <v>11.0</v>
      </c>
      <c r="I6" s="5">
        <f>$F$6*H6</f>
        <v>271.48</v>
      </c>
      <c r="J6" s="5">
        <v>12.0</v>
      </c>
      <c r="K6" s="5">
        <f>$F$6*J6</f>
        <v>296.16</v>
      </c>
      <c r="L6" s="5">
        <v>11.0</v>
      </c>
      <c r="M6" s="5">
        <f>$F$6*L6</f>
        <v>271.48</v>
      </c>
      <c r="N6" s="5">
        <v>10.0</v>
      </c>
      <c r="O6" s="5">
        <f>$F$6*N6</f>
        <v>246.8</v>
      </c>
      <c r="P6" s="5">
        <v>11.0</v>
      </c>
      <c r="Q6" s="5">
        <f>$F$6*P6</f>
        <v>271.48</v>
      </c>
      <c r="R6" s="5">
        <v>10.0</v>
      </c>
      <c r="S6" s="5">
        <f>$F$6*R6</f>
        <v>246.8</v>
      </c>
    </row>
    <row r="7">
      <c r="A7" s="5" t="s">
        <v>23</v>
      </c>
      <c r="B7" s="5">
        <v>192.0</v>
      </c>
      <c r="C7" s="5">
        <f t="shared" si="1"/>
        <v>11</v>
      </c>
      <c r="E7" s="5" t="s">
        <v>536</v>
      </c>
      <c r="F7" s="5">
        <v>2.41</v>
      </c>
      <c r="G7" s="5" t="s">
        <v>537</v>
      </c>
      <c r="H7" s="5">
        <v>31.0</v>
      </c>
      <c r="I7" s="5">
        <f>$F$7*H7</f>
        <v>74.71</v>
      </c>
      <c r="J7" s="5">
        <v>30.0</v>
      </c>
      <c r="K7" s="5">
        <f>$F$7*J7</f>
        <v>72.3</v>
      </c>
      <c r="L7" s="5">
        <v>31.0</v>
      </c>
      <c r="M7" s="5">
        <f>$F$7*L7</f>
        <v>74.71</v>
      </c>
      <c r="N7" s="5">
        <v>30.0</v>
      </c>
      <c r="O7" s="5">
        <f>$F$7*N7</f>
        <v>72.3</v>
      </c>
      <c r="P7" s="5">
        <v>31.0</v>
      </c>
      <c r="Q7" s="5">
        <f>$F$7*P7</f>
        <v>74.71</v>
      </c>
      <c r="R7" s="5">
        <v>31.0</v>
      </c>
      <c r="S7" s="5">
        <f>$F$7*R7</f>
        <v>74.71</v>
      </c>
    </row>
    <row r="8">
      <c r="A8" s="5" t="s">
        <v>24</v>
      </c>
      <c r="B8" s="5">
        <v>202.0</v>
      </c>
      <c r="C8" s="5">
        <f t="shared" si="1"/>
        <v>10</v>
      </c>
      <c r="E8" s="5" t="s">
        <v>538</v>
      </c>
      <c r="F8" s="5">
        <v>2.3</v>
      </c>
      <c r="G8" s="5" t="s">
        <v>537</v>
      </c>
      <c r="H8" s="5">
        <v>31.0</v>
      </c>
      <c r="I8" s="5">
        <f>$F$8*H8</f>
        <v>71.3</v>
      </c>
      <c r="J8" s="5">
        <v>30.0</v>
      </c>
      <c r="K8" s="5">
        <f>$F$8*J8</f>
        <v>69</v>
      </c>
      <c r="L8" s="5">
        <v>31.0</v>
      </c>
      <c r="M8" s="5">
        <f>$F$8*L8</f>
        <v>71.3</v>
      </c>
      <c r="N8" s="5">
        <v>30.0</v>
      </c>
      <c r="O8" s="5">
        <f>$F$8*N8</f>
        <v>69</v>
      </c>
      <c r="P8" s="5">
        <v>31.0</v>
      </c>
      <c r="Q8" s="5">
        <f>$F$8*P8</f>
        <v>71.3</v>
      </c>
      <c r="R8" s="5">
        <v>31.0</v>
      </c>
      <c r="S8" s="5">
        <f>$F$8*R8</f>
        <v>71.3</v>
      </c>
    </row>
    <row r="9">
      <c r="A9" s="5" t="s">
        <v>25</v>
      </c>
      <c r="B9" s="5">
        <v>213.0</v>
      </c>
      <c r="C9" s="5">
        <f t="shared" si="1"/>
        <v>11</v>
      </c>
      <c r="I9" s="5">
        <f>SUM(I5:I8)</f>
        <v>768.39</v>
      </c>
      <c r="K9" s="5">
        <f>SUM(K5:K8)</f>
        <v>820.26</v>
      </c>
      <c r="M9" s="5">
        <f>SUM(M5:M8)</f>
        <v>768.39</v>
      </c>
      <c r="O9" s="5">
        <f>SUM(O5:O8)</f>
        <v>707.1</v>
      </c>
      <c r="Q9" s="5">
        <f>SUM(Q5:Q8)</f>
        <v>768.39</v>
      </c>
      <c r="S9" s="5">
        <f>SUM(S5:S8)</f>
        <v>711.81</v>
      </c>
    </row>
    <row r="10">
      <c r="A10" s="5" t="s">
        <v>53</v>
      </c>
      <c r="B10" s="5">
        <v>223.0</v>
      </c>
      <c r="C10" s="5">
        <f t="shared" si="1"/>
        <v>10</v>
      </c>
      <c r="H10" s="5" t="s">
        <v>539</v>
      </c>
      <c r="I10" s="5">
        <f>I9*15%</f>
        <v>115.2585</v>
      </c>
      <c r="K10" s="5">
        <f>K9*15%</f>
        <v>123.039</v>
      </c>
      <c r="M10" s="5">
        <f>M9*15%</f>
        <v>115.2585</v>
      </c>
      <c r="O10" s="5">
        <f>O9*15%</f>
        <v>106.065</v>
      </c>
      <c r="Q10" s="5">
        <f>Q9*15%</f>
        <v>115.2585</v>
      </c>
      <c r="S10" s="5">
        <f>S9*15%</f>
        <v>106.7715</v>
      </c>
    </row>
    <row r="11">
      <c r="A11" s="5" t="s">
        <v>64</v>
      </c>
      <c r="B11" s="5">
        <v>231.0</v>
      </c>
      <c r="C11" s="5">
        <f t="shared" si="1"/>
        <v>8</v>
      </c>
      <c r="H11" s="5" t="s">
        <v>195</v>
      </c>
      <c r="I11" s="5">
        <f>I9+I10</f>
        <v>883.6485</v>
      </c>
      <c r="K11" s="5">
        <f>K9+K10</f>
        <v>943.299</v>
      </c>
      <c r="M11" s="5">
        <f>M9+M10</f>
        <v>883.6485</v>
      </c>
      <c r="O11" s="5">
        <f>O9+O10</f>
        <v>813.165</v>
      </c>
      <c r="Q11" s="5">
        <f>Q9+Q10</f>
        <v>883.6485</v>
      </c>
      <c r="S11" s="5">
        <f>S9+S10</f>
        <v>818.5815</v>
      </c>
    </row>
    <row r="12">
      <c r="A12" s="5" t="s">
        <v>133</v>
      </c>
      <c r="B12" s="5">
        <v>244.0</v>
      </c>
      <c r="C12" s="5">
        <f t="shared" si="1"/>
        <v>13</v>
      </c>
    </row>
    <row r="13">
      <c r="A13" s="5" t="s">
        <v>472</v>
      </c>
      <c r="B13" s="5">
        <v>259.0</v>
      </c>
      <c r="C13" s="5">
        <f t="shared" si="1"/>
        <v>15</v>
      </c>
    </row>
    <row r="14">
      <c r="A14" s="15" t="s">
        <v>57</v>
      </c>
      <c r="B14" s="15">
        <v>367.0</v>
      </c>
    </row>
    <row r="15">
      <c r="A15" s="15" t="s">
        <v>58</v>
      </c>
    </row>
    <row r="16">
      <c r="A16" s="15" t="s">
        <v>69</v>
      </c>
    </row>
    <row r="17">
      <c r="A17" s="15" t="s">
        <v>528</v>
      </c>
    </row>
    <row r="19">
      <c r="A19" s="5" t="s">
        <v>54</v>
      </c>
      <c r="B19" s="5">
        <v>1001.0</v>
      </c>
      <c r="C19" s="5">
        <f t="shared" ref="C19:C21" si="2">B19-B18</f>
        <v>1001</v>
      </c>
      <c r="H19" s="5" t="s">
        <v>55</v>
      </c>
      <c r="I19" s="5" t="s">
        <v>529</v>
      </c>
      <c r="J19" s="5" t="s">
        <v>472</v>
      </c>
      <c r="K19" s="5" t="s">
        <v>529</v>
      </c>
      <c r="L19" s="5" t="s">
        <v>81</v>
      </c>
      <c r="M19" s="5" t="s">
        <v>529</v>
      </c>
      <c r="N19" s="5" t="s">
        <v>58</v>
      </c>
      <c r="O19" s="5" t="s">
        <v>529</v>
      </c>
    </row>
    <row r="20">
      <c r="A20" s="5" t="s">
        <v>133</v>
      </c>
      <c r="B20" s="5">
        <v>1065.0</v>
      </c>
      <c r="C20" s="5">
        <f t="shared" si="2"/>
        <v>64</v>
      </c>
      <c r="E20" s="5" t="s">
        <v>517</v>
      </c>
      <c r="F20" s="5">
        <v>31.9</v>
      </c>
      <c r="G20" s="5" t="s">
        <v>534</v>
      </c>
      <c r="H20" s="5">
        <v>64.0</v>
      </c>
      <c r="I20" s="5">
        <f>$F$5*H20</f>
        <v>2041.6</v>
      </c>
      <c r="J20" s="5">
        <v>94.0</v>
      </c>
      <c r="K20" s="5">
        <f>$F$5*J20</f>
        <v>2998.6</v>
      </c>
      <c r="L20" s="5">
        <v>60.0</v>
      </c>
      <c r="M20" s="5">
        <f>$F$5*L20</f>
        <v>1914</v>
      </c>
      <c r="N20" s="5">
        <v>157.0</v>
      </c>
      <c r="O20" s="5">
        <f>$F$5*N20</f>
        <v>5008.3</v>
      </c>
    </row>
    <row r="21" ht="15.75" customHeight="1">
      <c r="A21" s="5" t="s">
        <v>472</v>
      </c>
      <c r="B21" s="5">
        <v>1159.0</v>
      </c>
      <c r="C21" s="5">
        <f t="shared" si="2"/>
        <v>94</v>
      </c>
      <c r="E21" s="5" t="s">
        <v>535</v>
      </c>
      <c r="F21" s="5">
        <v>24.68</v>
      </c>
      <c r="G21" s="5" t="s">
        <v>534</v>
      </c>
      <c r="H21" s="5">
        <v>64.0</v>
      </c>
      <c r="I21" s="5">
        <f>$F$6*H21</f>
        <v>1579.52</v>
      </c>
      <c r="J21" s="5">
        <v>94.0</v>
      </c>
      <c r="K21" s="5">
        <f>$F$6*J21</f>
        <v>2319.92</v>
      </c>
      <c r="L21" s="5">
        <v>60.0</v>
      </c>
      <c r="M21" s="5">
        <f>$F$6*L21</f>
        <v>1480.8</v>
      </c>
      <c r="N21" s="5">
        <v>175.0</v>
      </c>
      <c r="O21" s="5">
        <f>$F$6*N21</f>
        <v>4319</v>
      </c>
    </row>
    <row r="22" ht="15.75" customHeight="1">
      <c r="A22" s="5" t="s">
        <v>57</v>
      </c>
      <c r="B22" s="5">
        <v>1219.0</v>
      </c>
      <c r="C22" s="9">
        <v>60.0</v>
      </c>
      <c r="E22" s="5" t="s">
        <v>536</v>
      </c>
      <c r="F22" s="5">
        <v>2.41</v>
      </c>
      <c r="G22" s="5" t="s">
        <v>537</v>
      </c>
      <c r="H22" s="5">
        <v>31.0</v>
      </c>
      <c r="I22" s="5">
        <f>$F$7*H22</f>
        <v>74.71</v>
      </c>
      <c r="J22" s="5">
        <v>30.0</v>
      </c>
      <c r="K22" s="5">
        <f>$F$7*J22</f>
        <v>72.3</v>
      </c>
      <c r="L22" s="5">
        <v>31.0</v>
      </c>
      <c r="M22" s="5">
        <f>$F$7*L22</f>
        <v>74.71</v>
      </c>
      <c r="N22" s="5">
        <v>30.0</v>
      </c>
      <c r="O22" s="5">
        <f>$F$7*N22</f>
        <v>72.3</v>
      </c>
    </row>
    <row r="23" ht="15.75" customHeight="1">
      <c r="A23" s="15" t="s">
        <v>82</v>
      </c>
      <c r="E23" s="5" t="s">
        <v>538</v>
      </c>
      <c r="F23" s="5">
        <v>2.3</v>
      </c>
      <c r="G23" s="5" t="s">
        <v>537</v>
      </c>
      <c r="H23" s="5">
        <v>31.0</v>
      </c>
      <c r="I23" s="5">
        <f>$F$8*H23</f>
        <v>71.3</v>
      </c>
      <c r="J23" s="5">
        <v>30.0</v>
      </c>
      <c r="K23" s="5">
        <f>$F$8*J23</f>
        <v>69</v>
      </c>
      <c r="L23" s="5">
        <v>31.0</v>
      </c>
      <c r="M23" s="5">
        <f>$F$8*L23</f>
        <v>71.3</v>
      </c>
      <c r="N23" s="5">
        <v>30.0</v>
      </c>
      <c r="O23" s="5">
        <f>$F$8*N23</f>
        <v>69</v>
      </c>
    </row>
    <row r="24" ht="15.75" customHeight="1">
      <c r="A24" s="15" t="s">
        <v>10</v>
      </c>
      <c r="B24" s="15">
        <v>1977.0</v>
      </c>
      <c r="I24" s="5">
        <f>SUM(I20:I23)</f>
        <v>3767.13</v>
      </c>
      <c r="K24" s="5">
        <f>SUM(K20:K23)</f>
        <v>5459.82</v>
      </c>
      <c r="M24" s="9">
        <f>SUM(M20:M23)</f>
        <v>3540.81</v>
      </c>
      <c r="O24" s="9">
        <f>SUM(O20:O23)</f>
        <v>9468.6</v>
      </c>
    </row>
    <row r="25" ht="15.75" customHeight="1">
      <c r="A25" s="15" t="s">
        <v>21</v>
      </c>
      <c r="B25" s="15">
        <v>2152.0</v>
      </c>
      <c r="C25" s="17">
        <f>B25-B24</f>
        <v>175</v>
      </c>
      <c r="H25" s="5" t="s">
        <v>539</v>
      </c>
      <c r="I25" s="5">
        <f>I24*15%</f>
        <v>565.0695</v>
      </c>
      <c r="J25" s="5" t="s">
        <v>539</v>
      </c>
      <c r="K25" s="5">
        <f>K24*15%</f>
        <v>818.973</v>
      </c>
      <c r="L25" s="5" t="s">
        <v>539</v>
      </c>
      <c r="M25" s="5">
        <f>M24*15%</f>
        <v>531.1215</v>
      </c>
      <c r="N25" s="5" t="s">
        <v>539</v>
      </c>
      <c r="O25" s="5">
        <f>O24*15%</f>
        <v>1420.29</v>
      </c>
    </row>
    <row r="26" ht="15.75" customHeight="1">
      <c r="A26" s="15" t="s">
        <v>22</v>
      </c>
      <c r="H26" s="5" t="s">
        <v>195</v>
      </c>
      <c r="I26" s="5">
        <f>I24+I25</f>
        <v>4332.1995</v>
      </c>
      <c r="J26" s="5" t="s">
        <v>195</v>
      </c>
      <c r="K26" s="5">
        <f>K24+K25</f>
        <v>6278.793</v>
      </c>
      <c r="L26" s="5" t="s">
        <v>195</v>
      </c>
      <c r="M26" s="5">
        <f>M24+M25</f>
        <v>4071.9315</v>
      </c>
      <c r="N26" s="5" t="s">
        <v>195</v>
      </c>
      <c r="O26" s="5">
        <f>O24+O25</f>
        <v>10888.89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3">
      <c r="B3" s="5" t="s">
        <v>221</v>
      </c>
      <c r="C3" s="5" t="s">
        <v>222</v>
      </c>
      <c r="D3" s="5" t="s">
        <v>223</v>
      </c>
      <c r="E3" s="5" t="s">
        <v>224</v>
      </c>
      <c r="F3" s="5" t="s">
        <v>225</v>
      </c>
      <c r="H3" s="15" t="s">
        <v>540</v>
      </c>
      <c r="J3" s="5" t="s">
        <v>221</v>
      </c>
      <c r="K3" s="5" t="s">
        <v>222</v>
      </c>
      <c r="L3" s="5" t="s">
        <v>223</v>
      </c>
      <c r="M3" s="5" t="s">
        <v>224</v>
      </c>
      <c r="N3" s="5" t="s">
        <v>225</v>
      </c>
    </row>
    <row r="4">
      <c r="A4" s="15" t="s">
        <v>24</v>
      </c>
      <c r="B4" s="15">
        <v>157.0</v>
      </c>
      <c r="C4" s="15">
        <v>403.0</v>
      </c>
      <c r="D4" s="15" t="s">
        <v>541</v>
      </c>
      <c r="E4" s="15">
        <v>173.0</v>
      </c>
      <c r="F4" s="15">
        <v>601.0</v>
      </c>
      <c r="I4" s="15" t="s">
        <v>24</v>
      </c>
      <c r="J4" s="15"/>
      <c r="K4" s="15"/>
      <c r="L4" s="15" t="s">
        <v>541</v>
      </c>
      <c r="M4" s="15"/>
      <c r="N4" s="15"/>
    </row>
    <row r="5">
      <c r="A5" s="15" t="s">
        <v>25</v>
      </c>
      <c r="B5" s="15">
        <v>170.0</v>
      </c>
      <c r="C5" s="15">
        <v>431.0</v>
      </c>
      <c r="E5" s="15">
        <v>185.0</v>
      </c>
      <c r="F5" s="15">
        <v>649.0</v>
      </c>
      <c r="I5" s="15" t="s">
        <v>25</v>
      </c>
      <c r="J5" s="15">
        <f t="shared" ref="J5:K5" si="1">B5-B4</f>
        <v>13</v>
      </c>
      <c r="K5" s="15">
        <f t="shared" si="1"/>
        <v>28</v>
      </c>
      <c r="M5" s="15">
        <f t="shared" ref="M5:N5" si="2">E5-E4</f>
        <v>12</v>
      </c>
      <c r="N5" s="15">
        <f t="shared" si="2"/>
        <v>48</v>
      </c>
      <c r="O5" s="17">
        <f t="shared" ref="O5:O11" si="5">M5+K5+J5</f>
        <v>53</v>
      </c>
    </row>
    <row r="6">
      <c r="A6" s="15" t="s">
        <v>63</v>
      </c>
      <c r="B6" s="15">
        <v>185.0</v>
      </c>
      <c r="C6" s="15">
        <v>466.0</v>
      </c>
      <c r="E6" s="15">
        <v>201.0</v>
      </c>
      <c r="F6" s="15">
        <v>708.0</v>
      </c>
      <c r="I6" s="15" t="s">
        <v>63</v>
      </c>
      <c r="J6" s="15">
        <f t="shared" ref="J6:K6" si="3">B6-B5</f>
        <v>15</v>
      </c>
      <c r="K6" s="15">
        <f t="shared" si="3"/>
        <v>35</v>
      </c>
      <c r="M6" s="15">
        <f t="shared" ref="M6:N6" si="4">E6-E5</f>
        <v>16</v>
      </c>
      <c r="N6" s="15">
        <f t="shared" si="4"/>
        <v>59</v>
      </c>
      <c r="O6" s="17">
        <f t="shared" si="5"/>
        <v>66</v>
      </c>
    </row>
    <row r="7">
      <c r="A7" s="15" t="s">
        <v>64</v>
      </c>
      <c r="B7" s="15">
        <v>193.0</v>
      </c>
      <c r="C7" s="15">
        <v>488.0</v>
      </c>
      <c r="E7" s="15">
        <v>210.0</v>
      </c>
      <c r="F7" s="15">
        <v>739.0</v>
      </c>
      <c r="I7" s="15" t="s">
        <v>64</v>
      </c>
      <c r="J7" s="15">
        <f t="shared" ref="J7:K7" si="6">B7-B6</f>
        <v>8</v>
      </c>
      <c r="K7" s="15">
        <f t="shared" si="6"/>
        <v>22</v>
      </c>
      <c r="M7" s="15">
        <f t="shared" ref="M7:N7" si="7">E7-E6</f>
        <v>9</v>
      </c>
      <c r="N7" s="15">
        <f t="shared" si="7"/>
        <v>31</v>
      </c>
      <c r="O7" s="17">
        <f t="shared" si="5"/>
        <v>39</v>
      </c>
    </row>
    <row r="8">
      <c r="A8" s="15" t="s">
        <v>55</v>
      </c>
      <c r="B8" s="15">
        <v>207.0</v>
      </c>
      <c r="C8" s="15">
        <v>522.0</v>
      </c>
      <c r="E8" s="15">
        <v>221.0</v>
      </c>
      <c r="F8" s="15">
        <v>787.0</v>
      </c>
      <c r="I8" s="15" t="s">
        <v>55</v>
      </c>
      <c r="J8" s="15">
        <f t="shared" ref="J8:K8" si="8">B8-B7</f>
        <v>14</v>
      </c>
      <c r="K8" s="15">
        <f t="shared" si="8"/>
        <v>34</v>
      </c>
      <c r="M8" s="15">
        <f t="shared" ref="M8:N8" si="9">E8-E7</f>
        <v>11</v>
      </c>
      <c r="N8" s="15">
        <f t="shared" si="9"/>
        <v>48</v>
      </c>
      <c r="O8" s="17">
        <f t="shared" si="5"/>
        <v>59</v>
      </c>
    </row>
    <row r="9">
      <c r="A9" s="15" t="s">
        <v>56</v>
      </c>
      <c r="B9" s="15">
        <v>210.0</v>
      </c>
      <c r="C9" s="15">
        <v>548.0</v>
      </c>
      <c r="E9" s="15">
        <v>228.0</v>
      </c>
      <c r="F9" s="15">
        <v>810.0</v>
      </c>
      <c r="I9" s="15" t="s">
        <v>57</v>
      </c>
      <c r="J9" s="15">
        <f t="shared" ref="J9:K9" si="10">B9-B8</f>
        <v>3</v>
      </c>
      <c r="K9" s="15">
        <f t="shared" si="10"/>
        <v>26</v>
      </c>
      <c r="M9" s="15">
        <f t="shared" ref="M9:N9" si="11">E9-E8</f>
        <v>7</v>
      </c>
      <c r="N9" s="15">
        <f t="shared" si="11"/>
        <v>23</v>
      </c>
      <c r="O9" s="17">
        <f t="shared" si="5"/>
        <v>36</v>
      </c>
    </row>
    <row r="10">
      <c r="A10" s="15" t="s">
        <v>57</v>
      </c>
      <c r="B10" s="15">
        <v>231.0</v>
      </c>
      <c r="C10" s="15">
        <v>562.0</v>
      </c>
      <c r="E10" s="15">
        <v>232.0</v>
      </c>
      <c r="F10" s="15">
        <v>826.0</v>
      </c>
      <c r="I10" s="15" t="s">
        <v>58</v>
      </c>
      <c r="J10" s="15">
        <f t="shared" ref="J10:K10" si="12">B10-B9</f>
        <v>21</v>
      </c>
      <c r="K10" s="15">
        <f t="shared" si="12"/>
        <v>14</v>
      </c>
      <c r="M10" s="15">
        <f t="shared" ref="M10:N10" si="13">E10-E9</f>
        <v>4</v>
      </c>
      <c r="N10" s="15">
        <f t="shared" si="13"/>
        <v>16</v>
      </c>
      <c r="O10" s="17">
        <f t="shared" si="5"/>
        <v>39</v>
      </c>
    </row>
    <row r="11">
      <c r="A11" s="15" t="s">
        <v>58</v>
      </c>
      <c r="B11" s="15">
        <v>243.0</v>
      </c>
      <c r="F11" s="15">
        <v>839.0</v>
      </c>
      <c r="I11" s="15" t="s">
        <v>10</v>
      </c>
      <c r="J11" s="15">
        <f>B11-B10</f>
        <v>12</v>
      </c>
      <c r="N11" s="15">
        <f>F11-F10</f>
        <v>13</v>
      </c>
      <c r="O11" s="17">
        <f t="shared" si="5"/>
        <v>12</v>
      </c>
    </row>
    <row r="12">
      <c r="A12" s="15" t="s">
        <v>10</v>
      </c>
      <c r="B12" s="15">
        <v>256.0</v>
      </c>
      <c r="I12" s="15" t="s">
        <v>21</v>
      </c>
      <c r="J12" s="15"/>
      <c r="K12" s="15"/>
    </row>
    <row r="13">
      <c r="A13" s="15" t="s">
        <v>21</v>
      </c>
      <c r="B13" s="15">
        <v>267.0</v>
      </c>
      <c r="I13" s="15" t="s">
        <v>22</v>
      </c>
      <c r="J13" s="15"/>
      <c r="K13" s="15"/>
    </row>
    <row r="14">
      <c r="A14" s="15" t="s">
        <v>22</v>
      </c>
      <c r="B14" s="15">
        <v>230.0</v>
      </c>
      <c r="C14" s="15">
        <v>569.0</v>
      </c>
      <c r="E14" s="15">
        <v>235.0</v>
      </c>
      <c r="I14" s="15" t="s">
        <v>23</v>
      </c>
      <c r="J14" s="15"/>
      <c r="K14" s="15"/>
    </row>
    <row r="15">
      <c r="A15" s="15" t="s">
        <v>23</v>
      </c>
      <c r="I15" s="15" t="s">
        <v>24</v>
      </c>
    </row>
    <row r="16">
      <c r="A16" s="15" t="s">
        <v>24</v>
      </c>
    </row>
    <row r="17">
      <c r="A17" s="15" t="s">
        <v>25</v>
      </c>
      <c r="B17" s="15">
        <v>313.0</v>
      </c>
      <c r="C17" s="15">
        <v>660.0</v>
      </c>
      <c r="D17" s="15">
        <v>99.0</v>
      </c>
      <c r="E17" s="15">
        <v>267.0</v>
      </c>
    </row>
    <row r="18">
      <c r="A18" s="15" t="s">
        <v>542</v>
      </c>
      <c r="B18" s="15">
        <v>324.0</v>
      </c>
      <c r="C18" s="15">
        <v>689.0</v>
      </c>
      <c r="D18" s="15">
        <v>107.0</v>
      </c>
      <c r="E18" s="15">
        <v>278.0</v>
      </c>
    </row>
    <row r="19">
      <c r="A19" s="15" t="s">
        <v>54</v>
      </c>
      <c r="B19" s="15">
        <v>335.0</v>
      </c>
      <c r="C19" s="15">
        <v>716.0</v>
      </c>
      <c r="D19" s="15">
        <v>115.0</v>
      </c>
      <c r="E19" s="15">
        <v>289.0</v>
      </c>
    </row>
    <row r="20">
      <c r="A20" s="15" t="s">
        <v>55</v>
      </c>
      <c r="B20" s="15">
        <v>348.0</v>
      </c>
      <c r="C20" s="15">
        <v>746.0</v>
      </c>
      <c r="D20" s="15">
        <v>124.0</v>
      </c>
      <c r="E20" s="15">
        <v>300.0</v>
      </c>
    </row>
    <row r="21" ht="15.75" customHeight="1">
      <c r="A21" s="15" t="s">
        <v>56</v>
      </c>
      <c r="B21" s="15">
        <v>362.0</v>
      </c>
      <c r="C21" s="15">
        <v>772.0</v>
      </c>
      <c r="D21" s="15">
        <v>133.0</v>
      </c>
      <c r="E21" s="15">
        <v>309.0</v>
      </c>
    </row>
    <row r="22" ht="15.75" customHeight="1">
      <c r="A22" s="15" t="s">
        <v>57</v>
      </c>
      <c r="B22" s="15">
        <v>367.0</v>
      </c>
      <c r="C22" s="15">
        <v>804.0</v>
      </c>
      <c r="D22" s="15">
        <v>143.0</v>
      </c>
      <c r="E22" s="15">
        <v>319.0</v>
      </c>
    </row>
    <row r="23" ht="15.75" customHeight="1">
      <c r="A23" s="15" t="s">
        <v>58</v>
      </c>
      <c r="B23" s="15">
        <v>383.0</v>
      </c>
    </row>
    <row r="24" ht="15.75" customHeight="1">
      <c r="A24" s="15" t="s">
        <v>543</v>
      </c>
      <c r="B24" s="15">
        <v>401.0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